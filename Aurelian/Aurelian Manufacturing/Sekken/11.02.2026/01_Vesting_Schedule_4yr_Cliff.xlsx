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éTandberg\Downloads\"/>
    </mc:Choice>
  </mc:AlternateContent>
  <xr:revisionPtr revIDLastSave="0" documentId="13_ncr:1_{700C51C5-8A38-4377-A175-59196F8165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s" sheetId="1" r:id="rId1"/>
    <sheet name="Schedule" sheetId="2" r:id="rId2"/>
  </sheets>
  <definedNames>
    <definedName name="_xlnm._FilterDatabase" localSheetId="1" hidden="1">Schedule!$A$4:$N$41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C13" i="1"/>
  <c r="J5" i="2" s="1"/>
  <c r="K5" i="2" s="1"/>
  <c r="C12" i="1"/>
  <c r="D12" i="1" s="1"/>
  <c r="C11" i="1"/>
  <c r="C14" i="1" s="1"/>
  <c r="B5" i="1"/>
  <c r="B4" i="1"/>
  <c r="A5" i="2" s="1"/>
  <c r="A39" i="2" l="1"/>
  <c r="A6" i="2"/>
  <c r="A41" i="2"/>
  <c r="A40" i="2"/>
  <c r="A25" i="2"/>
  <c r="A24" i="2"/>
  <c r="A23" i="2"/>
  <c r="A15" i="2"/>
  <c r="A7" i="2"/>
  <c r="A27" i="2"/>
  <c r="A26" i="2"/>
  <c r="A22" i="2"/>
  <c r="A14" i="2"/>
  <c r="A29" i="2"/>
  <c r="A28" i="2"/>
  <c r="A21" i="2"/>
  <c r="A13" i="2"/>
  <c r="A32" i="2"/>
  <c r="A19" i="2"/>
  <c r="A11" i="2"/>
  <c r="A31" i="2"/>
  <c r="A30" i="2"/>
  <c r="A20" i="2"/>
  <c r="A12" i="2"/>
  <c r="A33" i="2"/>
  <c r="A35" i="2"/>
  <c r="A34" i="2"/>
  <c r="A18" i="2"/>
  <c r="A10" i="2"/>
  <c r="A38" i="2"/>
  <c r="A16" i="2"/>
  <c r="A8" i="2"/>
  <c r="A37" i="2"/>
  <c r="A36" i="2"/>
  <c r="A17" i="2"/>
  <c r="A9" i="2"/>
  <c r="F12" i="1"/>
  <c r="E12" i="1"/>
  <c r="L5" i="2"/>
  <c r="D13" i="1"/>
  <c r="G5" i="2"/>
  <c r="H5" i="2" s="1"/>
  <c r="D11" i="1"/>
  <c r="D5" i="2"/>
  <c r="E5" i="2" s="1"/>
  <c r="G41" i="2" l="1"/>
  <c r="G30" i="2"/>
  <c r="G29" i="2"/>
  <c r="G20" i="2"/>
  <c r="G12" i="2"/>
  <c r="G32" i="2"/>
  <c r="G31" i="2"/>
  <c r="G19" i="2"/>
  <c r="G11" i="2"/>
  <c r="G34" i="2"/>
  <c r="G33" i="2"/>
  <c r="G18" i="2"/>
  <c r="G10" i="2"/>
  <c r="G16" i="2"/>
  <c r="G8" i="2"/>
  <c r="G36" i="2"/>
  <c r="G35" i="2"/>
  <c r="G17" i="2"/>
  <c r="G9" i="2"/>
  <c r="G38" i="2"/>
  <c r="G37" i="2"/>
  <c r="G40" i="2"/>
  <c r="G39" i="2"/>
  <c r="G24" i="2"/>
  <c r="G23" i="2"/>
  <c r="G15" i="2"/>
  <c r="G7" i="2"/>
  <c r="G28" i="2"/>
  <c r="G27" i="2"/>
  <c r="G21" i="2"/>
  <c r="G13" i="2"/>
  <c r="G26" i="2"/>
  <c r="G25" i="2"/>
  <c r="G22" i="2"/>
  <c r="G14" i="2"/>
  <c r="G6" i="2"/>
  <c r="E11" i="1"/>
  <c r="D14" i="1"/>
  <c r="F11" i="1"/>
  <c r="F5" i="2"/>
  <c r="M5" i="2"/>
  <c r="N5" i="2" s="1"/>
  <c r="I5" i="2"/>
  <c r="H6" i="2"/>
  <c r="E13" i="1"/>
  <c r="F13" i="1"/>
  <c r="D41" i="2" l="1"/>
  <c r="D40" i="2"/>
  <c r="D13" i="2"/>
  <c r="D27" i="2"/>
  <c r="D26" i="2"/>
  <c r="D22" i="2"/>
  <c r="D14" i="2"/>
  <c r="D6" i="2"/>
  <c r="E6" i="2" s="1"/>
  <c r="D29" i="2"/>
  <c r="D28" i="2"/>
  <c r="D21" i="2"/>
  <c r="D31" i="2"/>
  <c r="D30" i="2"/>
  <c r="D20" i="2"/>
  <c r="D12" i="2"/>
  <c r="D18" i="2"/>
  <c r="D10" i="2"/>
  <c r="D33" i="2"/>
  <c r="D32" i="2"/>
  <c r="D19" i="2"/>
  <c r="D11" i="2"/>
  <c r="D35" i="2"/>
  <c r="D34" i="2"/>
  <c r="D37" i="2"/>
  <c r="D36" i="2"/>
  <c r="D17" i="2"/>
  <c r="D9" i="2"/>
  <c r="D25" i="2"/>
  <c r="D24" i="2"/>
  <c r="D23" i="2"/>
  <c r="D15" i="2"/>
  <c r="D7" i="2"/>
  <c r="D39" i="2"/>
  <c r="D38" i="2"/>
  <c r="D16" i="2"/>
  <c r="D8" i="2"/>
  <c r="J40" i="2"/>
  <c r="J38" i="2"/>
  <c r="J36" i="2"/>
  <c r="J34" i="2"/>
  <c r="J32" i="2"/>
  <c r="J30" i="2"/>
  <c r="J28" i="2"/>
  <c r="J26" i="2"/>
  <c r="J24" i="2"/>
  <c r="J22" i="2"/>
  <c r="J20" i="2"/>
  <c r="J18" i="2"/>
  <c r="J16" i="2"/>
  <c r="J14" i="2"/>
  <c r="J12" i="2"/>
  <c r="J10" i="2"/>
  <c r="J8" i="2"/>
  <c r="J6" i="2"/>
  <c r="K6" i="2" s="1"/>
  <c r="J41" i="2"/>
  <c r="J33" i="2"/>
  <c r="J35" i="2"/>
  <c r="J17" i="2"/>
  <c r="J9" i="2"/>
  <c r="J37" i="2"/>
  <c r="J25" i="2"/>
  <c r="J39" i="2"/>
  <c r="J23" i="2"/>
  <c r="J15" i="2"/>
  <c r="J7" i="2"/>
  <c r="J27" i="2"/>
  <c r="J21" i="2"/>
  <c r="J13" i="2"/>
  <c r="J31" i="2"/>
  <c r="J19" i="2"/>
  <c r="J11" i="2"/>
  <c r="J29" i="2"/>
  <c r="I6" i="2"/>
  <c r="H7" i="2"/>
  <c r="M6" i="2" l="1"/>
  <c r="N6" i="2" s="1"/>
  <c r="F6" i="2"/>
  <c r="E7" i="2"/>
  <c r="K7" i="2"/>
  <c r="L6" i="2"/>
  <c r="I7" i="2"/>
  <c r="H8" i="2"/>
  <c r="H9" i="2" l="1"/>
  <c r="I8" i="2"/>
  <c r="K8" i="2"/>
  <c r="L7" i="2"/>
  <c r="F7" i="2"/>
  <c r="E8" i="2"/>
  <c r="M7" i="2"/>
  <c r="N7" i="2" s="1"/>
  <c r="M8" i="2" l="1"/>
  <c r="N8" i="2" s="1"/>
  <c r="E9" i="2"/>
  <c r="F8" i="2"/>
  <c r="K9" i="2"/>
  <c r="L8" i="2"/>
  <c r="I9" i="2"/>
  <c r="H10" i="2"/>
  <c r="H11" i="2" l="1"/>
  <c r="I10" i="2"/>
  <c r="K10" i="2"/>
  <c r="L9" i="2"/>
  <c r="F9" i="2"/>
  <c r="E10" i="2"/>
  <c r="M9" i="2"/>
  <c r="N9" i="2" s="1"/>
  <c r="M10" i="2" l="1"/>
  <c r="N10" i="2" s="1"/>
  <c r="E11" i="2"/>
  <c r="F10" i="2"/>
  <c r="K11" i="2"/>
  <c r="L10" i="2"/>
  <c r="I11" i="2"/>
  <c r="H12" i="2"/>
  <c r="H13" i="2" l="1"/>
  <c r="I12" i="2"/>
  <c r="K12" i="2"/>
  <c r="L11" i="2"/>
  <c r="F11" i="2"/>
  <c r="E12" i="2"/>
  <c r="M11" i="2"/>
  <c r="N11" i="2" s="1"/>
  <c r="K13" i="2" l="1"/>
  <c r="L12" i="2"/>
  <c r="M12" i="2"/>
  <c r="N12" i="2" s="1"/>
  <c r="E13" i="2"/>
  <c r="F12" i="2"/>
  <c r="I13" i="2"/>
  <c r="H14" i="2"/>
  <c r="K14" i="2" l="1"/>
  <c r="L13" i="2"/>
  <c r="H15" i="2"/>
  <c r="I14" i="2"/>
  <c r="F13" i="2"/>
  <c r="E14" i="2"/>
  <c r="M13" i="2"/>
  <c r="N13" i="2" s="1"/>
  <c r="M14" i="2" l="1"/>
  <c r="N14" i="2" s="1"/>
  <c r="F14" i="2"/>
  <c r="E15" i="2"/>
  <c r="I15" i="2"/>
  <c r="H16" i="2"/>
  <c r="K15" i="2"/>
  <c r="L14" i="2"/>
  <c r="K16" i="2" l="1"/>
  <c r="L15" i="2"/>
  <c r="H17" i="2"/>
  <c r="I16" i="2"/>
  <c r="F15" i="2"/>
  <c r="E16" i="2"/>
  <c r="M15" i="2"/>
  <c r="N15" i="2" s="1"/>
  <c r="M16" i="2" l="1"/>
  <c r="N16" i="2" s="1"/>
  <c r="E17" i="2"/>
  <c r="F16" i="2"/>
  <c r="I17" i="2"/>
  <c r="H18" i="2"/>
  <c r="K17" i="2"/>
  <c r="L16" i="2"/>
  <c r="K18" i="2" l="1"/>
  <c r="L17" i="2"/>
  <c r="H19" i="2"/>
  <c r="I18" i="2"/>
  <c r="F17" i="2"/>
  <c r="E18" i="2"/>
  <c r="M17" i="2"/>
  <c r="N17" i="2" s="1"/>
  <c r="M18" i="2" l="1"/>
  <c r="N18" i="2" s="1"/>
  <c r="E19" i="2"/>
  <c r="F18" i="2"/>
  <c r="I19" i="2"/>
  <c r="H20" i="2"/>
  <c r="K19" i="2"/>
  <c r="L18" i="2"/>
  <c r="K20" i="2" l="1"/>
  <c r="L19" i="2"/>
  <c r="F19" i="2"/>
  <c r="E20" i="2"/>
  <c r="M19" i="2"/>
  <c r="N19" i="2" s="1"/>
  <c r="H21" i="2"/>
  <c r="I20" i="2"/>
  <c r="I21" i="2" l="1"/>
  <c r="H22" i="2"/>
  <c r="M20" i="2"/>
  <c r="N20" i="2" s="1"/>
  <c r="E21" i="2"/>
  <c r="F20" i="2"/>
  <c r="K21" i="2"/>
  <c r="L20" i="2"/>
  <c r="K22" i="2" l="1"/>
  <c r="L21" i="2"/>
  <c r="F21" i="2"/>
  <c r="E22" i="2"/>
  <c r="M21" i="2"/>
  <c r="N21" i="2" s="1"/>
  <c r="H23" i="2"/>
  <c r="I22" i="2"/>
  <c r="I23" i="2" l="1"/>
  <c r="H24" i="2"/>
  <c r="M22" i="2"/>
  <c r="N22" i="2" s="1"/>
  <c r="F22" i="2"/>
  <c r="E23" i="2"/>
  <c r="K23" i="2"/>
  <c r="L22" i="2"/>
  <c r="L23" i="2" l="1"/>
  <c r="K24" i="2"/>
  <c r="F23" i="2"/>
  <c r="M23" i="2"/>
  <c r="N23" i="2" s="1"/>
  <c r="E24" i="2"/>
  <c r="I24" i="2"/>
  <c r="H25" i="2"/>
  <c r="E25" i="2" l="1"/>
  <c r="M24" i="2"/>
  <c r="N24" i="2" s="1"/>
  <c r="F24" i="2"/>
  <c r="I25" i="2"/>
  <c r="H26" i="2"/>
  <c r="L24" i="2"/>
  <c r="K25" i="2"/>
  <c r="F25" i="2" l="1"/>
  <c r="M25" i="2"/>
  <c r="N25" i="2" s="1"/>
  <c r="E26" i="2"/>
  <c r="L25" i="2"/>
  <c r="K26" i="2"/>
  <c r="I26" i="2"/>
  <c r="H27" i="2"/>
  <c r="I27" i="2" l="1"/>
  <c r="H28" i="2"/>
  <c r="K27" i="2"/>
  <c r="L26" i="2"/>
  <c r="E27" i="2"/>
  <c r="M26" i="2"/>
  <c r="N26" i="2" s="1"/>
  <c r="F26" i="2"/>
  <c r="F27" i="2" l="1"/>
  <c r="M27" i="2"/>
  <c r="N27" i="2" s="1"/>
  <c r="E28" i="2"/>
  <c r="L27" i="2"/>
  <c r="K28" i="2"/>
  <c r="I28" i="2"/>
  <c r="H29" i="2"/>
  <c r="I29" i="2" l="1"/>
  <c r="H30" i="2"/>
  <c r="L28" i="2"/>
  <c r="K29" i="2"/>
  <c r="E29" i="2"/>
  <c r="M28" i="2"/>
  <c r="N28" i="2" s="1"/>
  <c r="F28" i="2"/>
  <c r="F29" i="2" l="1"/>
  <c r="M29" i="2"/>
  <c r="N29" i="2" s="1"/>
  <c r="E30" i="2"/>
  <c r="L29" i="2"/>
  <c r="K30" i="2"/>
  <c r="I30" i="2"/>
  <c r="H31" i="2"/>
  <c r="E31" i="2" l="1"/>
  <c r="M30" i="2"/>
  <c r="N30" i="2" s="1"/>
  <c r="F30" i="2"/>
  <c r="I31" i="2"/>
  <c r="H32" i="2"/>
  <c r="L30" i="2"/>
  <c r="K31" i="2"/>
  <c r="L31" i="2" l="1"/>
  <c r="K32" i="2"/>
  <c r="I32" i="2"/>
  <c r="H33" i="2"/>
  <c r="F31" i="2"/>
  <c r="M31" i="2"/>
  <c r="N31" i="2" s="1"/>
  <c r="E32" i="2"/>
  <c r="E33" i="2" l="1"/>
  <c r="M32" i="2"/>
  <c r="N32" i="2" s="1"/>
  <c r="F32" i="2"/>
  <c r="I33" i="2"/>
  <c r="H34" i="2"/>
  <c r="K33" i="2"/>
  <c r="L32" i="2"/>
  <c r="I34" i="2" l="1"/>
  <c r="H35" i="2"/>
  <c r="K34" i="2"/>
  <c r="L33" i="2"/>
  <c r="F33" i="2"/>
  <c r="M33" i="2"/>
  <c r="N33" i="2" s="1"/>
  <c r="E34" i="2"/>
  <c r="E35" i="2" l="1"/>
  <c r="M34" i="2"/>
  <c r="N34" i="2" s="1"/>
  <c r="F34" i="2"/>
  <c r="K35" i="2"/>
  <c r="L34" i="2"/>
  <c r="I35" i="2"/>
  <c r="H36" i="2"/>
  <c r="I36" i="2" l="1"/>
  <c r="H37" i="2"/>
  <c r="K36" i="2"/>
  <c r="L35" i="2"/>
  <c r="F35" i="2"/>
  <c r="M35" i="2"/>
  <c r="N35" i="2" s="1"/>
  <c r="E36" i="2"/>
  <c r="E37" i="2" l="1"/>
  <c r="M36" i="2"/>
  <c r="N36" i="2" s="1"/>
  <c r="F36" i="2"/>
  <c r="L36" i="2"/>
  <c r="K37" i="2"/>
  <c r="I37" i="2"/>
  <c r="H38" i="2"/>
  <c r="I38" i="2" l="1"/>
  <c r="H39" i="2"/>
  <c r="L37" i="2"/>
  <c r="K38" i="2"/>
  <c r="F37" i="2"/>
  <c r="M37" i="2"/>
  <c r="N37" i="2" s="1"/>
  <c r="E38" i="2"/>
  <c r="E39" i="2" l="1"/>
  <c r="M38" i="2"/>
  <c r="N38" i="2" s="1"/>
  <c r="F38" i="2"/>
  <c r="L38" i="2"/>
  <c r="K39" i="2"/>
  <c r="I39" i="2"/>
  <c r="H40" i="2"/>
  <c r="I40" i="2" l="1"/>
  <c r="H41" i="2"/>
  <c r="I41" i="2" s="1"/>
  <c r="L39" i="2"/>
  <c r="K40" i="2"/>
  <c r="F39" i="2"/>
  <c r="M39" i="2"/>
  <c r="N39" i="2" s="1"/>
  <c r="E40" i="2"/>
  <c r="E41" i="2" l="1"/>
  <c r="M40" i="2"/>
  <c r="N40" i="2" s="1"/>
  <c r="F40" i="2"/>
  <c r="K41" i="2"/>
  <c r="L41" i="2" s="1"/>
  <c r="L40" i="2"/>
  <c r="F41" i="2" l="1"/>
  <c r="M41" i="2"/>
  <c r="N41" i="2" s="1"/>
</calcChain>
</file>

<file path=xl/sharedStrings.xml><?xml version="1.0" encoding="utf-8"?>
<sst xmlns="http://schemas.openxmlformats.org/spreadsheetml/2006/main" count="69" uniqueCount="69">
  <si>
    <t>Vesting schedule – Inputs (per Shareholder Agreement)</t>
  </si>
  <si>
    <t>Start date (per agreement)</t>
  </si>
  <si>
    <t>Cliff date (12 months)</t>
  </si>
  <si>
    <t>Vesting end date (48 months)</t>
  </si>
  <si>
    <t>Cliff %</t>
  </si>
  <si>
    <t>Monthly vesting months after cliff</t>
  </si>
  <si>
    <t>Shareholder</t>
  </si>
  <si>
    <t>Total shares</t>
  </si>
  <si>
    <t>Cliff shares (25%)</t>
  </si>
  <si>
    <t>Remaining shares</t>
  </si>
  <si>
    <t>Monthly base</t>
  </si>
  <si>
    <t>Monthly remainder</t>
  </si>
  <si>
    <t>Hölen Industrier AS (André)</t>
  </si>
  <si>
    <t>Quality Group Invest AS (Tore)</t>
  </si>
  <si>
    <t>STAH Invest AS (Henri)</t>
  </si>
  <si>
    <t>Total</t>
  </si>
  <si>
    <t>Vesting Schedule (start from cliff date)</t>
  </si>
  <si>
    <t>Start from cliff date per agreement; monthly vesting thereafter until fully vested.</t>
  </si>
  <si>
    <t>Date</t>
  </si>
  <si>
    <t>Tranche (#)</t>
  </si>
  <si>
    <t>Event</t>
  </si>
  <si>
    <t>Hölen – Increment</t>
  </si>
  <si>
    <t>Hölen – Cumulative</t>
  </si>
  <si>
    <t>Hölen – %</t>
  </si>
  <si>
    <t>Quality – Increment</t>
  </si>
  <si>
    <t>Quality – Cumulative</t>
  </si>
  <si>
    <t>Quality – %</t>
  </si>
  <si>
    <t>STAH – Increment</t>
  </si>
  <si>
    <t>STAH – Cumulative</t>
  </si>
  <si>
    <t>STAH – %</t>
  </si>
  <si>
    <t>Total – Cumulative</t>
  </si>
  <si>
    <t>Total – %</t>
  </si>
  <si>
    <t>Cliff (25%)</t>
  </si>
  <si>
    <t>Monthly vesting #1 (of 36)</t>
  </si>
  <si>
    <t>Monthly vesting #2 (of 36)</t>
  </si>
  <si>
    <t>Monthly vesting #3 (of 36)</t>
  </si>
  <si>
    <t>Monthly vesting #4 (of 36)</t>
  </si>
  <si>
    <t>Monthly vesting #5 (of 36)</t>
  </si>
  <si>
    <t>Monthly vesting #6 (of 36)</t>
  </si>
  <si>
    <t>Monthly vesting #7 (of 36)</t>
  </si>
  <si>
    <t>Monthly vesting #8 (of 36)</t>
  </si>
  <si>
    <t>Monthly vesting #9 (of 36)</t>
  </si>
  <si>
    <t>Monthly vesting #10 (of 36)</t>
  </si>
  <si>
    <t>Monthly vesting #11 (of 36)</t>
  </si>
  <si>
    <t>Monthly vesting #12 (of 36)</t>
  </si>
  <si>
    <t>Monthly vesting #13 (of 36)</t>
  </si>
  <si>
    <t>Monthly vesting #14 (of 36)</t>
  </si>
  <si>
    <t>Monthly vesting #15 (of 36)</t>
  </si>
  <si>
    <t>Monthly vesting #16 (of 36)</t>
  </si>
  <si>
    <t>Monthly vesting #17 (of 36)</t>
  </si>
  <si>
    <t>Monthly vesting #18 (of 36)</t>
  </si>
  <si>
    <t>Monthly vesting #19 (of 36)</t>
  </si>
  <si>
    <t>Monthly vesting #20 (of 36)</t>
  </si>
  <si>
    <t>Monthly vesting #21 (of 36)</t>
  </si>
  <si>
    <t>Monthly vesting #22 (of 36)</t>
  </si>
  <si>
    <t>Monthly vesting #23 (of 36)</t>
  </si>
  <si>
    <t>Monthly vesting #24 (of 36)</t>
  </si>
  <si>
    <t>Monthly vesting #25 (of 36)</t>
  </si>
  <si>
    <t>Monthly vesting #26 (of 36)</t>
  </si>
  <si>
    <t>Monthly vesting #27 (of 36)</t>
  </si>
  <si>
    <t>Monthly vesting #28 (of 36)</t>
  </si>
  <si>
    <t>Monthly vesting #29 (of 36)</t>
  </si>
  <si>
    <t>Monthly vesting #30 (of 36)</t>
  </si>
  <si>
    <t>Monthly vesting #31 (of 36)</t>
  </si>
  <si>
    <t>Monthly vesting #32 (of 36)</t>
  </si>
  <si>
    <t>Monthly vesting #33 (of 36)</t>
  </si>
  <si>
    <t>Monthly vesting #34 (of 36)</t>
  </si>
  <si>
    <t>Monthly vesting #35 (of 36)</t>
  </si>
  <si>
    <t>Monthly vesting #36 (of 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</si>
</sst>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/>
    </xf>
    <xf numFmtId="165" fontId="3" fillId="3" borderId="0" xfId="0" applyNumberFormat="1" applyFont="1" applyFill="1" applyAlignment="1">
      <alignment horizontal="left"/>
    </xf>
    <xf numFmtId="10" fontId="3" fillId="3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3" fontId="3" fillId="3" borderId="1" xfId="0" applyNumberFormat="1" applyFont="1" applyFill="1" applyBorder="1"/>
    <xf numFmtId="3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16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tabSelected="1" workbookViewId="0">
      <pane ySplit="10" topLeftCell="A11" activePane="bottomLeft" state="frozen"/>
      <selection pane="bottomLeft" activeCell="E29" sqref="E29"/>
    </sheetView>
  </sheetViews>
  <sheetFormatPr baseColWidth="10" defaultColWidth="9.140625" defaultRowHeight="15" x14ac:dyDescent="0.25"/>
  <cols>
    <col min="1" max="1" width="38" customWidth="1"/>
    <col min="2" max="4" width="18" customWidth="1"/>
    <col min="5" max="6" width="16" customWidth="1"/>
  </cols>
  <sheetData>
    <row r="1" spans="1:6" ht="18.75" x14ac:dyDescent="0.3">
      <c r="A1" s="15" t="s">
        <v>0</v>
      </c>
      <c r="B1" s="16"/>
      <c r="C1" s="16"/>
      <c r="D1" s="16"/>
      <c r="E1" s="16"/>
    </row>
    <row r="3" spans="1:6" x14ac:dyDescent="0.25">
      <c r="A3" s="1" t="s">
        <v>1</v>
      </c>
      <c r="B3" s="2">
        <v>46062</v>
      </c>
    </row>
    <row r="4" spans="1:6" x14ac:dyDescent="0.25">
      <c r="A4" s="1" t="s">
        <v>2</v>
      </c>
      <c r="B4" s="2">
        <f>EDATE(B3,12)</f>
        <v>46427</v>
      </c>
    </row>
    <row r="5" spans="1:6" x14ac:dyDescent="0.25">
      <c r="A5" s="1" t="s">
        <v>3</v>
      </c>
      <c r="B5" s="2">
        <f>EDATE(B3,48)</f>
        <v>47523</v>
      </c>
    </row>
    <row r="6" spans="1:6" x14ac:dyDescent="0.25">
      <c r="A6" s="1" t="s">
        <v>4</v>
      </c>
      <c r="B6" s="3">
        <v>0.25</v>
      </c>
    </row>
    <row r="7" spans="1:6" x14ac:dyDescent="0.25">
      <c r="A7" s="1" t="s">
        <v>5</v>
      </c>
      <c r="B7" s="4">
        <v>36</v>
      </c>
    </row>
    <row r="10" spans="1:6" ht="30" x14ac:dyDescent="0.25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</row>
    <row r="11" spans="1:6" x14ac:dyDescent="0.25">
      <c r="A11" s="6" t="s">
        <v>12</v>
      </c>
      <c r="B11" s="7">
        <v>562500</v>
      </c>
      <c r="C11" s="8">
        <f>ROUND(B11*$B$6,0)</f>
        <v>140625</v>
      </c>
      <c r="D11" s="8">
        <f>B11-C11</f>
        <v>421875</v>
      </c>
      <c r="E11" s="8">
        <f>INT(D11/$B$7)</f>
        <v>11718</v>
      </c>
      <c r="F11" s="8">
        <f>MOD(D11,$B$7)</f>
        <v>27</v>
      </c>
    </row>
    <row r="12" spans="1:6" x14ac:dyDescent="0.25">
      <c r="A12" s="6" t="s">
        <v>13</v>
      </c>
      <c r="B12" s="7">
        <v>337500</v>
      </c>
      <c r="C12" s="8">
        <f>ROUND(B12*$B$6,0)</f>
        <v>84375</v>
      </c>
      <c r="D12" s="8">
        <f>B12-C12</f>
        <v>253125</v>
      </c>
      <c r="E12" s="8">
        <f>INT(D12/$B$7)</f>
        <v>7031</v>
      </c>
      <c r="F12" s="8">
        <f>MOD(D12,$B$7)</f>
        <v>9</v>
      </c>
    </row>
    <row r="13" spans="1:6" x14ac:dyDescent="0.25">
      <c r="A13" s="6" t="s">
        <v>14</v>
      </c>
      <c r="B13" s="7">
        <v>100000</v>
      </c>
      <c r="C13" s="8">
        <f>ROUND(B13*$B$6,0)</f>
        <v>25000</v>
      </c>
      <c r="D13" s="8">
        <f>B13-C13</f>
        <v>75000</v>
      </c>
      <c r="E13" s="8">
        <f>INT(D13/$B$7)</f>
        <v>2083</v>
      </c>
      <c r="F13" s="8">
        <f>MOD(D13,$B$7)</f>
        <v>12</v>
      </c>
    </row>
    <row r="14" spans="1:6" x14ac:dyDescent="0.25">
      <c r="A14" s="9" t="s">
        <v>15</v>
      </c>
      <c r="B14" s="8">
        <f>SUM(B11:B13)</f>
        <v>1000000</v>
      </c>
      <c r="C14" s="8">
        <f>SUM(C11:C13)</f>
        <v>250000</v>
      </c>
      <c r="D14" s="8">
        <f>SUM(D11:D13)</f>
        <v>750000</v>
      </c>
      <c r="E14" s="10"/>
      <c r="F14" s="10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showGridLines="0" workbookViewId="0">
      <pane ySplit="4" topLeftCell="A5" activePane="bottomLeft" state="frozen"/>
      <selection pane="bottomLeft" activeCell="P2" sqref="P2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24" customWidth="1"/>
    <col min="4" max="4" width="16" customWidth="1"/>
    <col min="5" max="5" width="18" customWidth="1"/>
    <col min="6" max="6" width="12" customWidth="1"/>
    <col min="7" max="7" width="16" customWidth="1"/>
    <col min="8" max="8" width="18" customWidth="1"/>
    <col min="9" max="9" width="12" customWidth="1"/>
    <col min="10" max="10" width="16" customWidth="1"/>
    <col min="11" max="11" width="18" customWidth="1"/>
    <col min="12" max="12" width="12" customWidth="1"/>
    <col min="13" max="13" width="18" customWidth="1"/>
    <col min="14" max="14" width="12" customWidth="1"/>
  </cols>
  <sheetData>
    <row r="1" spans="1:14" ht="18.75" x14ac:dyDescent="0.3">
      <c r="A1" s="15" t="s">
        <v>16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25">
      <c r="A2" s="16" t="s">
        <v>17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spans="1:14" ht="30" x14ac:dyDescent="0.25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</row>
    <row r="5" spans="1:14" x14ac:dyDescent="0.25">
      <c r="A5" s="11">
        <f>Inputs!B4</f>
        <v>46427</v>
      </c>
      <c r="B5" s="12">
        <v>0</v>
      </c>
      <c r="C5" s="6" t="s">
        <v>32</v>
      </c>
      <c r="D5" s="13">
        <f>Inputs!C11</f>
        <v>140625</v>
      </c>
      <c r="E5" s="13">
        <f>D5</f>
        <v>140625</v>
      </c>
      <c r="F5" s="14">
        <f>E5/Inputs!B11</f>
        <v>0.25</v>
      </c>
      <c r="G5" s="13">
        <f>Inputs!C12</f>
        <v>84375</v>
      </c>
      <c r="H5" s="13">
        <f>G5</f>
        <v>84375</v>
      </c>
      <c r="I5" s="14">
        <f>H5/Inputs!B12</f>
        <v>0.25</v>
      </c>
      <c r="J5" s="13">
        <f>Inputs!C13</f>
        <v>25000</v>
      </c>
      <c r="K5" s="13">
        <f>J5</f>
        <v>25000</v>
      </c>
      <c r="L5" s="14">
        <f>K5/Inputs!B13</f>
        <v>0.25</v>
      </c>
      <c r="M5" s="13">
        <f t="shared" ref="M5:M41" si="0">E5+H5+K5</f>
        <v>250000</v>
      </c>
      <c r="N5" s="14">
        <f>M5/Inputs!B14</f>
        <v>0.25</v>
      </c>
    </row>
    <row r="6" spans="1:14" x14ac:dyDescent="0.25">
      <c r="A6" s="11">
        <f>EDATE($A$5,1)</f>
        <v>46455</v>
      </c>
      <c r="B6" s="12">
        <v>1</v>
      </c>
      <c r="C6" s="6" t="s">
        <v>33</v>
      </c>
      <c r="D6" s="13">
        <f>IF($B6&lt;=Inputs!F11,Inputs!E11+1,Inputs!E11)</f>
        <v>11719</v>
      </c>
      <c r="E6" s="13">
        <f t="shared" ref="E6:E41" si="1">E5+D6</f>
        <v>152344</v>
      </c>
      <c r="F6" s="14">
        <f>E6/Inputs!B11</f>
        <v>0.27083377777777778</v>
      </c>
      <c r="G6" s="13">
        <f>IF($B6&lt;=Inputs!F12,Inputs!E12+1,Inputs!E12)</f>
        <v>7032</v>
      </c>
      <c r="H6" s="13">
        <f t="shared" ref="H6:H41" si="2">H5+G6</f>
        <v>91407</v>
      </c>
      <c r="I6" s="14">
        <f>H6/Inputs!B12</f>
        <v>0.27083555555555555</v>
      </c>
      <c r="J6" s="13">
        <f>IF($B6&lt;=Inputs!F13,Inputs!E13+1,Inputs!E13)</f>
        <v>2084</v>
      </c>
      <c r="K6" s="13">
        <f t="shared" ref="K6:K41" si="3">K5+J6</f>
        <v>27084</v>
      </c>
      <c r="L6" s="14">
        <f>K6/Inputs!B13</f>
        <v>0.27084000000000003</v>
      </c>
      <c r="M6" s="13">
        <f t="shared" si="0"/>
        <v>270835</v>
      </c>
      <c r="N6" s="14">
        <f>M6/Inputs!B14</f>
        <v>0.27083499999999999</v>
      </c>
    </row>
    <row r="7" spans="1:14" x14ac:dyDescent="0.25">
      <c r="A7" s="11">
        <f>EDATE($A$5,2)</f>
        <v>46486</v>
      </c>
      <c r="B7" s="12">
        <v>2</v>
      </c>
      <c r="C7" s="6" t="s">
        <v>34</v>
      </c>
      <c r="D7" s="13">
        <f>IF($B7&lt;=Inputs!F11,Inputs!E11+1,Inputs!E11)</f>
        <v>11719</v>
      </c>
      <c r="E7" s="13">
        <f t="shared" si="1"/>
        <v>164063</v>
      </c>
      <c r="F7" s="14">
        <f>E7/Inputs!B11</f>
        <v>0.29166755555555557</v>
      </c>
      <c r="G7" s="13">
        <f>IF($B7&lt;=Inputs!F12,Inputs!E12+1,Inputs!E12)</f>
        <v>7032</v>
      </c>
      <c r="H7" s="13">
        <f t="shared" si="2"/>
        <v>98439</v>
      </c>
      <c r="I7" s="14">
        <f>H7/Inputs!B12</f>
        <v>0.2916711111111111</v>
      </c>
      <c r="J7" s="13">
        <f>IF($B7&lt;=Inputs!F13,Inputs!E13+1,Inputs!E13)</f>
        <v>2084</v>
      </c>
      <c r="K7" s="13">
        <f t="shared" si="3"/>
        <v>29168</v>
      </c>
      <c r="L7" s="14">
        <f>K7/Inputs!B13</f>
        <v>0.29167999999999999</v>
      </c>
      <c r="M7" s="13">
        <f t="shared" si="0"/>
        <v>291670</v>
      </c>
      <c r="N7" s="14">
        <f>M7/Inputs!B14</f>
        <v>0.29166999999999998</v>
      </c>
    </row>
    <row r="8" spans="1:14" x14ac:dyDescent="0.25">
      <c r="A8" s="11">
        <f>EDATE($A$5,3)</f>
        <v>46516</v>
      </c>
      <c r="B8" s="12">
        <v>3</v>
      </c>
      <c r="C8" s="6" t="s">
        <v>35</v>
      </c>
      <c r="D8" s="13">
        <f>IF($B8&lt;=Inputs!F11,Inputs!E11+1,Inputs!E11)</f>
        <v>11719</v>
      </c>
      <c r="E8" s="13">
        <f t="shared" si="1"/>
        <v>175782</v>
      </c>
      <c r="F8" s="14">
        <f>E8/Inputs!B11</f>
        <v>0.31250133333333335</v>
      </c>
      <c r="G8" s="13">
        <f>IF($B8&lt;=Inputs!F12,Inputs!E12+1,Inputs!E12)</f>
        <v>7032</v>
      </c>
      <c r="H8" s="13">
        <f t="shared" si="2"/>
        <v>105471</v>
      </c>
      <c r="I8" s="14">
        <f>H8/Inputs!B12</f>
        <v>0.31250666666666665</v>
      </c>
      <c r="J8" s="13">
        <f>IF($B8&lt;=Inputs!F13,Inputs!E13+1,Inputs!E13)</f>
        <v>2084</v>
      </c>
      <c r="K8" s="13">
        <f t="shared" si="3"/>
        <v>31252</v>
      </c>
      <c r="L8" s="14">
        <f>K8/Inputs!B13</f>
        <v>0.31252000000000002</v>
      </c>
      <c r="M8" s="13">
        <f t="shared" si="0"/>
        <v>312505</v>
      </c>
      <c r="N8" s="14">
        <f>M8/Inputs!B14</f>
        <v>0.31250499999999998</v>
      </c>
    </row>
    <row r="9" spans="1:14" x14ac:dyDescent="0.25">
      <c r="A9" s="11">
        <f>EDATE($A$5,4)</f>
        <v>46547</v>
      </c>
      <c r="B9" s="12">
        <v>4</v>
      </c>
      <c r="C9" s="6" t="s">
        <v>36</v>
      </c>
      <c r="D9" s="13">
        <f>IF($B9&lt;=Inputs!F11,Inputs!E11+1,Inputs!E11)</f>
        <v>11719</v>
      </c>
      <c r="E9" s="13">
        <f t="shared" si="1"/>
        <v>187501</v>
      </c>
      <c r="F9" s="14">
        <f>E9/Inputs!B11</f>
        <v>0.33333511111111114</v>
      </c>
      <c r="G9" s="13">
        <f>IF($B9&lt;=Inputs!F12,Inputs!E12+1,Inputs!E12)</f>
        <v>7032</v>
      </c>
      <c r="H9" s="13">
        <f t="shared" si="2"/>
        <v>112503</v>
      </c>
      <c r="I9" s="14">
        <f>H9/Inputs!B12</f>
        <v>0.33334222222222221</v>
      </c>
      <c r="J9" s="13">
        <f>IF($B9&lt;=Inputs!F13,Inputs!E13+1,Inputs!E13)</f>
        <v>2084</v>
      </c>
      <c r="K9" s="13">
        <f t="shared" si="3"/>
        <v>33336</v>
      </c>
      <c r="L9" s="14">
        <f>K9/Inputs!B13</f>
        <v>0.33335999999999999</v>
      </c>
      <c r="M9" s="13">
        <f t="shared" si="0"/>
        <v>333340</v>
      </c>
      <c r="N9" s="14">
        <f>M9/Inputs!B14</f>
        <v>0.33334000000000003</v>
      </c>
    </row>
    <row r="10" spans="1:14" x14ac:dyDescent="0.25">
      <c r="A10" s="11">
        <f>EDATE($A$5,5)</f>
        <v>46577</v>
      </c>
      <c r="B10" s="12">
        <v>5</v>
      </c>
      <c r="C10" s="6" t="s">
        <v>37</v>
      </c>
      <c r="D10" s="13">
        <f>IF($B10&lt;=Inputs!F11,Inputs!E11+1,Inputs!E11)</f>
        <v>11719</v>
      </c>
      <c r="E10" s="13">
        <f t="shared" si="1"/>
        <v>199220</v>
      </c>
      <c r="F10" s="14">
        <f>E10/Inputs!B11</f>
        <v>0.35416888888888887</v>
      </c>
      <c r="G10" s="13">
        <f>IF($B10&lt;=Inputs!F12,Inputs!E12+1,Inputs!E12)</f>
        <v>7032</v>
      </c>
      <c r="H10" s="13">
        <f t="shared" si="2"/>
        <v>119535</v>
      </c>
      <c r="I10" s="14">
        <f>H10/Inputs!B12</f>
        <v>0.35417777777777776</v>
      </c>
      <c r="J10" s="13">
        <f>IF($B10&lt;=Inputs!F13,Inputs!E13+1,Inputs!E13)</f>
        <v>2084</v>
      </c>
      <c r="K10" s="13">
        <f t="shared" si="3"/>
        <v>35420</v>
      </c>
      <c r="L10" s="14">
        <f>K10/Inputs!B13</f>
        <v>0.35420000000000001</v>
      </c>
      <c r="M10" s="13">
        <f t="shared" si="0"/>
        <v>354175</v>
      </c>
      <c r="N10" s="14">
        <f>M10/Inputs!B14</f>
        <v>0.35417500000000002</v>
      </c>
    </row>
    <row r="11" spans="1:14" x14ac:dyDescent="0.25">
      <c r="A11" s="11">
        <f>EDATE($A$5,6)</f>
        <v>46608</v>
      </c>
      <c r="B11" s="12">
        <v>6</v>
      </c>
      <c r="C11" s="6" t="s">
        <v>38</v>
      </c>
      <c r="D11" s="13">
        <f>IF($B11&lt;=Inputs!F11,Inputs!E11+1,Inputs!E11)</f>
        <v>11719</v>
      </c>
      <c r="E11" s="13">
        <f t="shared" si="1"/>
        <v>210939</v>
      </c>
      <c r="F11" s="14">
        <f>E11/Inputs!B11</f>
        <v>0.37500266666666665</v>
      </c>
      <c r="G11" s="13">
        <f>IF($B11&lt;=Inputs!F12,Inputs!E12+1,Inputs!E12)</f>
        <v>7032</v>
      </c>
      <c r="H11" s="13">
        <f t="shared" si="2"/>
        <v>126567</v>
      </c>
      <c r="I11" s="14">
        <f>H11/Inputs!B12</f>
        <v>0.37501333333333331</v>
      </c>
      <c r="J11" s="13">
        <f>IF($B11&lt;=Inputs!F13,Inputs!E13+1,Inputs!E13)</f>
        <v>2084</v>
      </c>
      <c r="K11" s="13">
        <f t="shared" si="3"/>
        <v>37504</v>
      </c>
      <c r="L11" s="14">
        <f>K11/Inputs!B13</f>
        <v>0.37503999999999998</v>
      </c>
      <c r="M11" s="13">
        <f t="shared" si="0"/>
        <v>375010</v>
      </c>
      <c r="N11" s="14">
        <f>M11/Inputs!B14</f>
        <v>0.37501000000000001</v>
      </c>
    </row>
    <row r="12" spans="1:14" x14ac:dyDescent="0.25">
      <c r="A12" s="11">
        <f>EDATE($A$5,7)</f>
        <v>46639</v>
      </c>
      <c r="B12" s="12">
        <v>7</v>
      </c>
      <c r="C12" s="6" t="s">
        <v>39</v>
      </c>
      <c r="D12" s="13">
        <f>IF($B12&lt;=Inputs!F11,Inputs!E11+1,Inputs!E11)</f>
        <v>11719</v>
      </c>
      <c r="E12" s="13">
        <f t="shared" si="1"/>
        <v>222658</v>
      </c>
      <c r="F12" s="14">
        <f>E12/Inputs!B11</f>
        <v>0.39583644444444444</v>
      </c>
      <c r="G12" s="13">
        <f>IF($B12&lt;=Inputs!F12,Inputs!E12+1,Inputs!E12)</f>
        <v>7032</v>
      </c>
      <c r="H12" s="13">
        <f t="shared" si="2"/>
        <v>133599</v>
      </c>
      <c r="I12" s="14">
        <f>H12/Inputs!B12</f>
        <v>0.39584888888888886</v>
      </c>
      <c r="J12" s="13">
        <f>IF($B12&lt;=Inputs!F13,Inputs!E13+1,Inputs!E13)</f>
        <v>2084</v>
      </c>
      <c r="K12" s="13">
        <f t="shared" si="3"/>
        <v>39588</v>
      </c>
      <c r="L12" s="14">
        <f>K12/Inputs!B13</f>
        <v>0.39588000000000001</v>
      </c>
      <c r="M12" s="13">
        <f t="shared" si="0"/>
        <v>395845</v>
      </c>
      <c r="N12" s="14">
        <f>M12/Inputs!B14</f>
        <v>0.395845</v>
      </c>
    </row>
    <row r="13" spans="1:14" x14ac:dyDescent="0.25">
      <c r="A13" s="11">
        <f>EDATE($A$5,8)</f>
        <v>46669</v>
      </c>
      <c r="B13" s="12">
        <v>8</v>
      </c>
      <c r="C13" s="6" t="s">
        <v>40</v>
      </c>
      <c r="D13" s="13">
        <f>IF($B13&lt;=Inputs!F11,Inputs!E11+1,Inputs!E11)</f>
        <v>11719</v>
      </c>
      <c r="E13" s="13">
        <f t="shared" si="1"/>
        <v>234377</v>
      </c>
      <c r="F13" s="14">
        <f>E13/Inputs!B11</f>
        <v>0.41667022222222222</v>
      </c>
      <c r="G13" s="13">
        <f>IF($B13&lt;=Inputs!F12,Inputs!E12+1,Inputs!E12)</f>
        <v>7032</v>
      </c>
      <c r="H13" s="13">
        <f t="shared" si="2"/>
        <v>140631</v>
      </c>
      <c r="I13" s="14">
        <f>H13/Inputs!B12</f>
        <v>0.41668444444444447</v>
      </c>
      <c r="J13" s="13">
        <f>IF($B13&lt;=Inputs!F13,Inputs!E13+1,Inputs!E13)</f>
        <v>2084</v>
      </c>
      <c r="K13" s="13">
        <f t="shared" si="3"/>
        <v>41672</v>
      </c>
      <c r="L13" s="14">
        <f>K13/Inputs!B13</f>
        <v>0.41671999999999998</v>
      </c>
      <c r="M13" s="13">
        <f t="shared" si="0"/>
        <v>416680</v>
      </c>
      <c r="N13" s="14">
        <f>M13/Inputs!B14</f>
        <v>0.41667999999999999</v>
      </c>
    </row>
    <row r="14" spans="1:14" x14ac:dyDescent="0.25">
      <c r="A14" s="11">
        <f>EDATE($A$5,9)</f>
        <v>46700</v>
      </c>
      <c r="B14" s="12">
        <v>9</v>
      </c>
      <c r="C14" s="6" t="s">
        <v>41</v>
      </c>
      <c r="D14" s="13">
        <f>IF($B14&lt;=Inputs!F11,Inputs!E11+1,Inputs!E11)</f>
        <v>11719</v>
      </c>
      <c r="E14" s="13">
        <f t="shared" si="1"/>
        <v>246096</v>
      </c>
      <c r="F14" s="14">
        <f>E14/Inputs!B11</f>
        <v>0.437504</v>
      </c>
      <c r="G14" s="13">
        <f>IF($B14&lt;=Inputs!F12,Inputs!E12+1,Inputs!E12)</f>
        <v>7032</v>
      </c>
      <c r="H14" s="13">
        <f t="shared" si="2"/>
        <v>147663</v>
      </c>
      <c r="I14" s="14">
        <f>H14/Inputs!B12</f>
        <v>0.43752000000000002</v>
      </c>
      <c r="J14" s="13">
        <f>IF($B14&lt;=Inputs!F13,Inputs!E13+1,Inputs!E13)</f>
        <v>2084</v>
      </c>
      <c r="K14" s="13">
        <f t="shared" si="3"/>
        <v>43756</v>
      </c>
      <c r="L14" s="14">
        <f>K14/Inputs!B13</f>
        <v>0.43756</v>
      </c>
      <c r="M14" s="13">
        <f t="shared" si="0"/>
        <v>437515</v>
      </c>
      <c r="N14" s="14">
        <f>M14/Inputs!B14</f>
        <v>0.43751499999999999</v>
      </c>
    </row>
    <row r="15" spans="1:14" x14ac:dyDescent="0.25">
      <c r="A15" s="11">
        <f>EDATE($A$5,10)</f>
        <v>46730</v>
      </c>
      <c r="B15" s="12">
        <v>10</v>
      </c>
      <c r="C15" s="6" t="s">
        <v>42</v>
      </c>
      <c r="D15" s="13">
        <f>IF($B15&lt;=Inputs!F11,Inputs!E11+1,Inputs!E11)</f>
        <v>11719</v>
      </c>
      <c r="E15" s="13">
        <f t="shared" si="1"/>
        <v>257815</v>
      </c>
      <c r="F15" s="14">
        <f>E15/Inputs!B11</f>
        <v>0.45833777777777779</v>
      </c>
      <c r="G15" s="13">
        <f>IF($B15&lt;=Inputs!F12,Inputs!E12+1,Inputs!E12)</f>
        <v>7031</v>
      </c>
      <c r="H15" s="13">
        <f t="shared" si="2"/>
        <v>154694</v>
      </c>
      <c r="I15" s="14">
        <f>H15/Inputs!B12</f>
        <v>0.45835259259259259</v>
      </c>
      <c r="J15" s="13">
        <f>IF($B15&lt;=Inputs!F13,Inputs!E13+1,Inputs!E13)</f>
        <v>2084</v>
      </c>
      <c r="K15" s="13">
        <f t="shared" si="3"/>
        <v>45840</v>
      </c>
      <c r="L15" s="14">
        <f>K15/Inputs!B13</f>
        <v>0.45839999999999997</v>
      </c>
      <c r="M15" s="13">
        <f t="shared" si="0"/>
        <v>458349</v>
      </c>
      <c r="N15" s="14">
        <f>M15/Inputs!B14</f>
        <v>0.45834900000000001</v>
      </c>
    </row>
    <row r="16" spans="1:14" x14ac:dyDescent="0.25">
      <c r="A16" s="11">
        <f>EDATE($A$5,11)</f>
        <v>46761</v>
      </c>
      <c r="B16" s="12">
        <v>11</v>
      </c>
      <c r="C16" s="6" t="s">
        <v>43</v>
      </c>
      <c r="D16" s="13">
        <f>IF($B16&lt;=Inputs!F11,Inputs!E11+1,Inputs!E11)</f>
        <v>11719</v>
      </c>
      <c r="E16" s="13">
        <f t="shared" si="1"/>
        <v>269534</v>
      </c>
      <c r="F16" s="14">
        <f>E16/Inputs!B11</f>
        <v>0.47917155555555557</v>
      </c>
      <c r="G16" s="13">
        <f>IF($B16&lt;=Inputs!F12,Inputs!E12+1,Inputs!E12)</f>
        <v>7031</v>
      </c>
      <c r="H16" s="13">
        <f t="shared" si="2"/>
        <v>161725</v>
      </c>
      <c r="I16" s="14">
        <f>H16/Inputs!B12</f>
        <v>0.47918518518518516</v>
      </c>
      <c r="J16" s="13">
        <f>IF($B16&lt;=Inputs!F13,Inputs!E13+1,Inputs!E13)</f>
        <v>2084</v>
      </c>
      <c r="K16" s="13">
        <f t="shared" si="3"/>
        <v>47924</v>
      </c>
      <c r="L16" s="14">
        <f>K16/Inputs!B13</f>
        <v>0.47924</v>
      </c>
      <c r="M16" s="13">
        <f t="shared" si="0"/>
        <v>479183</v>
      </c>
      <c r="N16" s="14">
        <f>M16/Inputs!B14</f>
        <v>0.47918300000000003</v>
      </c>
    </row>
    <row r="17" spans="1:14" x14ac:dyDescent="0.25">
      <c r="A17" s="11">
        <f>EDATE($A$5,12)</f>
        <v>46792</v>
      </c>
      <c r="B17" s="12">
        <v>12</v>
      </c>
      <c r="C17" s="6" t="s">
        <v>44</v>
      </c>
      <c r="D17" s="13">
        <f>IF($B17&lt;=Inputs!F11,Inputs!E11+1,Inputs!E11)</f>
        <v>11719</v>
      </c>
      <c r="E17" s="13">
        <f t="shared" si="1"/>
        <v>281253</v>
      </c>
      <c r="F17" s="14">
        <f>E17/Inputs!B11</f>
        <v>0.5000053333333333</v>
      </c>
      <c r="G17" s="13">
        <f>IF($B17&lt;=Inputs!F12,Inputs!E12+1,Inputs!E12)</f>
        <v>7031</v>
      </c>
      <c r="H17" s="13">
        <f t="shared" si="2"/>
        <v>168756</v>
      </c>
      <c r="I17" s="14">
        <f>H17/Inputs!B12</f>
        <v>0.50001777777777778</v>
      </c>
      <c r="J17" s="13">
        <f>IF($B17&lt;=Inputs!F13,Inputs!E13+1,Inputs!E13)</f>
        <v>2084</v>
      </c>
      <c r="K17" s="13">
        <f t="shared" si="3"/>
        <v>50008</v>
      </c>
      <c r="L17" s="14">
        <f>K17/Inputs!B13</f>
        <v>0.50007999999999997</v>
      </c>
      <c r="M17" s="13">
        <f t="shared" si="0"/>
        <v>500017</v>
      </c>
      <c r="N17" s="14">
        <f>M17/Inputs!B14</f>
        <v>0.50001700000000004</v>
      </c>
    </row>
    <row r="18" spans="1:14" x14ac:dyDescent="0.25">
      <c r="A18" s="11">
        <f>EDATE($A$5,13)</f>
        <v>46821</v>
      </c>
      <c r="B18" s="12">
        <v>13</v>
      </c>
      <c r="C18" s="6" t="s">
        <v>45</v>
      </c>
      <c r="D18" s="13">
        <f>IF($B18&lt;=Inputs!F11,Inputs!E11+1,Inputs!E11)</f>
        <v>11719</v>
      </c>
      <c r="E18" s="13">
        <f t="shared" si="1"/>
        <v>292972</v>
      </c>
      <c r="F18" s="14">
        <f>E18/Inputs!B11</f>
        <v>0.52083911111111114</v>
      </c>
      <c r="G18" s="13">
        <f>IF($B18&lt;=Inputs!F12,Inputs!E12+1,Inputs!E12)</f>
        <v>7031</v>
      </c>
      <c r="H18" s="13">
        <f t="shared" si="2"/>
        <v>175787</v>
      </c>
      <c r="I18" s="14">
        <f>H18/Inputs!B12</f>
        <v>0.52085037037037041</v>
      </c>
      <c r="J18" s="13">
        <f>IF($B18&lt;=Inputs!F13,Inputs!E13+1,Inputs!E13)</f>
        <v>2083</v>
      </c>
      <c r="K18" s="13">
        <f t="shared" si="3"/>
        <v>52091</v>
      </c>
      <c r="L18" s="14">
        <f>K18/Inputs!B13</f>
        <v>0.52090999999999998</v>
      </c>
      <c r="M18" s="13">
        <f t="shared" si="0"/>
        <v>520850</v>
      </c>
      <c r="N18" s="14">
        <f>M18/Inputs!B14</f>
        <v>0.52085000000000004</v>
      </c>
    </row>
    <row r="19" spans="1:14" x14ac:dyDescent="0.25">
      <c r="A19" s="11">
        <f>EDATE($A$5,14)</f>
        <v>46852</v>
      </c>
      <c r="B19" s="12">
        <v>14</v>
      </c>
      <c r="C19" s="6" t="s">
        <v>46</v>
      </c>
      <c r="D19" s="13">
        <f>IF($B19&lt;=Inputs!F11,Inputs!E11+1,Inputs!E11)</f>
        <v>11719</v>
      </c>
      <c r="E19" s="13">
        <f t="shared" si="1"/>
        <v>304691</v>
      </c>
      <c r="F19" s="14">
        <f>E19/Inputs!B11</f>
        <v>0.54167288888888887</v>
      </c>
      <c r="G19" s="13">
        <f>IF($B19&lt;=Inputs!F12,Inputs!E12+1,Inputs!E12)</f>
        <v>7031</v>
      </c>
      <c r="H19" s="13">
        <f t="shared" si="2"/>
        <v>182818</v>
      </c>
      <c r="I19" s="14">
        <f>H19/Inputs!B12</f>
        <v>0.54168296296296292</v>
      </c>
      <c r="J19" s="13">
        <f>IF($B19&lt;=Inputs!F13,Inputs!E13+1,Inputs!E13)</f>
        <v>2083</v>
      </c>
      <c r="K19" s="13">
        <f t="shared" si="3"/>
        <v>54174</v>
      </c>
      <c r="L19" s="14">
        <f>K19/Inputs!B13</f>
        <v>0.54174</v>
      </c>
      <c r="M19" s="13">
        <f t="shared" si="0"/>
        <v>541683</v>
      </c>
      <c r="N19" s="14">
        <f>M19/Inputs!B14</f>
        <v>0.54168300000000003</v>
      </c>
    </row>
    <row r="20" spans="1:14" x14ac:dyDescent="0.25">
      <c r="A20" s="11">
        <f>EDATE($A$5,15)</f>
        <v>46882</v>
      </c>
      <c r="B20" s="12">
        <v>15</v>
      </c>
      <c r="C20" s="6" t="s">
        <v>47</v>
      </c>
      <c r="D20" s="13">
        <f>IF($B20&lt;=Inputs!F11,Inputs!E11+1,Inputs!E11)</f>
        <v>11719</v>
      </c>
      <c r="E20" s="13">
        <f t="shared" si="1"/>
        <v>316410</v>
      </c>
      <c r="F20" s="14">
        <f>E20/Inputs!B11</f>
        <v>0.56250666666666671</v>
      </c>
      <c r="G20" s="13">
        <f>IF($B20&lt;=Inputs!F12,Inputs!E12+1,Inputs!E12)</f>
        <v>7031</v>
      </c>
      <c r="H20" s="13">
        <f t="shared" si="2"/>
        <v>189849</v>
      </c>
      <c r="I20" s="14">
        <f>H20/Inputs!B12</f>
        <v>0.56251555555555555</v>
      </c>
      <c r="J20" s="13">
        <f>IF($B20&lt;=Inputs!F13,Inputs!E13+1,Inputs!E13)</f>
        <v>2083</v>
      </c>
      <c r="K20" s="13">
        <f t="shared" si="3"/>
        <v>56257</v>
      </c>
      <c r="L20" s="14">
        <f>K20/Inputs!B13</f>
        <v>0.56257000000000001</v>
      </c>
      <c r="M20" s="13">
        <f t="shared" si="0"/>
        <v>562516</v>
      </c>
      <c r="N20" s="14">
        <f>M20/Inputs!B14</f>
        <v>0.56251600000000002</v>
      </c>
    </row>
    <row r="21" spans="1:14" x14ac:dyDescent="0.25">
      <c r="A21" s="11">
        <f>EDATE($A$5,16)</f>
        <v>46913</v>
      </c>
      <c r="B21" s="12">
        <v>16</v>
      </c>
      <c r="C21" s="6" t="s">
        <v>48</v>
      </c>
      <c r="D21" s="13">
        <f>IF($B21&lt;=Inputs!F11,Inputs!E11+1,Inputs!E11)</f>
        <v>11719</v>
      </c>
      <c r="E21" s="13">
        <f t="shared" si="1"/>
        <v>328129</v>
      </c>
      <c r="F21" s="14">
        <f>E21/Inputs!B11</f>
        <v>0.58334044444444444</v>
      </c>
      <c r="G21" s="13">
        <f>IF($B21&lt;=Inputs!F12,Inputs!E12+1,Inputs!E12)</f>
        <v>7031</v>
      </c>
      <c r="H21" s="13">
        <f t="shared" si="2"/>
        <v>196880</v>
      </c>
      <c r="I21" s="14">
        <f>H21/Inputs!B12</f>
        <v>0.58334814814814817</v>
      </c>
      <c r="J21" s="13">
        <f>IF($B21&lt;=Inputs!F13,Inputs!E13+1,Inputs!E13)</f>
        <v>2083</v>
      </c>
      <c r="K21" s="13">
        <f t="shared" si="3"/>
        <v>58340</v>
      </c>
      <c r="L21" s="14">
        <f>K21/Inputs!B13</f>
        <v>0.58340000000000003</v>
      </c>
      <c r="M21" s="13">
        <f t="shared" si="0"/>
        <v>583349</v>
      </c>
      <c r="N21" s="14">
        <f>M21/Inputs!B14</f>
        <v>0.58334900000000001</v>
      </c>
    </row>
    <row r="22" spans="1:14" x14ac:dyDescent="0.25">
      <c r="A22" s="11">
        <f>EDATE($A$5,17)</f>
        <v>46943</v>
      </c>
      <c r="B22" s="12">
        <v>17</v>
      </c>
      <c r="C22" s="6" t="s">
        <v>49</v>
      </c>
      <c r="D22" s="13">
        <f>IF($B22&lt;=Inputs!F11,Inputs!E11+1,Inputs!E11)</f>
        <v>11719</v>
      </c>
      <c r="E22" s="13">
        <f t="shared" si="1"/>
        <v>339848</v>
      </c>
      <c r="F22" s="14">
        <f>E22/Inputs!B11</f>
        <v>0.60417422222222217</v>
      </c>
      <c r="G22" s="13">
        <f>IF($B22&lt;=Inputs!F12,Inputs!E12+1,Inputs!E12)</f>
        <v>7031</v>
      </c>
      <c r="H22" s="13">
        <f t="shared" si="2"/>
        <v>203911</v>
      </c>
      <c r="I22" s="14">
        <f>H22/Inputs!B12</f>
        <v>0.6041807407407408</v>
      </c>
      <c r="J22" s="13">
        <f>IF($B22&lt;=Inputs!F13,Inputs!E13+1,Inputs!E13)</f>
        <v>2083</v>
      </c>
      <c r="K22" s="13">
        <f t="shared" si="3"/>
        <v>60423</v>
      </c>
      <c r="L22" s="14">
        <f>K22/Inputs!B13</f>
        <v>0.60423000000000004</v>
      </c>
      <c r="M22" s="13">
        <f t="shared" si="0"/>
        <v>604182</v>
      </c>
      <c r="N22" s="14">
        <f>M22/Inputs!B14</f>
        <v>0.604182</v>
      </c>
    </row>
    <row r="23" spans="1:14" x14ac:dyDescent="0.25">
      <c r="A23" s="11">
        <f>EDATE($A$5,18)</f>
        <v>46974</v>
      </c>
      <c r="B23" s="12">
        <v>18</v>
      </c>
      <c r="C23" s="6" t="s">
        <v>50</v>
      </c>
      <c r="D23" s="13">
        <f>IF($B23&lt;=Inputs!F11,Inputs!E11+1,Inputs!E11)</f>
        <v>11719</v>
      </c>
      <c r="E23" s="13">
        <f t="shared" si="1"/>
        <v>351567</v>
      </c>
      <c r="F23" s="14">
        <f>E23/Inputs!B11</f>
        <v>0.62500800000000001</v>
      </c>
      <c r="G23" s="13">
        <f>IF($B23&lt;=Inputs!F12,Inputs!E12+1,Inputs!E12)</f>
        <v>7031</v>
      </c>
      <c r="H23" s="13">
        <f t="shared" si="2"/>
        <v>210942</v>
      </c>
      <c r="I23" s="14">
        <f>H23/Inputs!B12</f>
        <v>0.62501333333333331</v>
      </c>
      <c r="J23" s="13">
        <f>IF($B23&lt;=Inputs!F13,Inputs!E13+1,Inputs!E13)</f>
        <v>2083</v>
      </c>
      <c r="K23" s="13">
        <f t="shared" si="3"/>
        <v>62506</v>
      </c>
      <c r="L23" s="14">
        <f>K23/Inputs!B13</f>
        <v>0.62505999999999995</v>
      </c>
      <c r="M23" s="13">
        <f t="shared" si="0"/>
        <v>625015</v>
      </c>
      <c r="N23" s="14">
        <f>M23/Inputs!B14</f>
        <v>0.62501499999999999</v>
      </c>
    </row>
    <row r="24" spans="1:14" x14ac:dyDescent="0.25">
      <c r="A24" s="11">
        <f>EDATE($A$5,19)</f>
        <v>47005</v>
      </c>
      <c r="B24" s="12">
        <v>19</v>
      </c>
      <c r="C24" s="6" t="s">
        <v>51</v>
      </c>
      <c r="D24" s="13">
        <f>IF($B24&lt;=Inputs!F11,Inputs!E11+1,Inputs!E11)</f>
        <v>11719</v>
      </c>
      <c r="E24" s="13">
        <f t="shared" si="1"/>
        <v>363286</v>
      </c>
      <c r="F24" s="14">
        <f>E24/Inputs!B11</f>
        <v>0.64584177777777774</v>
      </c>
      <c r="G24" s="13">
        <f>IF($B24&lt;=Inputs!F12,Inputs!E12+1,Inputs!E12)</f>
        <v>7031</v>
      </c>
      <c r="H24" s="13">
        <f t="shared" si="2"/>
        <v>217973</v>
      </c>
      <c r="I24" s="14">
        <f>H24/Inputs!B12</f>
        <v>0.64584592592592593</v>
      </c>
      <c r="J24" s="13">
        <f>IF($B24&lt;=Inputs!F13,Inputs!E13+1,Inputs!E13)</f>
        <v>2083</v>
      </c>
      <c r="K24" s="13">
        <f t="shared" si="3"/>
        <v>64589</v>
      </c>
      <c r="L24" s="14">
        <f>K24/Inputs!B13</f>
        <v>0.64588999999999996</v>
      </c>
      <c r="M24" s="13">
        <f t="shared" si="0"/>
        <v>645848</v>
      </c>
      <c r="N24" s="14">
        <f>M24/Inputs!B14</f>
        <v>0.64584799999999998</v>
      </c>
    </row>
    <row r="25" spans="1:14" x14ac:dyDescent="0.25">
      <c r="A25" s="11">
        <f>EDATE($A$5,20)</f>
        <v>47035</v>
      </c>
      <c r="B25" s="12">
        <v>20</v>
      </c>
      <c r="C25" s="6" t="s">
        <v>52</v>
      </c>
      <c r="D25" s="13">
        <f>IF($B25&lt;=Inputs!F11,Inputs!E11+1,Inputs!E11)</f>
        <v>11719</v>
      </c>
      <c r="E25" s="13">
        <f t="shared" si="1"/>
        <v>375005</v>
      </c>
      <c r="F25" s="14">
        <f>E25/Inputs!B11</f>
        <v>0.66667555555555558</v>
      </c>
      <c r="G25" s="13">
        <f>IF($B25&lt;=Inputs!F12,Inputs!E12+1,Inputs!E12)</f>
        <v>7031</v>
      </c>
      <c r="H25" s="13">
        <f t="shared" si="2"/>
        <v>225004</v>
      </c>
      <c r="I25" s="14">
        <f>H25/Inputs!B12</f>
        <v>0.66667851851851856</v>
      </c>
      <c r="J25" s="13">
        <f>IF($B25&lt;=Inputs!F13,Inputs!E13+1,Inputs!E13)</f>
        <v>2083</v>
      </c>
      <c r="K25" s="13">
        <f t="shared" si="3"/>
        <v>66672</v>
      </c>
      <c r="L25" s="14">
        <f>K25/Inputs!B13</f>
        <v>0.66671999999999998</v>
      </c>
      <c r="M25" s="13">
        <f t="shared" si="0"/>
        <v>666681</v>
      </c>
      <c r="N25" s="14">
        <f>M25/Inputs!B14</f>
        <v>0.66668099999999997</v>
      </c>
    </row>
    <row r="26" spans="1:14" x14ac:dyDescent="0.25">
      <c r="A26" s="11">
        <f>EDATE($A$5,21)</f>
        <v>47066</v>
      </c>
      <c r="B26" s="12">
        <v>21</v>
      </c>
      <c r="C26" s="6" t="s">
        <v>53</v>
      </c>
      <c r="D26" s="13">
        <f>IF($B26&lt;=Inputs!F11,Inputs!E11+1,Inputs!E11)</f>
        <v>11719</v>
      </c>
      <c r="E26" s="13">
        <f t="shared" si="1"/>
        <v>386724</v>
      </c>
      <c r="F26" s="14">
        <f>E26/Inputs!B11</f>
        <v>0.68750933333333331</v>
      </c>
      <c r="G26" s="13">
        <f>IF($B26&lt;=Inputs!F12,Inputs!E12+1,Inputs!E12)</f>
        <v>7031</v>
      </c>
      <c r="H26" s="13">
        <f t="shared" si="2"/>
        <v>232035</v>
      </c>
      <c r="I26" s="14">
        <f>H26/Inputs!B12</f>
        <v>0.68751111111111107</v>
      </c>
      <c r="J26" s="13">
        <f>IF($B26&lt;=Inputs!F13,Inputs!E13+1,Inputs!E13)</f>
        <v>2083</v>
      </c>
      <c r="K26" s="13">
        <f t="shared" si="3"/>
        <v>68755</v>
      </c>
      <c r="L26" s="14">
        <f>K26/Inputs!B13</f>
        <v>0.68754999999999999</v>
      </c>
      <c r="M26" s="13">
        <f t="shared" si="0"/>
        <v>687514</v>
      </c>
      <c r="N26" s="14">
        <f>M26/Inputs!B14</f>
        <v>0.68751399999999996</v>
      </c>
    </row>
    <row r="27" spans="1:14" x14ac:dyDescent="0.25">
      <c r="A27" s="11">
        <f>EDATE($A$5,22)</f>
        <v>47096</v>
      </c>
      <c r="B27" s="12">
        <v>22</v>
      </c>
      <c r="C27" s="6" t="s">
        <v>54</v>
      </c>
      <c r="D27" s="13">
        <f>IF($B27&lt;=Inputs!F11,Inputs!E11+1,Inputs!E11)</f>
        <v>11719</v>
      </c>
      <c r="E27" s="13">
        <f t="shared" si="1"/>
        <v>398443</v>
      </c>
      <c r="F27" s="14">
        <f>E27/Inputs!B11</f>
        <v>0.70834311111111115</v>
      </c>
      <c r="G27" s="13">
        <f>IF($B27&lt;=Inputs!F12,Inputs!E12+1,Inputs!E12)</f>
        <v>7031</v>
      </c>
      <c r="H27" s="13">
        <f t="shared" si="2"/>
        <v>239066</v>
      </c>
      <c r="I27" s="14">
        <f>H27/Inputs!B12</f>
        <v>0.7083437037037037</v>
      </c>
      <c r="J27" s="13">
        <f>IF($B27&lt;=Inputs!F13,Inputs!E13+1,Inputs!E13)</f>
        <v>2083</v>
      </c>
      <c r="K27" s="13">
        <f t="shared" si="3"/>
        <v>70838</v>
      </c>
      <c r="L27" s="14">
        <f>K27/Inputs!B13</f>
        <v>0.70838000000000001</v>
      </c>
      <c r="M27" s="13">
        <f t="shared" si="0"/>
        <v>708347</v>
      </c>
      <c r="N27" s="14">
        <f>M27/Inputs!B14</f>
        <v>0.70834699999999995</v>
      </c>
    </row>
    <row r="28" spans="1:14" x14ac:dyDescent="0.25">
      <c r="A28" s="11">
        <f>EDATE($A$5,23)</f>
        <v>47127</v>
      </c>
      <c r="B28" s="12">
        <v>23</v>
      </c>
      <c r="C28" s="6" t="s">
        <v>55</v>
      </c>
      <c r="D28" s="13">
        <f>IF($B28&lt;=Inputs!F11,Inputs!E11+1,Inputs!E11)</f>
        <v>11719</v>
      </c>
      <c r="E28" s="13">
        <f t="shared" si="1"/>
        <v>410162</v>
      </c>
      <c r="F28" s="14">
        <f>E28/Inputs!B11</f>
        <v>0.72917688888888887</v>
      </c>
      <c r="G28" s="13">
        <f>IF($B28&lt;=Inputs!F12,Inputs!E12+1,Inputs!E12)</f>
        <v>7031</v>
      </c>
      <c r="H28" s="13">
        <f t="shared" si="2"/>
        <v>246097</v>
      </c>
      <c r="I28" s="14">
        <f>H28/Inputs!B12</f>
        <v>0.72917629629629632</v>
      </c>
      <c r="J28" s="13">
        <f>IF($B28&lt;=Inputs!F13,Inputs!E13+1,Inputs!E13)</f>
        <v>2083</v>
      </c>
      <c r="K28" s="13">
        <f t="shared" si="3"/>
        <v>72921</v>
      </c>
      <c r="L28" s="14">
        <f>K28/Inputs!B13</f>
        <v>0.72921000000000002</v>
      </c>
      <c r="M28" s="13">
        <f t="shared" si="0"/>
        <v>729180</v>
      </c>
      <c r="N28" s="14">
        <f>M28/Inputs!B14</f>
        <v>0.72918000000000005</v>
      </c>
    </row>
    <row r="29" spans="1:14" x14ac:dyDescent="0.25">
      <c r="A29" s="11">
        <f>EDATE($A$5,24)</f>
        <v>47158</v>
      </c>
      <c r="B29" s="12">
        <v>24</v>
      </c>
      <c r="C29" s="6" t="s">
        <v>56</v>
      </c>
      <c r="D29" s="13">
        <f>IF($B29&lt;=Inputs!F11,Inputs!E11+1,Inputs!E11)</f>
        <v>11719</v>
      </c>
      <c r="E29" s="13">
        <f t="shared" si="1"/>
        <v>421881</v>
      </c>
      <c r="F29" s="14">
        <f>E29/Inputs!B11</f>
        <v>0.75001066666666671</v>
      </c>
      <c r="G29" s="13">
        <f>IF($B29&lt;=Inputs!F12,Inputs!E12+1,Inputs!E12)</f>
        <v>7031</v>
      </c>
      <c r="H29" s="13">
        <f t="shared" si="2"/>
        <v>253128</v>
      </c>
      <c r="I29" s="14">
        <f>H29/Inputs!B12</f>
        <v>0.75000888888888884</v>
      </c>
      <c r="J29" s="13">
        <f>IF($B29&lt;=Inputs!F13,Inputs!E13+1,Inputs!E13)</f>
        <v>2083</v>
      </c>
      <c r="K29" s="13">
        <f t="shared" si="3"/>
        <v>75004</v>
      </c>
      <c r="L29" s="14">
        <f>K29/Inputs!B13</f>
        <v>0.75004000000000004</v>
      </c>
      <c r="M29" s="13">
        <f t="shared" si="0"/>
        <v>750013</v>
      </c>
      <c r="N29" s="14">
        <f>M29/Inputs!B14</f>
        <v>0.75001300000000004</v>
      </c>
    </row>
    <row r="30" spans="1:14" x14ac:dyDescent="0.25">
      <c r="A30" s="11">
        <f>EDATE($A$5,25)</f>
        <v>47186</v>
      </c>
      <c r="B30" s="12">
        <v>25</v>
      </c>
      <c r="C30" s="6" t="s">
        <v>57</v>
      </c>
      <c r="D30" s="13">
        <f>IF($B30&lt;=Inputs!F11,Inputs!E11+1,Inputs!E11)</f>
        <v>11719</v>
      </c>
      <c r="E30" s="13">
        <f t="shared" si="1"/>
        <v>433600</v>
      </c>
      <c r="F30" s="14">
        <f>E30/Inputs!B11</f>
        <v>0.77084444444444444</v>
      </c>
      <c r="G30" s="13">
        <f>IF($B30&lt;=Inputs!F12,Inputs!E12+1,Inputs!E12)</f>
        <v>7031</v>
      </c>
      <c r="H30" s="13">
        <f t="shared" si="2"/>
        <v>260159</v>
      </c>
      <c r="I30" s="14">
        <f>H30/Inputs!B12</f>
        <v>0.77084148148148146</v>
      </c>
      <c r="J30" s="13">
        <f>IF($B30&lt;=Inputs!F13,Inputs!E13+1,Inputs!E13)</f>
        <v>2083</v>
      </c>
      <c r="K30" s="13">
        <f t="shared" si="3"/>
        <v>77087</v>
      </c>
      <c r="L30" s="14">
        <f>K30/Inputs!B13</f>
        <v>0.77087000000000006</v>
      </c>
      <c r="M30" s="13">
        <f t="shared" si="0"/>
        <v>770846</v>
      </c>
      <c r="N30" s="14">
        <f>M30/Inputs!B14</f>
        <v>0.77084600000000003</v>
      </c>
    </row>
    <row r="31" spans="1:14" x14ac:dyDescent="0.25">
      <c r="A31" s="11">
        <f>EDATE($A$5,26)</f>
        <v>47217</v>
      </c>
      <c r="B31" s="12">
        <v>26</v>
      </c>
      <c r="C31" s="6" t="s">
        <v>58</v>
      </c>
      <c r="D31" s="13">
        <f>IF($B31&lt;=Inputs!F11,Inputs!E11+1,Inputs!E11)</f>
        <v>11719</v>
      </c>
      <c r="E31" s="13">
        <f t="shared" si="1"/>
        <v>445319</v>
      </c>
      <c r="F31" s="14">
        <f>E31/Inputs!B11</f>
        <v>0.79167822222222217</v>
      </c>
      <c r="G31" s="13">
        <f>IF($B31&lt;=Inputs!F12,Inputs!E12+1,Inputs!E12)</f>
        <v>7031</v>
      </c>
      <c r="H31" s="13">
        <f t="shared" si="2"/>
        <v>267190</v>
      </c>
      <c r="I31" s="14">
        <f>H31/Inputs!B12</f>
        <v>0.79167407407407409</v>
      </c>
      <c r="J31" s="13">
        <f>IF($B31&lt;=Inputs!F13,Inputs!E13+1,Inputs!E13)</f>
        <v>2083</v>
      </c>
      <c r="K31" s="13">
        <f t="shared" si="3"/>
        <v>79170</v>
      </c>
      <c r="L31" s="14">
        <f>K31/Inputs!B13</f>
        <v>0.79169999999999996</v>
      </c>
      <c r="M31" s="13">
        <f t="shared" si="0"/>
        <v>791679</v>
      </c>
      <c r="N31" s="14">
        <f>M31/Inputs!B14</f>
        <v>0.79167900000000002</v>
      </c>
    </row>
    <row r="32" spans="1:14" x14ac:dyDescent="0.25">
      <c r="A32" s="11">
        <f>EDATE($A$5,27)</f>
        <v>47247</v>
      </c>
      <c r="B32" s="12">
        <v>27</v>
      </c>
      <c r="C32" s="6" t="s">
        <v>59</v>
      </c>
      <c r="D32" s="13">
        <f>IF($B32&lt;=Inputs!F11,Inputs!E11+1,Inputs!E11)</f>
        <v>11719</v>
      </c>
      <c r="E32" s="13">
        <f t="shared" si="1"/>
        <v>457038</v>
      </c>
      <c r="F32" s="14">
        <f>E32/Inputs!B11</f>
        <v>0.81251200000000001</v>
      </c>
      <c r="G32" s="13">
        <f>IF($B32&lt;=Inputs!F12,Inputs!E12+1,Inputs!E12)</f>
        <v>7031</v>
      </c>
      <c r="H32" s="13">
        <f t="shared" si="2"/>
        <v>274221</v>
      </c>
      <c r="I32" s="14">
        <f>H32/Inputs!B12</f>
        <v>0.81250666666666671</v>
      </c>
      <c r="J32" s="13">
        <f>IF($B32&lt;=Inputs!F13,Inputs!E13+1,Inputs!E13)</f>
        <v>2083</v>
      </c>
      <c r="K32" s="13">
        <f t="shared" si="3"/>
        <v>81253</v>
      </c>
      <c r="L32" s="14">
        <f>K32/Inputs!B13</f>
        <v>0.81252999999999997</v>
      </c>
      <c r="M32" s="13">
        <f t="shared" si="0"/>
        <v>812512</v>
      </c>
      <c r="N32" s="14">
        <f>M32/Inputs!B14</f>
        <v>0.81251200000000001</v>
      </c>
    </row>
    <row r="33" spans="1:14" x14ac:dyDescent="0.25">
      <c r="A33" s="11">
        <f>EDATE($A$5,28)</f>
        <v>47278</v>
      </c>
      <c r="B33" s="12">
        <v>28</v>
      </c>
      <c r="C33" s="6" t="s">
        <v>60</v>
      </c>
      <c r="D33" s="13">
        <f>IF($B33&lt;=Inputs!F11,Inputs!E11+1,Inputs!E11)</f>
        <v>11718</v>
      </c>
      <c r="E33" s="13">
        <f t="shared" si="1"/>
        <v>468756</v>
      </c>
      <c r="F33" s="14">
        <f>E33/Inputs!B11</f>
        <v>0.83334399999999997</v>
      </c>
      <c r="G33" s="13">
        <f>IF($B33&lt;=Inputs!F12,Inputs!E12+1,Inputs!E12)</f>
        <v>7031</v>
      </c>
      <c r="H33" s="13">
        <f t="shared" si="2"/>
        <v>281252</v>
      </c>
      <c r="I33" s="14">
        <f>H33/Inputs!B12</f>
        <v>0.83333925925925922</v>
      </c>
      <c r="J33" s="13">
        <f>IF($B33&lt;=Inputs!F13,Inputs!E13+1,Inputs!E13)</f>
        <v>2083</v>
      </c>
      <c r="K33" s="13">
        <f t="shared" si="3"/>
        <v>83336</v>
      </c>
      <c r="L33" s="14">
        <f>K33/Inputs!B13</f>
        <v>0.83335999999999999</v>
      </c>
      <c r="M33" s="13">
        <f t="shared" si="0"/>
        <v>833344</v>
      </c>
      <c r="N33" s="14">
        <f>M33/Inputs!B14</f>
        <v>0.83334399999999997</v>
      </c>
    </row>
    <row r="34" spans="1:14" x14ac:dyDescent="0.25">
      <c r="A34" s="11">
        <f>EDATE($A$5,29)</f>
        <v>47308</v>
      </c>
      <c r="B34" s="12">
        <v>29</v>
      </c>
      <c r="C34" s="6" t="s">
        <v>61</v>
      </c>
      <c r="D34" s="13">
        <f>IF($B34&lt;=Inputs!F11,Inputs!E11+1,Inputs!E11)</f>
        <v>11718</v>
      </c>
      <c r="E34" s="13">
        <f t="shared" si="1"/>
        <v>480474</v>
      </c>
      <c r="F34" s="14">
        <f>E34/Inputs!B11</f>
        <v>0.85417600000000005</v>
      </c>
      <c r="G34" s="13">
        <f>IF($B34&lt;=Inputs!F12,Inputs!E12+1,Inputs!E12)</f>
        <v>7031</v>
      </c>
      <c r="H34" s="13">
        <f t="shared" si="2"/>
        <v>288283</v>
      </c>
      <c r="I34" s="14">
        <f>H34/Inputs!B12</f>
        <v>0.85417185185185185</v>
      </c>
      <c r="J34" s="13">
        <f>IF($B34&lt;=Inputs!F13,Inputs!E13+1,Inputs!E13)</f>
        <v>2083</v>
      </c>
      <c r="K34" s="13">
        <f t="shared" si="3"/>
        <v>85419</v>
      </c>
      <c r="L34" s="14">
        <f>K34/Inputs!B13</f>
        <v>0.85419</v>
      </c>
      <c r="M34" s="13">
        <f t="shared" si="0"/>
        <v>854176</v>
      </c>
      <c r="N34" s="14">
        <f>M34/Inputs!B14</f>
        <v>0.85417600000000005</v>
      </c>
    </row>
    <row r="35" spans="1:14" x14ac:dyDescent="0.25">
      <c r="A35" s="11">
        <f>EDATE($A$5,30)</f>
        <v>47339</v>
      </c>
      <c r="B35" s="12">
        <v>30</v>
      </c>
      <c r="C35" s="6" t="s">
        <v>62</v>
      </c>
      <c r="D35" s="13">
        <f>IF($B35&lt;=Inputs!F11,Inputs!E11+1,Inputs!E11)</f>
        <v>11718</v>
      </c>
      <c r="E35" s="13">
        <f t="shared" si="1"/>
        <v>492192</v>
      </c>
      <c r="F35" s="14">
        <f>E35/Inputs!B11</f>
        <v>0.87500800000000001</v>
      </c>
      <c r="G35" s="13">
        <f>IF($B35&lt;=Inputs!F12,Inputs!E12+1,Inputs!E12)</f>
        <v>7031</v>
      </c>
      <c r="H35" s="13">
        <f t="shared" si="2"/>
        <v>295314</v>
      </c>
      <c r="I35" s="14">
        <f>H35/Inputs!B12</f>
        <v>0.87500444444444447</v>
      </c>
      <c r="J35" s="13">
        <f>IF($B35&lt;=Inputs!F13,Inputs!E13+1,Inputs!E13)</f>
        <v>2083</v>
      </c>
      <c r="K35" s="13">
        <f t="shared" si="3"/>
        <v>87502</v>
      </c>
      <c r="L35" s="14">
        <f>K35/Inputs!B13</f>
        <v>0.87502000000000002</v>
      </c>
      <c r="M35" s="13">
        <f t="shared" si="0"/>
        <v>875008</v>
      </c>
      <c r="N35" s="14">
        <f>M35/Inputs!B14</f>
        <v>0.87500800000000001</v>
      </c>
    </row>
    <row r="36" spans="1:14" x14ac:dyDescent="0.25">
      <c r="A36" s="11">
        <f>EDATE($A$5,31)</f>
        <v>47370</v>
      </c>
      <c r="B36" s="12">
        <v>31</v>
      </c>
      <c r="C36" s="6" t="s">
        <v>63</v>
      </c>
      <c r="D36" s="13">
        <f>IF($B36&lt;=Inputs!F11,Inputs!E11+1,Inputs!E11)</f>
        <v>11718</v>
      </c>
      <c r="E36" s="13">
        <f t="shared" si="1"/>
        <v>503910</v>
      </c>
      <c r="F36" s="14">
        <f>E36/Inputs!B11</f>
        <v>0.89583999999999997</v>
      </c>
      <c r="G36" s="13">
        <f>IF($B36&lt;=Inputs!F12,Inputs!E12+1,Inputs!E12)</f>
        <v>7031</v>
      </c>
      <c r="H36" s="13">
        <f t="shared" si="2"/>
        <v>302345</v>
      </c>
      <c r="I36" s="14">
        <f>H36/Inputs!B12</f>
        <v>0.89583703703703699</v>
      </c>
      <c r="J36" s="13">
        <f>IF($B36&lt;=Inputs!F13,Inputs!E13+1,Inputs!E13)</f>
        <v>2083</v>
      </c>
      <c r="K36" s="13">
        <f t="shared" si="3"/>
        <v>89585</v>
      </c>
      <c r="L36" s="14">
        <f>K36/Inputs!B13</f>
        <v>0.89585000000000004</v>
      </c>
      <c r="M36" s="13">
        <f t="shared" si="0"/>
        <v>895840</v>
      </c>
      <c r="N36" s="14">
        <f>M36/Inputs!B14</f>
        <v>0.89583999999999997</v>
      </c>
    </row>
    <row r="37" spans="1:14" x14ac:dyDescent="0.25">
      <c r="A37" s="11">
        <f>EDATE($A$5,32)</f>
        <v>47400</v>
      </c>
      <c r="B37" s="12">
        <v>32</v>
      </c>
      <c r="C37" s="6" t="s">
        <v>64</v>
      </c>
      <c r="D37" s="13">
        <f>IF($B37&lt;=Inputs!F11,Inputs!E11+1,Inputs!E11)</f>
        <v>11718</v>
      </c>
      <c r="E37" s="13">
        <f t="shared" si="1"/>
        <v>515628</v>
      </c>
      <c r="F37" s="14">
        <f>E37/Inputs!B11</f>
        <v>0.91667200000000004</v>
      </c>
      <c r="G37" s="13">
        <f>IF($B37&lt;=Inputs!F12,Inputs!E12+1,Inputs!E12)</f>
        <v>7031</v>
      </c>
      <c r="H37" s="13">
        <f t="shared" si="2"/>
        <v>309376</v>
      </c>
      <c r="I37" s="14">
        <f>H37/Inputs!B12</f>
        <v>0.91666962962962961</v>
      </c>
      <c r="J37" s="13">
        <f>IF($B37&lt;=Inputs!F13,Inputs!E13+1,Inputs!E13)</f>
        <v>2083</v>
      </c>
      <c r="K37" s="13">
        <f t="shared" si="3"/>
        <v>91668</v>
      </c>
      <c r="L37" s="14">
        <f>K37/Inputs!B13</f>
        <v>0.91668000000000005</v>
      </c>
      <c r="M37" s="13">
        <f t="shared" si="0"/>
        <v>916672</v>
      </c>
      <c r="N37" s="14">
        <f>M37/Inputs!B14</f>
        <v>0.91667200000000004</v>
      </c>
    </row>
    <row r="38" spans="1:14" x14ac:dyDescent="0.25">
      <c r="A38" s="11">
        <f>EDATE($A$5,33)</f>
        <v>47431</v>
      </c>
      <c r="B38" s="12">
        <v>33</v>
      </c>
      <c r="C38" s="6" t="s">
        <v>65</v>
      </c>
      <c r="D38" s="13">
        <f>IF($B38&lt;=Inputs!F11,Inputs!E11+1,Inputs!E11)</f>
        <v>11718</v>
      </c>
      <c r="E38" s="13">
        <f t="shared" si="1"/>
        <v>527346</v>
      </c>
      <c r="F38" s="14">
        <f>E38/Inputs!B11</f>
        <v>0.937504</v>
      </c>
      <c r="G38" s="13">
        <f>IF($B38&lt;=Inputs!F12,Inputs!E12+1,Inputs!E12)</f>
        <v>7031</v>
      </c>
      <c r="H38" s="13">
        <f t="shared" si="2"/>
        <v>316407</v>
      </c>
      <c r="I38" s="14">
        <f>H38/Inputs!B12</f>
        <v>0.93750222222222224</v>
      </c>
      <c r="J38" s="13">
        <f>IF($B38&lt;=Inputs!F13,Inputs!E13+1,Inputs!E13)</f>
        <v>2083</v>
      </c>
      <c r="K38" s="13">
        <f t="shared" si="3"/>
        <v>93751</v>
      </c>
      <c r="L38" s="14">
        <f>K38/Inputs!B13</f>
        <v>0.93750999999999995</v>
      </c>
      <c r="M38" s="13">
        <f t="shared" si="0"/>
        <v>937504</v>
      </c>
      <c r="N38" s="14">
        <f>M38/Inputs!B14</f>
        <v>0.937504</v>
      </c>
    </row>
    <row r="39" spans="1:14" x14ac:dyDescent="0.25">
      <c r="A39" s="11">
        <f>EDATE($A$5,34)</f>
        <v>47461</v>
      </c>
      <c r="B39" s="12">
        <v>34</v>
      </c>
      <c r="C39" s="6" t="s">
        <v>66</v>
      </c>
      <c r="D39" s="13">
        <f>IF($B39&lt;=Inputs!F11,Inputs!E11+1,Inputs!E11)</f>
        <v>11718</v>
      </c>
      <c r="E39" s="13">
        <f t="shared" si="1"/>
        <v>539064</v>
      </c>
      <c r="F39" s="14">
        <f>E39/Inputs!B11</f>
        <v>0.95833599999999997</v>
      </c>
      <c r="G39" s="13">
        <f>IF($B39&lt;=Inputs!F12,Inputs!E12+1,Inputs!E12)</f>
        <v>7031</v>
      </c>
      <c r="H39" s="13">
        <f t="shared" si="2"/>
        <v>323438</v>
      </c>
      <c r="I39" s="14">
        <f>H39/Inputs!B12</f>
        <v>0.95833481481481486</v>
      </c>
      <c r="J39" s="13">
        <f>IF($B39&lt;=Inputs!F13,Inputs!E13+1,Inputs!E13)</f>
        <v>2083</v>
      </c>
      <c r="K39" s="13">
        <f t="shared" si="3"/>
        <v>95834</v>
      </c>
      <c r="L39" s="14">
        <f>K39/Inputs!B13</f>
        <v>0.95833999999999997</v>
      </c>
      <c r="M39" s="13">
        <f t="shared" si="0"/>
        <v>958336</v>
      </c>
      <c r="N39" s="14">
        <f>M39/Inputs!B14</f>
        <v>0.95833599999999997</v>
      </c>
    </row>
    <row r="40" spans="1:14" x14ac:dyDescent="0.25">
      <c r="A40" s="11">
        <f>EDATE($A$5,35)</f>
        <v>47492</v>
      </c>
      <c r="B40" s="12">
        <v>35</v>
      </c>
      <c r="C40" s="6" t="s">
        <v>67</v>
      </c>
      <c r="D40" s="13">
        <f>IF($B40&lt;=Inputs!F11,Inputs!E11+1,Inputs!E11)</f>
        <v>11718</v>
      </c>
      <c r="E40" s="13">
        <f t="shared" si="1"/>
        <v>550782</v>
      </c>
      <c r="F40" s="14">
        <f>E40/Inputs!B11</f>
        <v>0.97916800000000004</v>
      </c>
      <c r="G40" s="13">
        <f>IF($B40&lt;=Inputs!F12,Inputs!E12+1,Inputs!E12)</f>
        <v>7031</v>
      </c>
      <c r="H40" s="13">
        <f t="shared" si="2"/>
        <v>330469</v>
      </c>
      <c r="I40" s="14">
        <f>H40/Inputs!B12</f>
        <v>0.97916740740740738</v>
      </c>
      <c r="J40" s="13">
        <f>IF($B40&lt;=Inputs!F13,Inputs!E13+1,Inputs!E13)</f>
        <v>2083</v>
      </c>
      <c r="K40" s="13">
        <f t="shared" si="3"/>
        <v>97917</v>
      </c>
      <c r="L40" s="14">
        <f>K40/Inputs!B13</f>
        <v>0.97916999999999998</v>
      </c>
      <c r="M40" s="13">
        <f t="shared" si="0"/>
        <v>979168</v>
      </c>
      <c r="N40" s="14">
        <f>M40/Inputs!B14</f>
        <v>0.97916800000000004</v>
      </c>
    </row>
    <row r="41" spans="1:14" x14ac:dyDescent="0.25">
      <c r="A41" s="11">
        <f>EDATE($A$5,36)</f>
        <v>47523</v>
      </c>
      <c r="B41" s="12">
        <v>36</v>
      </c>
      <c r="C41" s="6" t="s">
        <v>68</v>
      </c>
      <c r="D41" s="13">
        <f>IF($B41&lt;=Inputs!F11,Inputs!E11+1,Inputs!E11)</f>
        <v>11718</v>
      </c>
      <c r="E41" s="13">
        <f t="shared" si="1"/>
        <v>562500</v>
      </c>
      <c r="F41" s="14">
        <f>E41/Inputs!B11</f>
        <v>1</v>
      </c>
      <c r="G41" s="13">
        <f>IF($B41&lt;=Inputs!F12,Inputs!E12+1,Inputs!E12)</f>
        <v>7031</v>
      </c>
      <c r="H41" s="13">
        <f t="shared" si="2"/>
        <v>337500</v>
      </c>
      <c r="I41" s="14">
        <f>H41/Inputs!B12</f>
        <v>1</v>
      </c>
      <c r="J41" s="13">
        <f>IF($B41&lt;=Inputs!F13,Inputs!E13+1,Inputs!E13)</f>
        <v>2083</v>
      </c>
      <c r="K41" s="13">
        <f t="shared" si="3"/>
        <v>100000</v>
      </c>
      <c r="L41" s="14">
        <f>K41/Inputs!B13</f>
        <v>1</v>
      </c>
      <c r="M41" s="13">
        <f t="shared" si="0"/>
        <v>1000000</v>
      </c>
      <c r="N41" s="14">
        <f>M41/Inputs!B14</f>
        <v>1</v>
      </c>
    </row>
  </sheetData>
  <autoFilter ref="A4:N41" xr:uid="{00000000-0009-0000-0000-000001000000}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Inputs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Tandberg</cp:lastModifiedBy>
  <dcterms:created xsi:type="dcterms:W3CDTF">2026-02-11T12:16:12Z</dcterms:created>
  <dcterms:modified xsi:type="dcterms:W3CDTF">2026-02-11T12:36:34Z</dcterms:modified>
</cp:coreProperties>
</file>