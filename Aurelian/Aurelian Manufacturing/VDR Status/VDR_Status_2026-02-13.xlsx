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Full Status Matrix" sheetId="2" state="visible" r:id="rId4"/>
    <sheet name="REV6 Consistency Log" sheetId="3" state="visible" r:id="rId5"/>
    <sheet name="Change Log" sheetId="4" state="visible" r:id="rId6"/>
    <sheet name="Category Summary" sheetId="5" state="visible" r:id="rId7"/>
  </sheets>
  <definedNames>
    <definedName function="false" hidden="true" localSheetId="1" name="_xlnm._FilterDatabase" vbProcedure="false">'Full Status Matrix'!$A$1:$M$117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<sst xmlns="http://schemas.openxmlformats.org/spreadsheetml/2006/main" count="1391" uniqueCount="485">
  <si>
    <t xml:space="preserve">AURELIAN MANUFACTURING — VDR STATUS REPORT</t>
  </si>
  <si>
    <t xml:space="preserve">Scan Date: 2026-02-13  |  CONFIDENTIAL</t>
  </si>
  <si>
    <t xml:space="preserve">Total Documents in Register</t>
  </si>
  <si>
    <t xml:space="preserve">Documents Found in VDR</t>
  </si>
  <si>
    <t xml:space="preserve">28 (24%)</t>
  </si>
  <si>
    <t xml:space="preserve">Documents Missing</t>
  </si>
  <si>
    <t xml:space="preserve">86 (74%)</t>
  </si>
  <si>
    <t xml:space="preserve">Not Applicable</t>
  </si>
  <si>
    <t xml:space="preserve">REV6 CONSISTENCY</t>
  </si>
  <si>
    <t xml:space="preserve">REV6 Stale (needs rewrite)</t>
  </si>
  <si>
    <t xml:space="preserve">REV6 Unchecked (needs verification)</t>
  </si>
  <si>
    <t xml:space="preserve">PRE-SEED READINESS</t>
  </si>
  <si>
    <t xml:space="preserve">Missing for Pre-Seed</t>
  </si>
  <si>
    <t xml:space="preserve">Critical Priority Missing</t>
  </si>
  <si>
    <t xml:space="preserve">TOP 3 RECOMMENDED ACTIONS</t>
  </si>
  <si>
    <t xml:space="preserve">1. UPDATE</t>
  </si>
  <si>
    <t xml:space="preserve">02_Financing_Plan_KOMPLETT_94MNOK — STALE: Contains all pre-REV6 numbers (94 MNOK total equity vs REV6 101.3 MNOK, Seed 47→51.3 MNOK, pre-money 140→130 MNOK). Needs full rewrite.</t>
  </si>
  <si>
    <t xml:space="preserve">2. UPDATE</t>
  </si>
  <si>
    <t xml:space="preserve">07_Investor_Pitch_Deck_V3 — STALE: Revenue trajectory (73→49.3 MNOK for 2028), cap table, fundraising slides need V4 for REV6.</t>
  </si>
  <si>
    <t xml:space="preserve">3. VERIFY</t>
  </si>
  <si>
    <t xml:space="preserve">02_Model_Assumptions + 02_Valuation_Methodology + 02_Economic_Tables — Run REV6 consistency scan on all HIGH-priority documents.</t>
  </si>
  <si>
    <t xml:space="preserve">Doc #</t>
  </si>
  <si>
    <t xml:space="preserve">Category</t>
  </si>
  <si>
    <t xml:space="preserve">Document Name</t>
  </si>
  <si>
    <t xml:space="preserve">Expected</t>
  </si>
  <si>
    <t xml:space="preserve">VDR Status</t>
  </si>
  <si>
    <t xml:space="preserve">Filename in VDR</t>
  </si>
  <si>
    <t xml:space="preserve">File Size</t>
  </si>
  <si>
    <t xml:space="preserve">Last Modified</t>
  </si>
  <si>
    <t xml:space="preserve">REV6 Sensitive</t>
  </si>
  <si>
    <t xml:space="preserve">REV6 Status</t>
  </si>
  <si>
    <t xml:space="preserve">Priority</t>
  </si>
  <si>
    <t xml:space="preserve">Round Needed</t>
  </si>
  <si>
    <t xml:space="preserve">Notes</t>
  </si>
  <si>
    <t xml:space="preserve">00-01</t>
  </si>
  <si>
    <t xml:space="preserve">00</t>
  </si>
  <si>
    <t xml:space="preserve">Executive Summary 2-page</t>
  </si>
  <si>
    <t xml:space="preserve">NEED</t>
  </si>
  <si>
    <t xml:space="preserve">Missing</t>
  </si>
  <si>
    <t xml:space="preserve">No</t>
  </si>
  <si>
    <t xml:space="preserve">N/A</t>
  </si>
  <si>
    <t xml:space="preserve">Critical</t>
  </si>
  <si>
    <t xml:space="preserve">Pre-Seed</t>
  </si>
  <si>
    <t xml:space="preserve">00-02</t>
  </si>
  <si>
    <t xml:space="preserve">Investment Teaser OnePager</t>
  </si>
  <si>
    <t xml:space="preserve">00-03</t>
  </si>
  <si>
    <t xml:space="preserve">Company Fact Sheet</t>
  </si>
  <si>
    <t xml:space="preserve">Medium</t>
  </si>
  <si>
    <t xml:space="preserve">01-01</t>
  </si>
  <si>
    <t xml:space="preserve">01</t>
  </si>
  <si>
    <t xml:space="preserve">Articles of Incorporation</t>
  </si>
  <si>
    <t xml:space="preserve">Found</t>
  </si>
  <si>
    <t xml:space="preserve">01_Articles_of_Incorporation.pdf</t>
  </si>
  <si>
    <t xml:space="preserve">2026-02-12 20:34</t>
  </si>
  <si>
    <t xml:space="preserve">01-02</t>
  </si>
  <si>
    <t xml:space="preserve">Registration Certificate Brønnøysund</t>
  </si>
  <si>
    <t xml:space="preserve">01_Registration_Certificate_Brønnøysund.pdf</t>
  </si>
  <si>
    <t xml:space="preserve">2026-02-12 20:38</t>
  </si>
  <si>
    <t xml:space="preserve">01-03</t>
  </si>
  <si>
    <t xml:space="preserve">Bylaws / Vedtekter</t>
  </si>
  <si>
    <t xml:space="preserve">01_Bylaws_Vedtekter.pdf</t>
  </si>
  <si>
    <t xml:space="preserve">2026-02-12 20:25</t>
  </si>
  <si>
    <t xml:space="preserve">01-04</t>
  </si>
  <si>
    <t xml:space="preserve">Shareholder Agreement</t>
  </si>
  <si>
    <t xml:space="preserve">01_Shareholders_Agreement.docx</t>
  </si>
  <si>
    <t xml:space="preserve">2026-02-12 20:01</t>
  </si>
  <si>
    <t xml:space="preserve">01-05</t>
  </si>
  <si>
    <t xml:space="preserve">Side Letters / Amendments</t>
  </si>
  <si>
    <t xml:space="preserve">Low</t>
  </si>
  <si>
    <t xml:space="preserve">Seed</t>
  </si>
  <si>
    <t xml:space="preserve">01-06</t>
  </si>
  <si>
    <t xml:space="preserve">Board Composition Overview</t>
  </si>
  <si>
    <t xml:space="preserve">HAVE</t>
  </si>
  <si>
    <t xml:space="preserve">High</t>
  </si>
  <si>
    <t xml:space="preserve">Embedded in 06_Team_Board_Governance or Vedlegg F</t>
  </si>
  <si>
    <t xml:space="preserve">01-07</t>
  </si>
  <si>
    <t xml:space="preserve">Board Meeting Minutes</t>
  </si>
  <si>
    <t xml:space="preserve">01-08</t>
  </si>
  <si>
    <t xml:space="preserve">Corporate Governance Policy</t>
  </si>
  <si>
    <t xml:space="preserve">01-09</t>
  </si>
  <si>
    <t xml:space="preserve">Cap Table ProForma All Rounds</t>
  </si>
  <si>
    <t xml:space="preserve">01_Cap_Table_ProForma_All_Rounds.xlsx</t>
  </si>
  <si>
    <t xml:space="preserve">2026-02-12 21:58</t>
  </si>
  <si>
    <t xml:space="preserve">Yes</t>
  </si>
  <si>
    <t xml:space="preserve">Unchecked</t>
  </si>
  <si>
    <t xml:space="preserve">01-10</t>
  </si>
  <si>
    <t xml:space="preserve">Cap Table Evolution PreSeed to SeriesA</t>
  </si>
  <si>
    <t xml:space="preserve">May be embedded in Cap Table ProForma</t>
  </si>
  <si>
    <t xml:space="preserve">01-11</t>
  </si>
  <si>
    <t xml:space="preserve">Share Register Detailed</t>
  </si>
  <si>
    <t xml:space="preserve">01-12</t>
  </si>
  <si>
    <t xml:space="preserve">Org Chart Current</t>
  </si>
  <si>
    <t xml:space="preserve">01_Org_Chart_Current.docx</t>
  </si>
  <si>
    <t xml:space="preserve">2026-02-12 21:26</t>
  </si>
  <si>
    <t xml:space="preserve">01-13</t>
  </si>
  <si>
    <t xml:space="preserve">Org Chart 12-Month Roadmap</t>
  </si>
  <si>
    <t xml:space="preserve">01-14</t>
  </si>
  <si>
    <t xml:space="preserve">Vesting Schedule 4yr Cliff</t>
  </si>
  <si>
    <t xml:space="preserve">Found (0 bytes)</t>
  </si>
  <si>
    <t xml:space="preserve">01_Vesting_Schedule_4yr_Cliff.protonsheet</t>
  </si>
  <si>
    <t xml:space="preserve">2026-02-11 20:17</t>
  </si>
  <si>
    <t xml:space="preserve">Unchecked — cosmetic check</t>
  </si>
  <si>
    <t xml:space="preserve">File is .protonsheet format (0 bytes — may not have synced)</t>
  </si>
  <si>
    <t xml:space="preserve">01-15</t>
  </si>
  <si>
    <t xml:space="preserve">Acceleration Terms Double Trigger</t>
  </si>
  <si>
    <t xml:space="preserve">01_Acceleration_Terms_Double_Trigger.docx</t>
  </si>
  <si>
    <t xml:space="preserve">2026-02-12 21:06</t>
  </si>
  <si>
    <t xml:space="preserve">02-01</t>
  </si>
  <si>
    <t xml:space="preserve">02</t>
  </si>
  <si>
    <t xml:space="preserve">Financial Model Excel Interactive (FM8)</t>
  </si>
  <si>
    <t xml:space="preserve">02_Aurelian_Financial_Model_8.xlsx</t>
  </si>
  <si>
    <t xml:space="preserve">2026-02-12 17:48</t>
  </si>
  <si>
    <t xml:space="preserve">02-02</t>
  </si>
  <si>
    <t xml:space="preserve">Model Assumptions Grunnlag Verdisetting</t>
  </si>
  <si>
    <t xml:space="preserve">02_Model_Assumptions_Grunnlag_Verdisetting.docx</t>
  </si>
  <si>
    <t xml:space="preserve">2026-02-07 18:54</t>
  </si>
  <si>
    <t xml:space="preserve">Unchecked — needs REV6 scan</t>
  </si>
  <si>
    <t xml:space="preserve">02-03</t>
  </si>
  <si>
    <t xml:space="preserve">Financing Plan KOMPLETT 94MNOK</t>
  </si>
  <si>
    <t xml:space="preserve">02_Financing_Plan_KOMPLETT_94MNOK.docx</t>
  </si>
  <si>
    <t xml:space="preserve">2026-02-09 17:46</t>
  </si>
  <si>
    <t xml:space="preserve">STALE — needs full rewrite</t>
  </si>
  <si>
    <t xml:space="preserve">02-04</t>
  </si>
  <si>
    <t xml:space="preserve">Round Structure PreSeed Seed SeriesA</t>
  </si>
  <si>
    <t xml:space="preserve">May be embedded in Financing Plan or Valuation docs</t>
  </si>
  <si>
    <t xml:space="preserve">02-05</t>
  </si>
  <si>
    <t xml:space="preserve">Valuation Methodology Revidert</t>
  </si>
  <si>
    <t xml:space="preserve">02_Valuation_Methodology_Revidert.docx</t>
  </si>
  <si>
    <t xml:space="preserve">2026-02-06 11:09</t>
  </si>
  <si>
    <t xml:space="preserve">02-06</t>
  </si>
  <si>
    <t xml:space="preserve">Comparable Industrial Transactions</t>
  </si>
  <si>
    <t xml:space="preserve">See Vedlegg C — Industrial Benchmarks</t>
  </si>
  <si>
    <t xml:space="preserve">02-07</t>
  </si>
  <si>
    <t xml:space="preserve">Economic Tables Projections 8yr</t>
  </si>
  <si>
    <t xml:space="preserve">02_Economic_Tables_Projections_REV6.docx</t>
  </si>
  <si>
    <t xml:space="preserve">2026-02-12 15:26</t>
  </si>
  <si>
    <t xml:space="preserve">02-08</t>
  </si>
  <si>
    <t xml:space="preserve">Monthly Cash Flow Year1 Year2</t>
  </si>
  <si>
    <t xml:space="preserve">02-09</t>
  </si>
  <si>
    <t xml:space="preserve">CAPEX Breakdown By Phase</t>
  </si>
  <si>
    <t xml:space="preserve">02-10</t>
  </si>
  <si>
    <t xml:space="preserve">Utilization Scenarios 40/50/65%</t>
  </si>
  <si>
    <t xml:space="preserve">Scenarios are in FM8 model</t>
  </si>
  <si>
    <t xml:space="preserve">02-11</t>
  </si>
  <si>
    <t xml:space="preserve">Sensitivity Matrix Full Standalone</t>
  </si>
  <si>
    <t xml:space="preserve">02-12</t>
  </si>
  <si>
    <t xml:space="preserve">Monte Carlo Downside Scenarios</t>
  </si>
  <si>
    <t xml:space="preserve">02-13</t>
  </si>
  <si>
    <t xml:space="preserve">Use of Funds PreSeed 5MNOK</t>
  </si>
  <si>
    <t xml:space="preserve">May be embedded in Financing Plan</t>
  </si>
  <si>
    <t xml:space="preserve">02-14</t>
  </si>
  <si>
    <t xml:space="preserve">Milestone-Based Fund Allocation</t>
  </si>
  <si>
    <t xml:space="preserve">02-15</t>
  </si>
  <si>
    <t xml:space="preserve">European VC Practice Benchmarks</t>
  </si>
  <si>
    <t xml:space="preserve">02_European_VC_Practice_Benchmarks.pdf</t>
  </si>
  <si>
    <t xml:space="preserve">2026-02-06 12:09</t>
  </si>
  <si>
    <t xml:space="preserve">02-16</t>
  </si>
  <si>
    <t xml:space="preserve">Industrial Investment Case Comparison</t>
  </si>
  <si>
    <t xml:space="preserve">02-17</t>
  </si>
  <si>
    <t xml:space="preserve">CNC Resale Value Downside Protection</t>
  </si>
  <si>
    <t xml:space="preserve">See 04_CNC_Resale_Value_Analysis</t>
  </si>
  <si>
    <t xml:space="preserve">02-18</t>
  </si>
  <si>
    <t xml:space="preserve">Tax Registration MVA Skatteetaten</t>
  </si>
  <si>
    <t xml:space="preserve">02-19</t>
  </si>
  <si>
    <t xml:space="preserve">Audited Financials</t>
  </si>
  <si>
    <t xml:space="preserve">02-20</t>
  </si>
  <si>
    <t xml:space="preserve">Founder Contribution PreSeed Valuation</t>
  </si>
  <si>
    <t xml:space="preserve">02_Founder_Contribution_PreSeed_Valuation_1.docx</t>
  </si>
  <si>
    <t xml:space="preserve">2026-02-12 14:50</t>
  </si>
  <si>
    <t xml:space="preserve">03-01</t>
  </si>
  <si>
    <t xml:space="preserve">03</t>
  </si>
  <si>
    <t xml:space="preserve">Market Analysis Master Report</t>
  </si>
  <si>
    <t xml:space="preserve">03_Market_Analysis_Master_Report.docx</t>
  </si>
  <si>
    <t xml:space="preserve">2026-01-27 19:29</t>
  </si>
  <si>
    <t xml:space="preserve">Unchecked — verify specific values</t>
  </si>
  <si>
    <t xml:space="preserve">03-02</t>
  </si>
  <si>
    <t xml:space="preserve">Defence Market NATO Spending</t>
  </si>
  <si>
    <t xml:space="preserve">03_Defence_Market_NATO_Spending.pdf</t>
  </si>
  <si>
    <t xml:space="preserve">2026-01-26 23:07</t>
  </si>
  <si>
    <t xml:space="preserve">03-03</t>
  </si>
  <si>
    <t xml:space="preserve">Energy Market Transition Offshore</t>
  </si>
  <si>
    <t xml:space="preserve">03_Energy_Market_Transition_Offshore.pdf</t>
  </si>
  <si>
    <t xml:space="preserve">03-04</t>
  </si>
  <si>
    <t xml:space="preserve">Critical Infrastructure Supply Chain</t>
  </si>
  <si>
    <t xml:space="preserve">03_Critical_Infrastructure_Supply_Chain.pdf</t>
  </si>
  <si>
    <t xml:space="preserve">2026-01-26 23:08</t>
  </si>
  <si>
    <t xml:space="preserve">03-05</t>
  </si>
  <si>
    <t xml:space="preserve">TAM SAM SOM Norwegian Nordic</t>
  </si>
  <si>
    <t xml:space="preserve">Check if embedded in Market Analysis Master</t>
  </si>
  <si>
    <t xml:space="preserve">03-06</t>
  </si>
  <si>
    <t xml:space="preserve">Competitive Analysis 7 Industrial Benchmarks</t>
  </si>
  <si>
    <t xml:space="preserve">03-07</t>
  </si>
  <si>
    <t xml:space="preserve">Competitive Moat Autonomous CNC</t>
  </si>
  <si>
    <t xml:space="preserve">03-08</t>
  </si>
  <si>
    <t xml:space="preserve">Hadrian Comparison US vs Europe</t>
  </si>
  <si>
    <t xml:space="preserve">03-09</t>
  </si>
  <si>
    <t xml:space="preserve">Customer Pipeline Tracker</t>
  </si>
  <si>
    <t xml:space="preserve">03-10</t>
  </si>
  <si>
    <t xml:space="preserve">Letters of Intent (LOIs)</t>
  </si>
  <si>
    <t xml:space="preserve">LETTEROFINTENT_Aurelian_PhysicalRobotics.docx (1).pdf</t>
  </si>
  <si>
    <t xml:space="preserve">2026-02-11 21:07</t>
  </si>
  <si>
    <t xml:space="preserve">LOI with Physical Robotics found</t>
  </si>
  <si>
    <t xml:space="preserve">03-11</t>
  </si>
  <si>
    <t xml:space="preserve">Customer Discovery Interview Notes</t>
  </si>
  <si>
    <t xml:space="preserve">03-12</t>
  </si>
  <si>
    <t xml:space="preserve">GTM Strategy Defence Energy Entry</t>
  </si>
  <si>
    <t xml:space="preserve">04-01</t>
  </si>
  <si>
    <t xml:space="preserve">04</t>
  </si>
  <si>
    <t xml:space="preserve">Concept Note Strategic Production Node</t>
  </si>
  <si>
    <t xml:space="preserve">04_Concept_Note_Strategic_Production_Node.docx</t>
  </si>
  <si>
    <t xml:space="preserve">2026-02-03 08:46</t>
  </si>
  <si>
    <t xml:space="preserve">04-02</t>
  </si>
  <si>
    <t xml:space="preserve">Technology Stack CNC Automation Digital</t>
  </si>
  <si>
    <t xml:space="preserve">04-03</t>
  </si>
  <si>
    <t xml:space="preserve">CNC Equipment Specifications Mazak</t>
  </si>
  <si>
    <t xml:space="preserve">04-04</t>
  </si>
  <si>
    <t xml:space="preserve">CNC Resale Value Analysis</t>
  </si>
  <si>
    <t xml:space="preserve">04_CNC_Resale_Value_Analysis.pdf</t>
  </si>
  <si>
    <t xml:space="preserve">2026-01-25 14:41</t>
  </si>
  <si>
    <t xml:space="preserve">04-05</t>
  </si>
  <si>
    <t xml:space="preserve">Mazak LOI / Purchase Agreement</t>
  </si>
  <si>
    <t xml:space="preserve">04-06</t>
  </si>
  <si>
    <t xml:space="preserve">Supplier Backup DMG MORI Strategy</t>
  </si>
  <si>
    <t xml:space="preserve">04-07</t>
  </si>
  <si>
    <t xml:space="preserve">Automation Feasibility Study</t>
  </si>
  <si>
    <t xml:space="preserve">04_Automation_Feasibility_Study.pdf</t>
  </si>
  <si>
    <t xml:space="preserve">2026-01-25 13:41</t>
  </si>
  <si>
    <t xml:space="preserve">04-08</t>
  </si>
  <si>
    <t xml:space="preserve">Lights-Out Manufacturing Evidence</t>
  </si>
  <si>
    <t xml:space="preserve">04-09</t>
  </si>
  <si>
    <t xml:space="preserve">Digital Twin Siemens NX Validation</t>
  </si>
  <si>
    <t xml:space="preserve">04-10</t>
  </si>
  <si>
    <t xml:space="preserve">Facility Strategy Norbygg Våler</t>
  </si>
  <si>
    <t xml:space="preserve">04_Facility_Strategy_Norbygg.docx</t>
  </si>
  <si>
    <t xml:space="preserve">2026-01-26 08:00</t>
  </si>
  <si>
    <t xml:space="preserve">04-11</t>
  </si>
  <si>
    <t xml:space="preserve">Norbygg Lease Agreement</t>
  </si>
  <si>
    <t xml:space="preserve">04-12</t>
  </si>
  <si>
    <t xml:space="preserve">Architectural Plans Workshop Layout</t>
  </si>
  <si>
    <t xml:space="preserve">04-13</t>
  </si>
  <si>
    <t xml:space="preserve">Environmental Impact Assessment</t>
  </si>
  <si>
    <t xml:space="preserve">04-14</t>
  </si>
  <si>
    <t xml:space="preserve">ISO 9001 Certification Roadmap</t>
  </si>
  <si>
    <t xml:space="preserve">04-15</t>
  </si>
  <si>
    <t xml:space="preserve">AS9100 Aerospace Defence Timeline</t>
  </si>
  <si>
    <t xml:space="preserve">04-16</t>
  </si>
  <si>
    <t xml:space="preserve">AQAP NATO Qualification Plan</t>
  </si>
  <si>
    <t xml:space="preserve">04-17</t>
  </si>
  <si>
    <t xml:space="preserve">Gantt Chart Investment to Production</t>
  </si>
  <si>
    <t xml:space="preserve">04-18</t>
  </si>
  <si>
    <t xml:space="preserve">Key Milestones Critical Path</t>
  </si>
  <si>
    <t xml:space="preserve">04-19</t>
  </si>
  <si>
    <t xml:space="preserve">Risk Register with Mitigations</t>
  </si>
  <si>
    <t xml:space="preserve">04-20</t>
  </si>
  <si>
    <t xml:space="preserve">Contingency Plans Supplier Facility</t>
  </si>
  <si>
    <t xml:space="preserve">05-01</t>
  </si>
  <si>
    <t xml:space="preserve">05</t>
  </si>
  <si>
    <t xml:space="preserve">IP Assignment Agreements Founders</t>
  </si>
  <si>
    <t xml:space="preserve">05_IP_Assignment_Agreements_Founders.docx</t>
  </si>
  <si>
    <t xml:space="preserve">05-02</t>
  </si>
  <si>
    <t xml:space="preserve">Trademark Registration Aurelian</t>
  </si>
  <si>
    <t xml:space="preserve">05-03</t>
  </si>
  <si>
    <t xml:space="preserve">Patent Strategy Process Innovation</t>
  </si>
  <si>
    <t xml:space="preserve">05-04</t>
  </si>
  <si>
    <t xml:space="preserve">Employment Agreements Founders</t>
  </si>
  <si>
    <t xml:space="preserve">05-05</t>
  </si>
  <si>
    <t xml:space="preserve">Advisory Agreements Signed</t>
  </si>
  <si>
    <t xml:space="preserve">05-06</t>
  </si>
  <si>
    <t xml:space="preserve">Supplier Contracts Mazak Materials</t>
  </si>
  <si>
    <t xml:space="preserve">05-07</t>
  </si>
  <si>
    <t xml:space="preserve">Customer Framework Agreements</t>
  </si>
  <si>
    <t xml:space="preserve">05-08</t>
  </si>
  <si>
    <t xml:space="preserve">Export Control Defence Assessment</t>
  </si>
  <si>
    <t xml:space="preserve">05-09</t>
  </si>
  <si>
    <t xml:space="preserve">Defence Manufacturing Regulations</t>
  </si>
  <si>
    <t xml:space="preserve">05-10</t>
  </si>
  <si>
    <t xml:space="preserve">Environmental Compliance Permits</t>
  </si>
  <si>
    <t xml:space="preserve">05-11</t>
  </si>
  <si>
    <t xml:space="preserve">Insurance Coverage Plan</t>
  </si>
  <si>
    <t xml:space="preserve">05-12</t>
  </si>
  <si>
    <t xml:space="preserve">Key Person Insurance</t>
  </si>
  <si>
    <t xml:space="preserve">05-13</t>
  </si>
  <si>
    <t xml:space="preserve">Business Permits Registrations</t>
  </si>
  <si>
    <t xml:space="preserve">05-14</t>
  </si>
  <si>
    <t xml:space="preserve">Manufacturing Operating Licenses</t>
  </si>
  <si>
    <t xml:space="preserve">06-01</t>
  </si>
  <si>
    <t xml:space="preserve">06</t>
  </si>
  <si>
    <t xml:space="preserve">Founder CVs Detailed 3 Profiles</t>
  </si>
  <si>
    <t xml:space="preserve">06_ToreAusland_CV.docx</t>
  </si>
  <si>
    <t xml:space="preserve">2026-02-11 21:02</t>
  </si>
  <si>
    <t xml:space="preserve">Only Tore Ausland CV found — André and Henrik CVs missing</t>
  </si>
  <si>
    <t xml:space="preserve">06-02</t>
  </si>
  <si>
    <t xml:space="preserve">Team Board Governance Overview</t>
  </si>
  <si>
    <t xml:space="preserve">See Vedlegg F subfolder</t>
  </si>
  <si>
    <t xml:space="preserve">06-03</t>
  </si>
  <si>
    <t xml:space="preserve">Professional References Industry</t>
  </si>
  <si>
    <t xml:space="preserve">06-04</t>
  </si>
  <si>
    <t xml:space="preserve">Board Member Bios Experience</t>
  </si>
  <si>
    <t xml:space="preserve">06-05</t>
  </si>
  <si>
    <t xml:space="preserve">Board Mandate Responsibilities</t>
  </si>
  <si>
    <t xml:space="preserve">06-06</t>
  </si>
  <si>
    <t xml:space="preserve">Advisor Bios Industry Relevance</t>
  </si>
  <si>
    <t xml:space="preserve">06-07</t>
  </si>
  <si>
    <t xml:space="preserve">06-08</t>
  </si>
  <si>
    <t xml:space="preserve">Hiring Roadmap 12-24 Months</t>
  </si>
  <si>
    <t xml:space="preserve">06-09</t>
  </si>
  <si>
    <t xml:space="preserve">Role Descriptions Critical Hires</t>
  </si>
  <si>
    <t xml:space="preserve">06-10</t>
  </si>
  <si>
    <t xml:space="preserve">ESOP Plan Employee Incentives</t>
  </si>
  <si>
    <t xml:space="preserve">06-11</t>
  </si>
  <si>
    <t xml:space="preserve">Option Pool Allocation 10%</t>
  </si>
  <si>
    <t xml:space="preserve">07-01</t>
  </si>
  <si>
    <t xml:space="preserve">07</t>
  </si>
  <si>
    <t xml:space="preserve">Investor Pitch Deck V3</t>
  </si>
  <si>
    <t xml:space="preserve">07_Investor_Pitch_Deck_V3.pdf</t>
  </si>
  <si>
    <t xml:space="preserve">2026-02-11 21:23</t>
  </si>
  <si>
    <t xml:space="preserve">07-02</t>
  </si>
  <si>
    <t xml:space="preserve">Pitch Deck Round-Specific Version</t>
  </si>
  <si>
    <t xml:space="preserve">07-03</t>
  </si>
  <si>
    <t xml:space="preserve">Investment Teaser 1-page</t>
  </si>
  <si>
    <t xml:space="preserve">07-04</t>
  </si>
  <si>
    <t xml:space="preserve">Executive Summary OnePager</t>
  </si>
  <si>
    <t xml:space="preserve">07-05</t>
  </si>
  <si>
    <t xml:space="preserve">Founder Video Pitch 3min</t>
  </si>
  <si>
    <t xml:space="preserve">07-06</t>
  </si>
  <si>
    <t xml:space="preserve">Press / Media Coverage Collection</t>
  </si>
  <si>
    <t xml:space="preserve">08-01</t>
  </si>
  <si>
    <t xml:space="preserve">08</t>
  </si>
  <si>
    <t xml:space="preserve">DD Checklist PreSeed Round</t>
  </si>
  <si>
    <t xml:space="preserve">08-02</t>
  </si>
  <si>
    <t xml:space="preserve">DD Checklist Seed Round</t>
  </si>
  <si>
    <t xml:space="preserve">08-03</t>
  </si>
  <si>
    <t xml:space="preserve">DD Checklist SeriesA Round</t>
  </si>
  <si>
    <t xml:space="preserve">Serie A</t>
  </si>
  <si>
    <t xml:space="preserve">08-04</t>
  </si>
  <si>
    <t xml:space="preserve">Investor Q&amp;A Database 200+</t>
  </si>
  <si>
    <t xml:space="preserve">08-05</t>
  </si>
  <si>
    <t xml:space="preserve">Investor Pipeline CRM Tracker</t>
  </si>
  <si>
    <t xml:space="preserve">08-06</t>
  </si>
  <si>
    <t xml:space="preserve">Gap Analysis Action Items</t>
  </si>
  <si>
    <t xml:space="preserve">08-07</t>
  </si>
  <si>
    <t xml:space="preserve">DD Response Templates</t>
  </si>
  <si>
    <t xml:space="preserve">08-08</t>
  </si>
  <si>
    <t xml:space="preserve">Investor Meeting Notes Log</t>
  </si>
  <si>
    <t xml:space="preserve">09-01</t>
  </si>
  <si>
    <t xml:space="preserve">09</t>
  </si>
  <si>
    <t xml:space="preserve">Vedlegg A — Investment Memorandum</t>
  </si>
  <si>
    <t xml:space="preserve">09-02</t>
  </si>
  <si>
    <t xml:space="preserve">Vedlegg B — Economic Tables Projections</t>
  </si>
  <si>
    <t xml:space="preserve">09-03</t>
  </si>
  <si>
    <t xml:space="preserve">Vedlegg C — Industrial Investment Benchmarks</t>
  </si>
  <si>
    <t xml:space="preserve">Vedlegg C – Sammenligning med lignende industrielle investeringscaser.docx</t>
  </si>
  <si>
    <t xml:space="preserve">2026-01-24 16:10</t>
  </si>
  <si>
    <t xml:space="preserve">09-04</t>
  </si>
  <si>
    <t xml:space="preserve">Vedlegg D — Automation Feasibility Study</t>
  </si>
  <si>
    <t xml:space="preserve">09-05</t>
  </si>
  <si>
    <t xml:space="preserve">Vedlegg E — CNC Resale Value Analysis</t>
  </si>
  <si>
    <t xml:space="preserve">See 04_CNC_Resale_Value_Analysis in Cat 04</t>
  </si>
  <si>
    <t xml:space="preserve">09-06</t>
  </si>
  <si>
    <t xml:space="preserve">Vedlegg F — Team Board Governance</t>
  </si>
  <si>
    <t xml:space="preserve">Vedlegg F subfolder exists but no file inside</t>
  </si>
  <si>
    <t xml:space="preserve">09-07</t>
  </si>
  <si>
    <t xml:space="preserve">Vedlegg G — Facility Strategy Norbygg</t>
  </si>
  <si>
    <t xml:space="preserve">Vedlegg G subfolder exists but no file inside — see 04_Facility_Strategy</t>
  </si>
  <si>
    <t xml:space="preserve">REV6 Priority</t>
  </si>
  <si>
    <t xml:space="preserve">Parameter to Check</t>
  </si>
  <si>
    <t xml:space="preserve">Expected REV6 Value</t>
  </si>
  <si>
    <t xml:space="preserve">Status</t>
  </si>
  <si>
    <t xml:space="preserve">02_Financing_Plan_KOMPLETT_94MNOK</t>
  </si>
  <si>
    <t xml:space="preserve">CRITICAL</t>
  </si>
  <si>
    <t xml:space="preserve">Total equity all rounds</t>
  </si>
  <si>
    <t xml:space="preserve">101.3 MNOK</t>
  </si>
  <si>
    <t xml:space="preserve">STALE — shows 94 MNOK</t>
  </si>
  <si>
    <t xml:space="preserve">Full rewrite needed</t>
  </si>
  <si>
    <t xml:space="preserve">Seed equity</t>
  </si>
  <si>
    <t xml:space="preserve">51.3 MNOK</t>
  </si>
  <si>
    <t xml:space="preserve">STALE — shows 47 MNOK</t>
  </si>
  <si>
    <t xml:space="preserve">Seed pre-money</t>
  </si>
  <si>
    <t xml:space="preserve">130 MNOK</t>
  </si>
  <si>
    <t xml:space="preserve">STALE — shows 140 MNOK</t>
  </si>
  <si>
    <t xml:space="preserve">Seed dilution</t>
  </si>
  <si>
    <t xml:space="preserve">28.3%</t>
  </si>
  <si>
    <t xml:space="preserve">STALE — shows 25.1%</t>
  </si>
  <si>
    <t xml:space="preserve">Founders post-Serie A</t>
  </si>
  <si>
    <t xml:space="preserve">50.6%</t>
  </si>
  <si>
    <t xml:space="preserve">STALE — shows 53.42%</t>
  </si>
  <si>
    <t xml:space="preserve">Seed CNC count</t>
  </si>
  <si>
    <t xml:space="preserve">5</t>
  </si>
  <si>
    <t xml:space="preserve">STALE — shows 8</t>
  </si>
  <si>
    <t xml:space="preserve">07_Investor_Pitch_Deck_V3</t>
  </si>
  <si>
    <t xml:space="preserve">Revenue 2028</t>
  </si>
  <si>
    <t xml:space="preserve">49.3 MNOK</t>
  </si>
  <si>
    <t xml:space="preserve">STALE — shows 73 MNOK</t>
  </si>
  <si>
    <t xml:space="preserve">Needs V4</t>
  </si>
  <si>
    <t xml:space="preserve">Cap table / fundraising slides</t>
  </si>
  <si>
    <t xml:space="preserve">REV6 values</t>
  </si>
  <si>
    <t xml:space="preserve">STALE</t>
  </si>
  <si>
    <t xml:space="preserve">02_Model_Assumptions_Grunnlag</t>
  </si>
  <si>
    <t xml:space="preserve">HIGH</t>
  </si>
  <si>
    <t xml:space="preserve">Revenue trajectory</t>
  </si>
  <si>
    <t xml:space="preserve">REV6 curve</t>
  </si>
  <si>
    <t xml:space="preserve">Needs scan</t>
  </si>
  <si>
    <t xml:space="preserve">Was 8 in KOMPLETT</t>
  </si>
  <si>
    <t xml:space="preserve">Cost structure</t>
  </si>
  <si>
    <t xml:space="preserve">8% var (mature)</t>
  </si>
  <si>
    <t xml:space="preserve">Was flat 13%</t>
  </si>
  <si>
    <t xml:space="preserve">02_Valuation_Methodology_Revidert</t>
  </si>
  <si>
    <t xml:space="preserve">Was 140 MNOK</t>
  </si>
  <si>
    <t xml:space="preserve">Tranche structure</t>
  </si>
  <si>
    <t xml:space="preserve">5+15 CNC</t>
  </si>
  <si>
    <t xml:space="preserve">Was different</t>
  </si>
  <si>
    <t xml:space="preserve">02_Economic_Tables_REV6</t>
  </si>
  <si>
    <t xml:space="preserve">Admin FTEs</t>
  </si>
  <si>
    <t xml:space="preserve">4</t>
  </si>
  <si>
    <t xml:space="preserve">Consistent</t>
  </si>
  <si>
    <t xml:space="preserve">REV6 master doc</t>
  </si>
  <si>
    <t xml:space="preserve">Facility lease</t>
  </si>
  <si>
    <t xml:space="preserve">5.2 MNOK/yr</t>
  </si>
  <si>
    <t xml:space="preserve">03_Market_Analysis_Master</t>
  </si>
  <si>
    <t xml:space="preserve">MEDIUM</t>
  </si>
  <si>
    <t xml:space="preserve">CAPEX per CNC</t>
  </si>
  <si>
    <t xml:space="preserve">10 MNOK</t>
  </si>
  <si>
    <t xml:space="preserve">Was 8 MNOK</t>
  </si>
  <si>
    <t xml:space="preserve">03_TAM_SAM_SOM</t>
  </si>
  <si>
    <t xml:space="preserve">SOM CAPEX reference</t>
  </si>
  <si>
    <t xml:space="preserve">04_Facility_Strategy_Norbygg</t>
  </si>
  <si>
    <t xml:space="preserve">Annual lease</t>
  </si>
  <si>
    <t xml:space="preserve">Was 4.0 MNOK</t>
  </si>
  <si>
    <t xml:space="preserve">01_Vesting_Schedule_4yr_Cliff</t>
  </si>
  <si>
    <t xml:space="preserve">LOW</t>
  </si>
  <si>
    <t xml:space="preserve">Founders post-Serie A %</t>
  </si>
  <si>
    <t xml:space="preserve">Was 53.42%</t>
  </si>
  <si>
    <t xml:space="preserve">Date</t>
  </si>
  <si>
    <t xml:space="preserve">Event Type</t>
  </si>
  <si>
    <t xml:space="preserve">Previous Status</t>
  </si>
  <si>
    <t xml:space="preserve">New Status</t>
  </si>
  <si>
    <t xml:space="preserve">2026-02-13</t>
  </si>
  <si>
    <t xml:space="preserve">INITIAL SCAN</t>
  </si>
  <si>
    <t xml:space="preserve">Full VDR — First baseline scan</t>
  </si>
  <si>
    <t xml:space="preserve">—</t>
  </si>
  <si>
    <t xml:space="preserve">28 found / 86 missing</t>
  </si>
  <si>
    <t xml:space="preserve">Baseline for future change tracking</t>
  </si>
  <si>
    <t xml:space="preserve">NEW FINDING</t>
  </si>
  <si>
    <t xml:space="preserve">Expected NEED</t>
  </si>
  <si>
    <t xml:space="preserve">Was listed as NEED, now in VDR</t>
  </si>
  <si>
    <t xml:space="preserve">Expected NEED (3 CVs)</t>
  </si>
  <si>
    <t xml:space="preserve">Found (1 of 3)</t>
  </si>
  <si>
    <t xml:space="preserve">Only Tore's CV — André and Henrik still missing</t>
  </si>
  <si>
    <t xml:space="preserve">LETTEROFINTENT_Aurelian_PhysicalRobotics.pdf</t>
  </si>
  <si>
    <t xml:space="preserve">LOI with Physical Robotics</t>
  </si>
  <si>
    <t xml:space="preserve">ADDITIONAL FILE</t>
  </si>
  <si>
    <t xml:space="preserve">Aurelian_Customer_Presentation_v6.pptx</t>
  </si>
  <si>
    <t xml:space="preserve">Not in register</t>
  </si>
  <si>
    <t xml:space="preserve">Customer presentation — not in VDR register</t>
  </si>
  <si>
    <t xml:space="preserve">03_Market_Trends_Projections_Report.pdf</t>
  </si>
  <si>
    <t xml:space="preserve">Additional market doc</t>
  </si>
  <si>
    <t xml:space="preserve">NOTE</t>
  </si>
  <si>
    <t xml:space="preserve">Expected HAVE</t>
  </si>
  <si>
    <t xml:space="preserve">Proton Drive may not have synced</t>
  </si>
  <si>
    <t xml:space="preserve">Category Name</t>
  </si>
  <si>
    <t xml:space="preserve">Total Docs</t>
  </si>
  <si>
    <t xml:space="preserve">REV6 Issues</t>
  </si>
  <si>
    <t xml:space="preserve">Completion %</t>
  </si>
  <si>
    <t xml:space="preserve">Executive Summaries &amp; Teasers</t>
  </si>
  <si>
    <t xml:space="preserve">0%</t>
  </si>
  <si>
    <t xml:space="preserve">Corporate &amp; Legal Structure</t>
  </si>
  <si>
    <t xml:space="preserve">53%</t>
  </si>
  <si>
    <t xml:space="preserve">Financial Model &amp; Projections</t>
  </si>
  <si>
    <t xml:space="preserve">36%</t>
  </si>
  <si>
    <t xml:space="preserve">Market Analysis &amp; Commercial</t>
  </si>
  <si>
    <t xml:space="preserve">41%</t>
  </si>
  <si>
    <t xml:space="preserve">Technical &amp; Operations</t>
  </si>
  <si>
    <t xml:space="preserve">20%</t>
  </si>
  <si>
    <t xml:space="preserve">Legal, IP &amp; Contracts</t>
  </si>
  <si>
    <t xml:space="preserve">7%</t>
  </si>
  <si>
    <t xml:space="preserve">Team, Board &amp; Governance</t>
  </si>
  <si>
    <t xml:space="preserve">9%</t>
  </si>
  <si>
    <t xml:space="preserve">Presentations &amp; Pitch Materials</t>
  </si>
  <si>
    <t xml:space="preserve">16%</t>
  </si>
  <si>
    <t xml:space="preserve">DD Process (Internal Only)</t>
  </si>
  <si>
    <t xml:space="preserve">Vedlegg / Appendices</t>
  </si>
  <si>
    <t xml:space="preserve">14%</t>
  </si>
  <si>
    <t xml:space="preserve">TOTAL</t>
  </si>
  <si>
    <t xml:space="preserve">All Categories</t>
  </si>
  <si>
    <t xml:space="preserve">24%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</si>
</sst>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sz val="10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color rgb="FFFF8C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C7CE"/>
        <bgColor rgb="FFFFD699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FD699"/>
      </patternFill>
    </fill>
    <fill>
      <patternFill patternType="solid">
        <fgColor rgb="FFFFD699"/>
        <bgColor rgb="FFFFEB9C"/>
      </patternFill>
    </fill>
    <fill>
      <patternFill patternType="solid">
        <fgColor rgb="FFD9D9D9"/>
        <bgColor rgb="FFD6E4F0"/>
      </patternFill>
    </fill>
    <fill>
      <patternFill patternType="solid">
        <fgColor rgb="FFD6E4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D699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DC3E6"/>
      <rgbColor rgb="FFFF99CC"/>
      <rgbColor rgb="FFCC99FF"/>
      <rgbColor rgb="FFFFD699"/>
      <rgbColor rgb="FF4472C4"/>
      <rgbColor rgb="FF33CCCC"/>
      <rgbColor rgb="FF99CC00"/>
      <rgbColor rgb="FFFFCC00"/>
      <rgbColor rgb="FFFF8C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5" min="4" style="0" width="15"/>
    <col collapsed="false" customWidth="true" hidden="false" outlineLevel="0" max="6" min="6" style="0" width="5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C4" s="3" t="n">
        <v>116</v>
      </c>
    </row>
    <row r="5" customFormat="false" ht="15" hidden="false" customHeight="false" outlineLevel="0" collapsed="false">
      <c r="A5" s="3" t="s">
        <v>3</v>
      </c>
      <c r="C5" s="3" t="s">
        <v>4</v>
      </c>
    </row>
    <row r="6" customFormat="false" ht="15" hidden="false" customHeight="false" outlineLevel="0" collapsed="false">
      <c r="A6" s="3" t="s">
        <v>5</v>
      </c>
      <c r="C6" s="3" t="s">
        <v>6</v>
      </c>
    </row>
    <row r="7" customFormat="false" ht="15" hidden="false" customHeight="false" outlineLevel="0" collapsed="false">
      <c r="A7" s="3" t="s">
        <v>7</v>
      </c>
      <c r="C7" s="3" t="n">
        <v>2</v>
      </c>
    </row>
    <row r="8" customFormat="false" ht="15" hidden="false" customHeight="false" outlineLevel="0" collapsed="false">
      <c r="A8" s="3"/>
      <c r="C8" s="3"/>
    </row>
    <row r="9" customFormat="false" ht="15" hidden="false" customHeight="false" outlineLevel="0" collapsed="false">
      <c r="A9" s="4" t="s">
        <v>8</v>
      </c>
      <c r="C9" s="3"/>
    </row>
    <row r="10" customFormat="false" ht="15" hidden="false" customHeight="false" outlineLevel="0" collapsed="false">
      <c r="A10" s="3" t="s">
        <v>9</v>
      </c>
      <c r="C10" s="3" t="n">
        <v>2</v>
      </c>
    </row>
    <row r="11" customFormat="false" ht="15" hidden="false" customHeight="false" outlineLevel="0" collapsed="false">
      <c r="A11" s="3" t="s">
        <v>10</v>
      </c>
      <c r="C11" s="3" t="n">
        <v>8</v>
      </c>
    </row>
    <row r="12" customFormat="false" ht="15" hidden="false" customHeight="false" outlineLevel="0" collapsed="false">
      <c r="A12" s="3"/>
      <c r="C12" s="3"/>
    </row>
    <row r="13" customFormat="false" ht="15" hidden="false" customHeight="false" outlineLevel="0" collapsed="false">
      <c r="A13" s="4" t="s">
        <v>11</v>
      </c>
      <c r="C13" s="3"/>
    </row>
    <row r="14" customFormat="false" ht="15" hidden="false" customHeight="false" outlineLevel="0" collapsed="false">
      <c r="A14" s="3" t="s">
        <v>12</v>
      </c>
      <c r="C14" s="5" t="n">
        <v>54</v>
      </c>
    </row>
    <row r="15" customFormat="false" ht="15" hidden="false" customHeight="false" outlineLevel="0" collapsed="false">
      <c r="A15" s="3" t="s">
        <v>13</v>
      </c>
      <c r="C15" s="5" t="n">
        <v>7</v>
      </c>
    </row>
    <row r="17" customFormat="false" ht="15" hidden="false" customHeight="false" outlineLevel="0" collapsed="false">
      <c r="A17" s="6" t="s">
        <v>14</v>
      </c>
    </row>
    <row r="18" customFormat="false" ht="23.85" hidden="false" customHeight="true" outlineLevel="0" collapsed="false">
      <c r="A18" s="5" t="s">
        <v>15</v>
      </c>
      <c r="B18" s="7" t="s">
        <v>16</v>
      </c>
      <c r="C18" s="7"/>
      <c r="D18" s="7"/>
      <c r="E18" s="7"/>
      <c r="F18" s="7"/>
    </row>
    <row r="19" customFormat="false" ht="15" hidden="false" customHeight="true" outlineLevel="0" collapsed="false">
      <c r="A19" s="5" t="s">
        <v>17</v>
      </c>
      <c r="B19" s="7" t="s">
        <v>18</v>
      </c>
      <c r="C19" s="7"/>
      <c r="D19" s="7"/>
      <c r="E19" s="7"/>
      <c r="F19" s="7"/>
    </row>
    <row r="20" customFormat="false" ht="23.85" hidden="false" customHeight="true" outlineLevel="0" collapsed="false">
      <c r="A20" s="8" t="s">
        <v>19</v>
      </c>
      <c r="B20" s="7" t="s">
        <v>20</v>
      </c>
      <c r="C20" s="7"/>
      <c r="D20" s="7"/>
      <c r="E20" s="7"/>
      <c r="F20" s="7"/>
    </row>
  </sheetData>
  <mergeCells count="5">
    <mergeCell ref="A1:F1"/>
    <mergeCell ref="A2:F2"/>
    <mergeCell ref="B18:F18"/>
    <mergeCell ref="B19:F19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M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45"/>
  </cols>
  <sheetData>
    <row r="1" customFormat="false" ht="23.85" hidden="false" customHeight="false" outlineLevel="0" collapsed="false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  <c r="K1" s="9" t="s">
        <v>31</v>
      </c>
      <c r="L1" s="9" t="s">
        <v>32</v>
      </c>
      <c r="M1" s="9" t="s">
        <v>33</v>
      </c>
    </row>
    <row r="2" customFormat="false" ht="15" hidden="false" customHeight="false" outlineLevel="0" collapsed="false">
      <c r="A2" s="10" t="s">
        <v>34</v>
      </c>
      <c r="B2" s="10" t="s">
        <v>35</v>
      </c>
      <c r="C2" s="11" t="s">
        <v>36</v>
      </c>
      <c r="D2" s="10" t="s">
        <v>37</v>
      </c>
      <c r="E2" s="10" t="s">
        <v>38</v>
      </c>
      <c r="F2" s="11"/>
      <c r="G2" s="10"/>
      <c r="H2" s="10"/>
      <c r="I2" s="10" t="s">
        <v>39</v>
      </c>
      <c r="J2" s="11" t="s">
        <v>40</v>
      </c>
      <c r="K2" s="10" t="s">
        <v>41</v>
      </c>
      <c r="L2" s="10" t="s">
        <v>42</v>
      </c>
      <c r="M2" s="11"/>
    </row>
    <row r="3" customFormat="false" ht="15" hidden="false" customHeight="false" outlineLevel="0" collapsed="false">
      <c r="A3" s="10" t="s">
        <v>43</v>
      </c>
      <c r="B3" s="10" t="s">
        <v>35</v>
      </c>
      <c r="C3" s="11" t="s">
        <v>44</v>
      </c>
      <c r="D3" s="10" t="s">
        <v>37</v>
      </c>
      <c r="E3" s="10" t="s">
        <v>38</v>
      </c>
      <c r="F3" s="11"/>
      <c r="G3" s="10"/>
      <c r="H3" s="10"/>
      <c r="I3" s="10" t="s">
        <v>39</v>
      </c>
      <c r="J3" s="11" t="s">
        <v>40</v>
      </c>
      <c r="K3" s="10" t="s">
        <v>41</v>
      </c>
      <c r="L3" s="10" t="s">
        <v>42</v>
      </c>
      <c r="M3" s="11"/>
    </row>
    <row r="4" customFormat="false" ht="15" hidden="false" customHeight="false" outlineLevel="0" collapsed="false">
      <c r="A4" s="10" t="s">
        <v>45</v>
      </c>
      <c r="B4" s="10" t="s">
        <v>35</v>
      </c>
      <c r="C4" s="11" t="s">
        <v>46</v>
      </c>
      <c r="D4" s="10" t="s">
        <v>37</v>
      </c>
      <c r="E4" s="10" t="s">
        <v>38</v>
      </c>
      <c r="F4" s="11"/>
      <c r="G4" s="10"/>
      <c r="H4" s="10"/>
      <c r="I4" s="10" t="s">
        <v>39</v>
      </c>
      <c r="J4" s="11" t="s">
        <v>40</v>
      </c>
      <c r="K4" s="10" t="s">
        <v>47</v>
      </c>
      <c r="L4" s="10" t="s">
        <v>42</v>
      </c>
      <c r="M4" s="11"/>
    </row>
    <row r="5" customFormat="false" ht="15" hidden="false" customHeight="false" outlineLevel="0" collapsed="false">
      <c r="A5" s="12" t="s">
        <v>48</v>
      </c>
      <c r="B5" s="12" t="s">
        <v>49</v>
      </c>
      <c r="C5" s="13" t="s">
        <v>50</v>
      </c>
      <c r="D5" s="12" t="s">
        <v>37</v>
      </c>
      <c r="E5" s="12" t="s">
        <v>51</v>
      </c>
      <c r="F5" s="13" t="s">
        <v>52</v>
      </c>
      <c r="G5" s="12" t="n">
        <v>329926</v>
      </c>
      <c r="H5" s="12" t="s">
        <v>53</v>
      </c>
      <c r="I5" s="12" t="s">
        <v>39</v>
      </c>
      <c r="J5" s="13" t="s">
        <v>40</v>
      </c>
      <c r="K5" s="12" t="s">
        <v>41</v>
      </c>
      <c r="L5" s="12" t="s">
        <v>42</v>
      </c>
      <c r="M5" s="13"/>
    </row>
    <row r="6" customFormat="false" ht="15" hidden="false" customHeight="false" outlineLevel="0" collapsed="false">
      <c r="A6" s="12" t="s">
        <v>54</v>
      </c>
      <c r="B6" s="12" t="s">
        <v>49</v>
      </c>
      <c r="C6" s="13" t="s">
        <v>55</v>
      </c>
      <c r="D6" s="12" t="s">
        <v>37</v>
      </c>
      <c r="E6" s="12" t="s">
        <v>51</v>
      </c>
      <c r="F6" s="13" t="s">
        <v>56</v>
      </c>
      <c r="G6" s="12" t="n">
        <v>39607</v>
      </c>
      <c r="H6" s="12" t="s">
        <v>57</v>
      </c>
      <c r="I6" s="12" t="s">
        <v>39</v>
      </c>
      <c r="J6" s="13" t="s">
        <v>40</v>
      </c>
      <c r="K6" s="12" t="s">
        <v>41</v>
      </c>
      <c r="L6" s="12" t="s">
        <v>42</v>
      </c>
      <c r="M6" s="13"/>
    </row>
    <row r="7" customFormat="false" ht="15" hidden="false" customHeight="false" outlineLevel="0" collapsed="false">
      <c r="A7" s="12" t="s">
        <v>58</v>
      </c>
      <c r="B7" s="12" t="s">
        <v>49</v>
      </c>
      <c r="C7" s="13" t="s">
        <v>59</v>
      </c>
      <c r="D7" s="12" t="s">
        <v>37</v>
      </c>
      <c r="E7" s="12" t="s">
        <v>51</v>
      </c>
      <c r="F7" s="13" t="s">
        <v>60</v>
      </c>
      <c r="G7" s="12" t="n">
        <v>58867</v>
      </c>
      <c r="H7" s="12" t="s">
        <v>61</v>
      </c>
      <c r="I7" s="12" t="s">
        <v>39</v>
      </c>
      <c r="J7" s="13" t="s">
        <v>40</v>
      </c>
      <c r="K7" s="12" t="s">
        <v>41</v>
      </c>
      <c r="L7" s="12" t="s">
        <v>42</v>
      </c>
      <c r="M7" s="13"/>
    </row>
    <row r="8" customFormat="false" ht="15" hidden="false" customHeight="false" outlineLevel="0" collapsed="false">
      <c r="A8" s="12" t="s">
        <v>62</v>
      </c>
      <c r="B8" s="12" t="s">
        <v>49</v>
      </c>
      <c r="C8" s="13" t="s">
        <v>63</v>
      </c>
      <c r="D8" s="12" t="s">
        <v>37</v>
      </c>
      <c r="E8" s="12" t="s">
        <v>51</v>
      </c>
      <c r="F8" s="13" t="s">
        <v>64</v>
      </c>
      <c r="G8" s="12" t="n">
        <v>22999</v>
      </c>
      <c r="H8" s="12" t="s">
        <v>65</v>
      </c>
      <c r="I8" s="12" t="s">
        <v>39</v>
      </c>
      <c r="J8" s="13" t="s">
        <v>40</v>
      </c>
      <c r="K8" s="12" t="s">
        <v>41</v>
      </c>
      <c r="L8" s="12" t="s">
        <v>42</v>
      </c>
      <c r="M8" s="13"/>
    </row>
    <row r="9" customFormat="false" ht="15" hidden="false" customHeight="false" outlineLevel="0" collapsed="false">
      <c r="A9" s="10" t="s">
        <v>66</v>
      </c>
      <c r="B9" s="10" t="s">
        <v>49</v>
      </c>
      <c r="C9" s="11" t="s">
        <v>67</v>
      </c>
      <c r="D9" s="10" t="s">
        <v>37</v>
      </c>
      <c r="E9" s="10" t="s">
        <v>38</v>
      </c>
      <c r="F9" s="11"/>
      <c r="G9" s="10"/>
      <c r="H9" s="10"/>
      <c r="I9" s="10" t="s">
        <v>39</v>
      </c>
      <c r="J9" s="11" t="s">
        <v>40</v>
      </c>
      <c r="K9" s="10" t="s">
        <v>68</v>
      </c>
      <c r="L9" s="10" t="s">
        <v>69</v>
      </c>
      <c r="M9" s="11"/>
    </row>
    <row r="10" customFormat="false" ht="23.85" hidden="false" customHeight="false" outlineLevel="0" collapsed="false">
      <c r="A10" s="10" t="s">
        <v>70</v>
      </c>
      <c r="B10" s="10" t="s">
        <v>49</v>
      </c>
      <c r="C10" s="11" t="s">
        <v>71</v>
      </c>
      <c r="D10" s="10" t="s">
        <v>72</v>
      </c>
      <c r="E10" s="10" t="s">
        <v>38</v>
      </c>
      <c r="F10" s="11"/>
      <c r="G10" s="10"/>
      <c r="H10" s="10"/>
      <c r="I10" s="10" t="s">
        <v>39</v>
      </c>
      <c r="J10" s="11" t="s">
        <v>40</v>
      </c>
      <c r="K10" s="10" t="s">
        <v>73</v>
      </c>
      <c r="L10" s="10" t="s">
        <v>42</v>
      </c>
      <c r="M10" s="11" t="s">
        <v>74</v>
      </c>
    </row>
    <row r="11" customFormat="false" ht="15" hidden="false" customHeight="false" outlineLevel="0" collapsed="false">
      <c r="A11" s="10" t="s">
        <v>75</v>
      </c>
      <c r="B11" s="10" t="s">
        <v>49</v>
      </c>
      <c r="C11" s="11" t="s">
        <v>76</v>
      </c>
      <c r="D11" s="10" t="s">
        <v>37</v>
      </c>
      <c r="E11" s="10" t="s">
        <v>38</v>
      </c>
      <c r="F11" s="11"/>
      <c r="G11" s="10"/>
      <c r="H11" s="10"/>
      <c r="I11" s="10" t="s">
        <v>39</v>
      </c>
      <c r="J11" s="11" t="s">
        <v>40</v>
      </c>
      <c r="K11" s="10" t="s">
        <v>47</v>
      </c>
      <c r="L11" s="10" t="s">
        <v>69</v>
      </c>
      <c r="M11" s="11"/>
    </row>
    <row r="12" customFormat="false" ht="15" hidden="false" customHeight="false" outlineLevel="0" collapsed="false">
      <c r="A12" s="10" t="s">
        <v>77</v>
      </c>
      <c r="B12" s="10" t="s">
        <v>49</v>
      </c>
      <c r="C12" s="11" t="s">
        <v>78</v>
      </c>
      <c r="D12" s="10" t="s">
        <v>37</v>
      </c>
      <c r="E12" s="10" t="s">
        <v>38</v>
      </c>
      <c r="F12" s="11"/>
      <c r="G12" s="10"/>
      <c r="H12" s="10"/>
      <c r="I12" s="10" t="s">
        <v>39</v>
      </c>
      <c r="J12" s="11" t="s">
        <v>40</v>
      </c>
      <c r="K12" s="10" t="s">
        <v>47</v>
      </c>
      <c r="L12" s="10" t="s">
        <v>69</v>
      </c>
      <c r="M12" s="11"/>
    </row>
    <row r="13" customFormat="false" ht="15" hidden="false" customHeight="false" outlineLevel="0" collapsed="false">
      <c r="A13" s="14" t="s">
        <v>79</v>
      </c>
      <c r="B13" s="14" t="s">
        <v>49</v>
      </c>
      <c r="C13" s="15" t="s">
        <v>80</v>
      </c>
      <c r="D13" s="14" t="s">
        <v>72</v>
      </c>
      <c r="E13" s="14" t="s">
        <v>51</v>
      </c>
      <c r="F13" s="15" t="s">
        <v>81</v>
      </c>
      <c r="G13" s="14" t="n">
        <v>20313</v>
      </c>
      <c r="H13" s="14" t="s">
        <v>82</v>
      </c>
      <c r="I13" s="14" t="s">
        <v>83</v>
      </c>
      <c r="J13" s="15" t="s">
        <v>84</v>
      </c>
      <c r="K13" s="14" t="s">
        <v>41</v>
      </c>
      <c r="L13" s="14" t="s">
        <v>42</v>
      </c>
      <c r="M13" s="15"/>
    </row>
    <row r="14" customFormat="false" ht="15" hidden="false" customHeight="false" outlineLevel="0" collapsed="false">
      <c r="A14" s="10" t="s">
        <v>85</v>
      </c>
      <c r="B14" s="10" t="s">
        <v>49</v>
      </c>
      <c r="C14" s="11" t="s">
        <v>86</v>
      </c>
      <c r="D14" s="10" t="s">
        <v>72</v>
      </c>
      <c r="E14" s="10" t="s">
        <v>38</v>
      </c>
      <c r="F14" s="11"/>
      <c r="G14" s="10"/>
      <c r="H14" s="10"/>
      <c r="I14" s="10" t="s">
        <v>39</v>
      </c>
      <c r="J14" s="11" t="s">
        <v>40</v>
      </c>
      <c r="K14" s="10" t="s">
        <v>73</v>
      </c>
      <c r="L14" s="10" t="s">
        <v>42</v>
      </c>
      <c r="M14" s="11" t="s">
        <v>87</v>
      </c>
    </row>
    <row r="15" customFormat="false" ht="15" hidden="false" customHeight="false" outlineLevel="0" collapsed="false">
      <c r="A15" s="10" t="s">
        <v>88</v>
      </c>
      <c r="B15" s="10" t="s">
        <v>49</v>
      </c>
      <c r="C15" s="11" t="s">
        <v>89</v>
      </c>
      <c r="D15" s="10" t="s">
        <v>37</v>
      </c>
      <c r="E15" s="10" t="s">
        <v>38</v>
      </c>
      <c r="F15" s="11"/>
      <c r="G15" s="10"/>
      <c r="H15" s="10"/>
      <c r="I15" s="10" t="s">
        <v>39</v>
      </c>
      <c r="J15" s="11" t="s">
        <v>40</v>
      </c>
      <c r="K15" s="10" t="s">
        <v>47</v>
      </c>
      <c r="L15" s="10" t="s">
        <v>69</v>
      </c>
      <c r="M15" s="11"/>
    </row>
    <row r="16" customFormat="false" ht="15" hidden="false" customHeight="false" outlineLevel="0" collapsed="false">
      <c r="A16" s="12" t="s">
        <v>90</v>
      </c>
      <c r="B16" s="12" t="s">
        <v>49</v>
      </c>
      <c r="C16" s="13" t="s">
        <v>91</v>
      </c>
      <c r="D16" s="12" t="s">
        <v>37</v>
      </c>
      <c r="E16" s="12" t="s">
        <v>51</v>
      </c>
      <c r="F16" s="13" t="s">
        <v>92</v>
      </c>
      <c r="G16" s="12" t="n">
        <v>11321</v>
      </c>
      <c r="H16" s="12" t="s">
        <v>93</v>
      </c>
      <c r="I16" s="12" t="s">
        <v>39</v>
      </c>
      <c r="J16" s="13" t="s">
        <v>40</v>
      </c>
      <c r="K16" s="12" t="s">
        <v>47</v>
      </c>
      <c r="L16" s="12" t="s">
        <v>42</v>
      </c>
      <c r="M16" s="13"/>
    </row>
    <row r="17" customFormat="false" ht="15" hidden="false" customHeight="false" outlineLevel="0" collapsed="false">
      <c r="A17" s="10" t="s">
        <v>94</v>
      </c>
      <c r="B17" s="10" t="s">
        <v>49</v>
      </c>
      <c r="C17" s="11" t="s">
        <v>95</v>
      </c>
      <c r="D17" s="10" t="s">
        <v>37</v>
      </c>
      <c r="E17" s="10" t="s">
        <v>38</v>
      </c>
      <c r="F17" s="11"/>
      <c r="G17" s="10"/>
      <c r="H17" s="10"/>
      <c r="I17" s="10" t="s">
        <v>39</v>
      </c>
      <c r="J17" s="11" t="s">
        <v>40</v>
      </c>
      <c r="K17" s="10" t="s">
        <v>47</v>
      </c>
      <c r="L17" s="10" t="s">
        <v>69</v>
      </c>
      <c r="M17" s="11"/>
    </row>
    <row r="18" customFormat="false" ht="23.85" hidden="false" customHeight="false" outlineLevel="0" collapsed="false">
      <c r="A18" s="14" t="s">
        <v>96</v>
      </c>
      <c r="B18" s="14" t="s">
        <v>49</v>
      </c>
      <c r="C18" s="15" t="s">
        <v>97</v>
      </c>
      <c r="D18" s="14" t="s">
        <v>72</v>
      </c>
      <c r="E18" s="14" t="s">
        <v>98</v>
      </c>
      <c r="F18" s="15" t="s">
        <v>99</v>
      </c>
      <c r="G18" s="14" t="n">
        <v>0</v>
      </c>
      <c r="H18" s="14" t="s">
        <v>100</v>
      </c>
      <c r="I18" s="14" t="s">
        <v>83</v>
      </c>
      <c r="J18" s="15" t="s">
        <v>101</v>
      </c>
      <c r="K18" s="14" t="s">
        <v>73</v>
      </c>
      <c r="L18" s="14" t="s">
        <v>42</v>
      </c>
      <c r="M18" s="15" t="s">
        <v>102</v>
      </c>
    </row>
    <row r="19" customFormat="false" ht="15" hidden="false" customHeight="false" outlineLevel="0" collapsed="false">
      <c r="A19" s="12" t="s">
        <v>103</v>
      </c>
      <c r="B19" s="12" t="s">
        <v>49</v>
      </c>
      <c r="C19" s="13" t="s">
        <v>104</v>
      </c>
      <c r="D19" s="12" t="s">
        <v>37</v>
      </c>
      <c r="E19" s="12" t="s">
        <v>51</v>
      </c>
      <c r="F19" s="13" t="s">
        <v>105</v>
      </c>
      <c r="G19" s="12" t="n">
        <v>17790</v>
      </c>
      <c r="H19" s="12" t="s">
        <v>106</v>
      </c>
      <c r="I19" s="12" t="s">
        <v>39</v>
      </c>
      <c r="J19" s="13" t="s">
        <v>40</v>
      </c>
      <c r="K19" s="12" t="s">
        <v>47</v>
      </c>
      <c r="L19" s="12" t="s">
        <v>69</v>
      </c>
      <c r="M19" s="13"/>
    </row>
    <row r="20" customFormat="false" ht="15" hidden="false" customHeight="false" outlineLevel="0" collapsed="false">
      <c r="A20" s="14" t="s">
        <v>107</v>
      </c>
      <c r="B20" s="14" t="s">
        <v>108</v>
      </c>
      <c r="C20" s="15" t="s">
        <v>109</v>
      </c>
      <c r="D20" s="14" t="s">
        <v>72</v>
      </c>
      <c r="E20" s="14" t="s">
        <v>51</v>
      </c>
      <c r="F20" s="15" t="s">
        <v>110</v>
      </c>
      <c r="G20" s="14" t="n">
        <v>76330</v>
      </c>
      <c r="H20" s="14" t="s">
        <v>111</v>
      </c>
      <c r="I20" s="14" t="s">
        <v>83</v>
      </c>
      <c r="J20" s="15" t="s">
        <v>84</v>
      </c>
      <c r="K20" s="14" t="s">
        <v>41</v>
      </c>
      <c r="L20" s="14" t="s">
        <v>42</v>
      </c>
      <c r="M20" s="15"/>
    </row>
    <row r="21" customFormat="false" ht="23.85" hidden="false" customHeight="false" outlineLevel="0" collapsed="false">
      <c r="A21" s="14" t="s">
        <v>112</v>
      </c>
      <c r="B21" s="14" t="s">
        <v>108</v>
      </c>
      <c r="C21" s="15" t="s">
        <v>113</v>
      </c>
      <c r="D21" s="14" t="s">
        <v>72</v>
      </c>
      <c r="E21" s="14" t="s">
        <v>51</v>
      </c>
      <c r="F21" s="15" t="s">
        <v>114</v>
      </c>
      <c r="G21" s="14" t="n">
        <v>23067</v>
      </c>
      <c r="H21" s="14" t="s">
        <v>115</v>
      </c>
      <c r="I21" s="14" t="s">
        <v>83</v>
      </c>
      <c r="J21" s="15" t="s">
        <v>116</v>
      </c>
      <c r="K21" s="14" t="s">
        <v>41</v>
      </c>
      <c r="L21" s="14" t="s">
        <v>42</v>
      </c>
      <c r="M21" s="15"/>
    </row>
    <row r="22" customFormat="false" ht="15" hidden="false" customHeight="false" outlineLevel="0" collapsed="false">
      <c r="A22" s="16" t="s">
        <v>117</v>
      </c>
      <c r="B22" s="16" t="s">
        <v>108</v>
      </c>
      <c r="C22" s="17" t="s">
        <v>118</v>
      </c>
      <c r="D22" s="16" t="s">
        <v>72</v>
      </c>
      <c r="E22" s="16" t="s">
        <v>51</v>
      </c>
      <c r="F22" s="17" t="s">
        <v>119</v>
      </c>
      <c r="G22" s="16" t="n">
        <v>41030</v>
      </c>
      <c r="H22" s="16" t="s">
        <v>120</v>
      </c>
      <c r="I22" s="16" t="s">
        <v>83</v>
      </c>
      <c r="J22" s="17" t="s">
        <v>121</v>
      </c>
      <c r="K22" s="16" t="s">
        <v>41</v>
      </c>
      <c r="L22" s="16" t="s">
        <v>42</v>
      </c>
      <c r="M22" s="17"/>
    </row>
    <row r="23" customFormat="false" ht="15" hidden="false" customHeight="false" outlineLevel="0" collapsed="false">
      <c r="A23" s="10" t="s">
        <v>122</v>
      </c>
      <c r="B23" s="10" t="s">
        <v>108</v>
      </c>
      <c r="C23" s="11" t="s">
        <v>123</v>
      </c>
      <c r="D23" s="10" t="s">
        <v>72</v>
      </c>
      <c r="E23" s="10" t="s">
        <v>38</v>
      </c>
      <c r="F23" s="11"/>
      <c r="G23" s="10"/>
      <c r="H23" s="10"/>
      <c r="I23" s="10" t="s">
        <v>39</v>
      </c>
      <c r="J23" s="11" t="s">
        <v>40</v>
      </c>
      <c r="K23" s="10" t="s">
        <v>73</v>
      </c>
      <c r="L23" s="10" t="s">
        <v>42</v>
      </c>
      <c r="M23" s="11" t="s">
        <v>124</v>
      </c>
    </row>
    <row r="24" customFormat="false" ht="15" hidden="false" customHeight="false" outlineLevel="0" collapsed="false">
      <c r="A24" s="14" t="s">
        <v>125</v>
      </c>
      <c r="B24" s="14" t="s">
        <v>108</v>
      </c>
      <c r="C24" s="15" t="s">
        <v>126</v>
      </c>
      <c r="D24" s="14" t="s">
        <v>72</v>
      </c>
      <c r="E24" s="14" t="s">
        <v>51</v>
      </c>
      <c r="F24" s="15" t="s">
        <v>127</v>
      </c>
      <c r="G24" s="14" t="n">
        <v>24473</v>
      </c>
      <c r="H24" s="14" t="s">
        <v>128</v>
      </c>
      <c r="I24" s="14" t="s">
        <v>83</v>
      </c>
      <c r="J24" s="15" t="s">
        <v>116</v>
      </c>
      <c r="K24" s="14" t="s">
        <v>41</v>
      </c>
      <c r="L24" s="14" t="s">
        <v>42</v>
      </c>
      <c r="M24" s="15"/>
    </row>
    <row r="25" customFormat="false" ht="15" hidden="false" customHeight="false" outlineLevel="0" collapsed="false">
      <c r="A25" s="10" t="s">
        <v>129</v>
      </c>
      <c r="B25" s="10" t="s">
        <v>108</v>
      </c>
      <c r="C25" s="11" t="s">
        <v>130</v>
      </c>
      <c r="D25" s="10" t="s">
        <v>72</v>
      </c>
      <c r="E25" s="10" t="s">
        <v>38</v>
      </c>
      <c r="F25" s="11"/>
      <c r="G25" s="10"/>
      <c r="H25" s="10"/>
      <c r="I25" s="10" t="s">
        <v>39</v>
      </c>
      <c r="J25" s="11" t="s">
        <v>40</v>
      </c>
      <c r="K25" s="10" t="s">
        <v>47</v>
      </c>
      <c r="L25" s="10" t="s">
        <v>42</v>
      </c>
      <c r="M25" s="11" t="s">
        <v>131</v>
      </c>
    </row>
    <row r="26" customFormat="false" ht="15" hidden="false" customHeight="false" outlineLevel="0" collapsed="false">
      <c r="A26" s="14" t="s">
        <v>132</v>
      </c>
      <c r="B26" s="14" t="s">
        <v>108</v>
      </c>
      <c r="C26" s="15" t="s">
        <v>133</v>
      </c>
      <c r="D26" s="14" t="s">
        <v>72</v>
      </c>
      <c r="E26" s="14" t="s">
        <v>51</v>
      </c>
      <c r="F26" s="15" t="s">
        <v>134</v>
      </c>
      <c r="G26" s="14" t="n">
        <v>45159</v>
      </c>
      <c r="H26" s="14" t="s">
        <v>135</v>
      </c>
      <c r="I26" s="14" t="s">
        <v>83</v>
      </c>
      <c r="J26" s="15" t="s">
        <v>116</v>
      </c>
      <c r="K26" s="14" t="s">
        <v>41</v>
      </c>
      <c r="L26" s="14" t="s">
        <v>42</v>
      </c>
      <c r="M26" s="15"/>
    </row>
    <row r="27" customFormat="false" ht="15" hidden="false" customHeight="false" outlineLevel="0" collapsed="false">
      <c r="A27" s="10" t="s">
        <v>136</v>
      </c>
      <c r="B27" s="10" t="s">
        <v>108</v>
      </c>
      <c r="C27" s="11" t="s">
        <v>137</v>
      </c>
      <c r="D27" s="10" t="s">
        <v>37</v>
      </c>
      <c r="E27" s="10" t="s">
        <v>38</v>
      </c>
      <c r="F27" s="11"/>
      <c r="G27" s="10"/>
      <c r="H27" s="10"/>
      <c r="I27" s="10" t="s">
        <v>39</v>
      </c>
      <c r="J27" s="11" t="s">
        <v>40</v>
      </c>
      <c r="K27" s="10" t="s">
        <v>73</v>
      </c>
      <c r="L27" s="10" t="s">
        <v>69</v>
      </c>
      <c r="M27" s="11"/>
    </row>
    <row r="28" customFormat="false" ht="15" hidden="false" customHeight="false" outlineLevel="0" collapsed="false">
      <c r="A28" s="10" t="s">
        <v>138</v>
      </c>
      <c r="B28" s="10" t="s">
        <v>108</v>
      </c>
      <c r="C28" s="11" t="s">
        <v>139</v>
      </c>
      <c r="D28" s="10" t="s">
        <v>37</v>
      </c>
      <c r="E28" s="10" t="s">
        <v>38</v>
      </c>
      <c r="F28" s="11"/>
      <c r="G28" s="10"/>
      <c r="H28" s="10"/>
      <c r="I28" s="10" t="s">
        <v>39</v>
      </c>
      <c r="J28" s="11" t="s">
        <v>40</v>
      </c>
      <c r="K28" s="10" t="s">
        <v>73</v>
      </c>
      <c r="L28" s="10" t="s">
        <v>42</v>
      </c>
      <c r="M28" s="11"/>
    </row>
    <row r="29" customFormat="false" ht="15" hidden="false" customHeight="false" outlineLevel="0" collapsed="false">
      <c r="A29" s="10" t="s">
        <v>140</v>
      </c>
      <c r="B29" s="10" t="s">
        <v>108</v>
      </c>
      <c r="C29" s="11" t="s">
        <v>141</v>
      </c>
      <c r="D29" s="10" t="s">
        <v>72</v>
      </c>
      <c r="E29" s="10" t="s">
        <v>38</v>
      </c>
      <c r="F29" s="11"/>
      <c r="G29" s="10"/>
      <c r="H29" s="10"/>
      <c r="I29" s="10" t="s">
        <v>39</v>
      </c>
      <c r="J29" s="11" t="s">
        <v>40</v>
      </c>
      <c r="K29" s="10" t="s">
        <v>47</v>
      </c>
      <c r="L29" s="10" t="s">
        <v>42</v>
      </c>
      <c r="M29" s="11" t="s">
        <v>142</v>
      </c>
    </row>
    <row r="30" customFormat="false" ht="15" hidden="false" customHeight="false" outlineLevel="0" collapsed="false">
      <c r="A30" s="10" t="s">
        <v>143</v>
      </c>
      <c r="B30" s="10" t="s">
        <v>108</v>
      </c>
      <c r="C30" s="11" t="s">
        <v>144</v>
      </c>
      <c r="D30" s="10" t="s">
        <v>37</v>
      </c>
      <c r="E30" s="10" t="s">
        <v>38</v>
      </c>
      <c r="F30" s="11"/>
      <c r="G30" s="10"/>
      <c r="H30" s="10"/>
      <c r="I30" s="10" t="s">
        <v>39</v>
      </c>
      <c r="J30" s="11" t="s">
        <v>40</v>
      </c>
      <c r="K30" s="10" t="s">
        <v>73</v>
      </c>
      <c r="L30" s="10" t="s">
        <v>42</v>
      </c>
      <c r="M30" s="11"/>
    </row>
    <row r="31" customFormat="false" ht="15" hidden="false" customHeight="false" outlineLevel="0" collapsed="false">
      <c r="A31" s="10" t="s">
        <v>145</v>
      </c>
      <c r="B31" s="10" t="s">
        <v>108</v>
      </c>
      <c r="C31" s="11" t="s">
        <v>146</v>
      </c>
      <c r="D31" s="10" t="s">
        <v>37</v>
      </c>
      <c r="E31" s="10" t="s">
        <v>38</v>
      </c>
      <c r="F31" s="11"/>
      <c r="G31" s="10"/>
      <c r="H31" s="10"/>
      <c r="I31" s="10" t="s">
        <v>39</v>
      </c>
      <c r="J31" s="11" t="s">
        <v>40</v>
      </c>
      <c r="K31" s="10" t="s">
        <v>47</v>
      </c>
      <c r="L31" s="10" t="s">
        <v>69</v>
      </c>
      <c r="M31" s="11"/>
    </row>
    <row r="32" customFormat="false" ht="15" hidden="false" customHeight="false" outlineLevel="0" collapsed="false">
      <c r="A32" s="10" t="s">
        <v>147</v>
      </c>
      <c r="B32" s="10" t="s">
        <v>108</v>
      </c>
      <c r="C32" s="11" t="s">
        <v>148</v>
      </c>
      <c r="D32" s="10" t="s">
        <v>72</v>
      </c>
      <c r="E32" s="10" t="s">
        <v>38</v>
      </c>
      <c r="F32" s="11"/>
      <c r="G32" s="10"/>
      <c r="H32" s="10"/>
      <c r="I32" s="10" t="s">
        <v>39</v>
      </c>
      <c r="J32" s="11" t="s">
        <v>40</v>
      </c>
      <c r="K32" s="10" t="s">
        <v>41</v>
      </c>
      <c r="L32" s="10" t="s">
        <v>42</v>
      </c>
      <c r="M32" s="11" t="s">
        <v>149</v>
      </c>
    </row>
    <row r="33" customFormat="false" ht="15" hidden="false" customHeight="false" outlineLevel="0" collapsed="false">
      <c r="A33" s="10" t="s">
        <v>150</v>
      </c>
      <c r="B33" s="10" t="s">
        <v>108</v>
      </c>
      <c r="C33" s="11" t="s">
        <v>151</v>
      </c>
      <c r="D33" s="10" t="s">
        <v>37</v>
      </c>
      <c r="E33" s="10" t="s">
        <v>38</v>
      </c>
      <c r="F33" s="11"/>
      <c r="G33" s="10"/>
      <c r="H33" s="10"/>
      <c r="I33" s="10" t="s">
        <v>39</v>
      </c>
      <c r="J33" s="11" t="s">
        <v>40</v>
      </c>
      <c r="K33" s="10" t="s">
        <v>47</v>
      </c>
      <c r="L33" s="10" t="s">
        <v>42</v>
      </c>
      <c r="M33" s="11"/>
    </row>
    <row r="34" customFormat="false" ht="15" hidden="false" customHeight="false" outlineLevel="0" collapsed="false">
      <c r="A34" s="12" t="s">
        <v>152</v>
      </c>
      <c r="B34" s="12" t="s">
        <v>108</v>
      </c>
      <c r="C34" s="13" t="s">
        <v>153</v>
      </c>
      <c r="D34" s="12" t="s">
        <v>72</v>
      </c>
      <c r="E34" s="12" t="s">
        <v>51</v>
      </c>
      <c r="F34" s="13" t="s">
        <v>154</v>
      </c>
      <c r="G34" s="12" t="n">
        <v>39098</v>
      </c>
      <c r="H34" s="12" t="s">
        <v>155</v>
      </c>
      <c r="I34" s="12" t="s">
        <v>39</v>
      </c>
      <c r="J34" s="13" t="s">
        <v>40</v>
      </c>
      <c r="K34" s="12" t="s">
        <v>47</v>
      </c>
      <c r="L34" s="12" t="s">
        <v>42</v>
      </c>
      <c r="M34" s="13"/>
    </row>
    <row r="35" customFormat="false" ht="15" hidden="false" customHeight="false" outlineLevel="0" collapsed="false">
      <c r="A35" s="10" t="s">
        <v>156</v>
      </c>
      <c r="B35" s="10" t="s">
        <v>108</v>
      </c>
      <c r="C35" s="11" t="s">
        <v>157</v>
      </c>
      <c r="D35" s="10" t="s">
        <v>72</v>
      </c>
      <c r="E35" s="10" t="s">
        <v>38</v>
      </c>
      <c r="F35" s="11"/>
      <c r="G35" s="10"/>
      <c r="H35" s="10"/>
      <c r="I35" s="10" t="s">
        <v>39</v>
      </c>
      <c r="J35" s="11" t="s">
        <v>40</v>
      </c>
      <c r="K35" s="10" t="s">
        <v>47</v>
      </c>
      <c r="L35" s="10" t="s">
        <v>42</v>
      </c>
      <c r="M35" s="11" t="s">
        <v>131</v>
      </c>
    </row>
    <row r="36" customFormat="false" ht="15" hidden="false" customHeight="false" outlineLevel="0" collapsed="false">
      <c r="A36" s="10" t="s">
        <v>158</v>
      </c>
      <c r="B36" s="10" t="s">
        <v>108</v>
      </c>
      <c r="C36" s="11" t="s">
        <v>159</v>
      </c>
      <c r="D36" s="10" t="s">
        <v>72</v>
      </c>
      <c r="E36" s="10" t="s">
        <v>38</v>
      </c>
      <c r="F36" s="11"/>
      <c r="G36" s="10"/>
      <c r="H36" s="10"/>
      <c r="I36" s="10" t="s">
        <v>39</v>
      </c>
      <c r="J36" s="11" t="s">
        <v>40</v>
      </c>
      <c r="K36" s="10" t="s">
        <v>47</v>
      </c>
      <c r="L36" s="10" t="s">
        <v>42</v>
      </c>
      <c r="M36" s="11" t="s">
        <v>160</v>
      </c>
    </row>
    <row r="37" customFormat="false" ht="15" hidden="false" customHeight="false" outlineLevel="0" collapsed="false">
      <c r="A37" s="10" t="s">
        <v>161</v>
      </c>
      <c r="B37" s="10" t="s">
        <v>108</v>
      </c>
      <c r="C37" s="11" t="s">
        <v>162</v>
      </c>
      <c r="D37" s="10" t="s">
        <v>37</v>
      </c>
      <c r="E37" s="10" t="s">
        <v>38</v>
      </c>
      <c r="F37" s="11"/>
      <c r="G37" s="10"/>
      <c r="H37" s="10"/>
      <c r="I37" s="10" t="s">
        <v>39</v>
      </c>
      <c r="J37" s="11" t="s">
        <v>40</v>
      </c>
      <c r="K37" s="10" t="s">
        <v>73</v>
      </c>
      <c r="L37" s="10" t="s">
        <v>42</v>
      </c>
      <c r="M37" s="11"/>
    </row>
    <row r="38" customFormat="false" ht="15" hidden="false" customHeight="false" outlineLevel="0" collapsed="false">
      <c r="A38" s="18" t="s">
        <v>163</v>
      </c>
      <c r="B38" s="18" t="s">
        <v>108</v>
      </c>
      <c r="C38" s="19" t="s">
        <v>164</v>
      </c>
      <c r="D38" s="18" t="s">
        <v>40</v>
      </c>
      <c r="E38" s="18" t="s">
        <v>40</v>
      </c>
      <c r="F38" s="19"/>
      <c r="G38" s="18"/>
      <c r="H38" s="18"/>
      <c r="I38" s="18" t="s">
        <v>39</v>
      </c>
      <c r="J38" s="19" t="s">
        <v>40</v>
      </c>
      <c r="K38" s="18" t="s">
        <v>68</v>
      </c>
      <c r="L38" s="18" t="s">
        <v>40</v>
      </c>
      <c r="M38" s="19"/>
    </row>
    <row r="39" customFormat="false" ht="23.85" hidden="false" customHeight="false" outlineLevel="0" collapsed="false">
      <c r="A39" s="12" t="s">
        <v>165</v>
      </c>
      <c r="B39" s="12" t="s">
        <v>108</v>
      </c>
      <c r="C39" s="13" t="s">
        <v>166</v>
      </c>
      <c r="D39" s="12" t="s">
        <v>72</v>
      </c>
      <c r="E39" s="12" t="s">
        <v>51</v>
      </c>
      <c r="F39" s="13" t="s">
        <v>167</v>
      </c>
      <c r="G39" s="12" t="n">
        <v>30189</v>
      </c>
      <c r="H39" s="12" t="s">
        <v>168</v>
      </c>
      <c r="I39" s="12" t="s">
        <v>39</v>
      </c>
      <c r="J39" s="13" t="s">
        <v>40</v>
      </c>
      <c r="K39" s="12" t="s">
        <v>73</v>
      </c>
      <c r="L39" s="12" t="s">
        <v>42</v>
      </c>
      <c r="M39" s="13"/>
    </row>
    <row r="40" customFormat="false" ht="15" hidden="false" customHeight="false" outlineLevel="0" collapsed="false">
      <c r="A40" s="14" t="s">
        <v>169</v>
      </c>
      <c r="B40" s="14" t="s">
        <v>170</v>
      </c>
      <c r="C40" s="15" t="s">
        <v>171</v>
      </c>
      <c r="D40" s="14" t="s">
        <v>72</v>
      </c>
      <c r="E40" s="14" t="s">
        <v>51</v>
      </c>
      <c r="F40" s="15" t="s">
        <v>172</v>
      </c>
      <c r="G40" s="14" t="n">
        <v>47143</v>
      </c>
      <c r="H40" s="14" t="s">
        <v>173</v>
      </c>
      <c r="I40" s="14" t="s">
        <v>83</v>
      </c>
      <c r="J40" s="15" t="s">
        <v>174</v>
      </c>
      <c r="K40" s="14" t="s">
        <v>73</v>
      </c>
      <c r="L40" s="14" t="s">
        <v>42</v>
      </c>
      <c r="M40" s="15"/>
    </row>
    <row r="41" customFormat="false" ht="15" hidden="false" customHeight="false" outlineLevel="0" collapsed="false">
      <c r="A41" s="12" t="s">
        <v>175</v>
      </c>
      <c r="B41" s="12" t="s">
        <v>170</v>
      </c>
      <c r="C41" s="13" t="s">
        <v>176</v>
      </c>
      <c r="D41" s="12" t="s">
        <v>72</v>
      </c>
      <c r="E41" s="12" t="s">
        <v>51</v>
      </c>
      <c r="F41" s="13" t="s">
        <v>177</v>
      </c>
      <c r="G41" s="12" t="n">
        <v>54509</v>
      </c>
      <c r="H41" s="12" t="s">
        <v>178</v>
      </c>
      <c r="I41" s="12" t="s">
        <v>39</v>
      </c>
      <c r="J41" s="13" t="s">
        <v>40</v>
      </c>
      <c r="K41" s="12" t="s">
        <v>47</v>
      </c>
      <c r="L41" s="12" t="s">
        <v>42</v>
      </c>
      <c r="M41" s="13"/>
    </row>
    <row r="42" customFormat="false" ht="15" hidden="false" customHeight="false" outlineLevel="0" collapsed="false">
      <c r="A42" s="12" t="s">
        <v>179</v>
      </c>
      <c r="B42" s="12" t="s">
        <v>170</v>
      </c>
      <c r="C42" s="13" t="s">
        <v>180</v>
      </c>
      <c r="D42" s="12" t="s">
        <v>72</v>
      </c>
      <c r="E42" s="12" t="s">
        <v>51</v>
      </c>
      <c r="F42" s="13" t="s">
        <v>181</v>
      </c>
      <c r="G42" s="12" t="n">
        <v>76708</v>
      </c>
      <c r="H42" s="12" t="s">
        <v>178</v>
      </c>
      <c r="I42" s="12" t="s">
        <v>39</v>
      </c>
      <c r="J42" s="13" t="s">
        <v>40</v>
      </c>
      <c r="K42" s="12" t="s">
        <v>47</v>
      </c>
      <c r="L42" s="12" t="s">
        <v>42</v>
      </c>
      <c r="M42" s="13"/>
    </row>
    <row r="43" customFormat="false" ht="15" hidden="false" customHeight="false" outlineLevel="0" collapsed="false">
      <c r="A43" s="12" t="s">
        <v>182</v>
      </c>
      <c r="B43" s="12" t="s">
        <v>170</v>
      </c>
      <c r="C43" s="13" t="s">
        <v>183</v>
      </c>
      <c r="D43" s="12" t="s">
        <v>72</v>
      </c>
      <c r="E43" s="12" t="s">
        <v>51</v>
      </c>
      <c r="F43" s="13" t="s">
        <v>184</v>
      </c>
      <c r="G43" s="12" t="n">
        <v>65466</v>
      </c>
      <c r="H43" s="12" t="s">
        <v>185</v>
      </c>
      <c r="I43" s="12" t="s">
        <v>39</v>
      </c>
      <c r="J43" s="13" t="s">
        <v>40</v>
      </c>
      <c r="K43" s="12" t="s">
        <v>47</v>
      </c>
      <c r="L43" s="12" t="s">
        <v>42</v>
      </c>
      <c r="M43" s="13"/>
    </row>
    <row r="44" customFormat="false" ht="15" hidden="false" customHeight="false" outlineLevel="0" collapsed="false">
      <c r="A44" s="10" t="s">
        <v>186</v>
      </c>
      <c r="B44" s="10" t="s">
        <v>170</v>
      </c>
      <c r="C44" s="11" t="s">
        <v>187</v>
      </c>
      <c r="D44" s="10" t="s">
        <v>72</v>
      </c>
      <c r="E44" s="10" t="s">
        <v>38</v>
      </c>
      <c r="F44" s="11"/>
      <c r="G44" s="10"/>
      <c r="H44" s="10"/>
      <c r="I44" s="10" t="s">
        <v>83</v>
      </c>
      <c r="J44" s="11" t="s">
        <v>40</v>
      </c>
      <c r="K44" s="10" t="s">
        <v>73</v>
      </c>
      <c r="L44" s="10" t="s">
        <v>42</v>
      </c>
      <c r="M44" s="11" t="s">
        <v>188</v>
      </c>
    </row>
    <row r="45" customFormat="false" ht="15" hidden="false" customHeight="false" outlineLevel="0" collapsed="false">
      <c r="A45" s="10" t="s">
        <v>189</v>
      </c>
      <c r="B45" s="10" t="s">
        <v>170</v>
      </c>
      <c r="C45" s="11" t="s">
        <v>190</v>
      </c>
      <c r="D45" s="10" t="s">
        <v>72</v>
      </c>
      <c r="E45" s="10" t="s">
        <v>38</v>
      </c>
      <c r="F45" s="11"/>
      <c r="G45" s="10"/>
      <c r="H45" s="10"/>
      <c r="I45" s="10" t="s">
        <v>39</v>
      </c>
      <c r="J45" s="11" t="s">
        <v>40</v>
      </c>
      <c r="K45" s="10" t="s">
        <v>47</v>
      </c>
      <c r="L45" s="10" t="s">
        <v>42</v>
      </c>
      <c r="M45" s="11" t="s">
        <v>188</v>
      </c>
    </row>
    <row r="46" customFormat="false" ht="15" hidden="false" customHeight="false" outlineLevel="0" collapsed="false">
      <c r="A46" s="10" t="s">
        <v>191</v>
      </c>
      <c r="B46" s="10" t="s">
        <v>170</v>
      </c>
      <c r="C46" s="11" t="s">
        <v>192</v>
      </c>
      <c r="D46" s="10" t="s">
        <v>37</v>
      </c>
      <c r="E46" s="10" t="s">
        <v>38</v>
      </c>
      <c r="F46" s="11"/>
      <c r="G46" s="10"/>
      <c r="H46" s="10"/>
      <c r="I46" s="10" t="s">
        <v>39</v>
      </c>
      <c r="J46" s="11" t="s">
        <v>40</v>
      </c>
      <c r="K46" s="10" t="s">
        <v>73</v>
      </c>
      <c r="L46" s="10" t="s">
        <v>42</v>
      </c>
      <c r="M46" s="11"/>
    </row>
    <row r="47" customFormat="false" ht="15" hidden="false" customHeight="false" outlineLevel="0" collapsed="false">
      <c r="A47" s="10" t="s">
        <v>193</v>
      </c>
      <c r="B47" s="10" t="s">
        <v>170</v>
      </c>
      <c r="C47" s="11" t="s">
        <v>194</v>
      </c>
      <c r="D47" s="10" t="s">
        <v>37</v>
      </c>
      <c r="E47" s="10" t="s">
        <v>38</v>
      </c>
      <c r="F47" s="11"/>
      <c r="G47" s="10"/>
      <c r="H47" s="10"/>
      <c r="I47" s="10" t="s">
        <v>39</v>
      </c>
      <c r="J47" s="11" t="s">
        <v>40</v>
      </c>
      <c r="K47" s="10" t="s">
        <v>47</v>
      </c>
      <c r="L47" s="10" t="s">
        <v>42</v>
      </c>
      <c r="M47" s="11"/>
    </row>
    <row r="48" customFormat="false" ht="15" hidden="false" customHeight="false" outlineLevel="0" collapsed="false">
      <c r="A48" s="10" t="s">
        <v>195</v>
      </c>
      <c r="B48" s="10" t="s">
        <v>170</v>
      </c>
      <c r="C48" s="11" t="s">
        <v>196</v>
      </c>
      <c r="D48" s="10" t="s">
        <v>37</v>
      </c>
      <c r="E48" s="10" t="s">
        <v>38</v>
      </c>
      <c r="F48" s="11"/>
      <c r="G48" s="10"/>
      <c r="H48" s="10"/>
      <c r="I48" s="10" t="s">
        <v>39</v>
      </c>
      <c r="J48" s="11" t="s">
        <v>40</v>
      </c>
      <c r="K48" s="10" t="s">
        <v>41</v>
      </c>
      <c r="L48" s="10" t="s">
        <v>42</v>
      </c>
      <c r="M48" s="11"/>
    </row>
    <row r="49" customFormat="false" ht="23.85" hidden="false" customHeight="false" outlineLevel="0" collapsed="false">
      <c r="A49" s="12" t="s">
        <v>197</v>
      </c>
      <c r="B49" s="12" t="s">
        <v>170</v>
      </c>
      <c r="C49" s="13" t="s">
        <v>198</v>
      </c>
      <c r="D49" s="12" t="s">
        <v>37</v>
      </c>
      <c r="E49" s="12" t="s">
        <v>51</v>
      </c>
      <c r="F49" s="13" t="s">
        <v>199</v>
      </c>
      <c r="G49" s="12" t="n">
        <v>184438</v>
      </c>
      <c r="H49" s="12" t="s">
        <v>200</v>
      </c>
      <c r="I49" s="12" t="s">
        <v>39</v>
      </c>
      <c r="J49" s="13" t="s">
        <v>40</v>
      </c>
      <c r="K49" s="12" t="s">
        <v>41</v>
      </c>
      <c r="L49" s="12" t="s">
        <v>42</v>
      </c>
      <c r="M49" s="13" t="s">
        <v>201</v>
      </c>
    </row>
    <row r="50" customFormat="false" ht="15" hidden="false" customHeight="false" outlineLevel="0" collapsed="false">
      <c r="A50" s="10" t="s">
        <v>202</v>
      </c>
      <c r="B50" s="10" t="s">
        <v>170</v>
      </c>
      <c r="C50" s="11" t="s">
        <v>203</v>
      </c>
      <c r="D50" s="10" t="s">
        <v>37</v>
      </c>
      <c r="E50" s="10" t="s">
        <v>38</v>
      </c>
      <c r="F50" s="11"/>
      <c r="G50" s="10"/>
      <c r="H50" s="10"/>
      <c r="I50" s="10" t="s">
        <v>39</v>
      </c>
      <c r="J50" s="11" t="s">
        <v>40</v>
      </c>
      <c r="K50" s="10" t="s">
        <v>47</v>
      </c>
      <c r="L50" s="10" t="s">
        <v>69</v>
      </c>
      <c r="M50" s="11"/>
    </row>
    <row r="51" customFormat="false" ht="15" hidden="false" customHeight="false" outlineLevel="0" collapsed="false">
      <c r="A51" s="10" t="s">
        <v>204</v>
      </c>
      <c r="B51" s="10" t="s">
        <v>170</v>
      </c>
      <c r="C51" s="11" t="s">
        <v>205</v>
      </c>
      <c r="D51" s="10" t="s">
        <v>37</v>
      </c>
      <c r="E51" s="10" t="s">
        <v>38</v>
      </c>
      <c r="F51" s="11"/>
      <c r="G51" s="10"/>
      <c r="H51" s="10"/>
      <c r="I51" s="10" t="s">
        <v>39</v>
      </c>
      <c r="J51" s="11" t="s">
        <v>40</v>
      </c>
      <c r="K51" s="10" t="s">
        <v>73</v>
      </c>
      <c r="L51" s="10" t="s">
        <v>42</v>
      </c>
      <c r="M51" s="11"/>
    </row>
    <row r="52" customFormat="false" ht="23.85" hidden="false" customHeight="false" outlineLevel="0" collapsed="false">
      <c r="A52" s="12" t="s">
        <v>206</v>
      </c>
      <c r="B52" s="12" t="s">
        <v>207</v>
      </c>
      <c r="C52" s="13" t="s">
        <v>208</v>
      </c>
      <c r="D52" s="12" t="s">
        <v>72</v>
      </c>
      <c r="E52" s="12" t="s">
        <v>51</v>
      </c>
      <c r="F52" s="13" t="s">
        <v>209</v>
      </c>
      <c r="G52" s="12" t="n">
        <v>18735</v>
      </c>
      <c r="H52" s="12" t="s">
        <v>210</v>
      </c>
      <c r="I52" s="12" t="s">
        <v>39</v>
      </c>
      <c r="J52" s="13" t="s">
        <v>40</v>
      </c>
      <c r="K52" s="12" t="s">
        <v>73</v>
      </c>
      <c r="L52" s="12" t="s">
        <v>42</v>
      </c>
      <c r="M52" s="13"/>
    </row>
    <row r="53" customFormat="false" ht="15" hidden="false" customHeight="false" outlineLevel="0" collapsed="false">
      <c r="A53" s="10" t="s">
        <v>211</v>
      </c>
      <c r="B53" s="10" t="s">
        <v>207</v>
      </c>
      <c r="C53" s="11" t="s">
        <v>212</v>
      </c>
      <c r="D53" s="10" t="s">
        <v>37</v>
      </c>
      <c r="E53" s="10" t="s">
        <v>38</v>
      </c>
      <c r="F53" s="11"/>
      <c r="G53" s="10"/>
      <c r="H53" s="10"/>
      <c r="I53" s="10" t="s">
        <v>39</v>
      </c>
      <c r="J53" s="11" t="s">
        <v>40</v>
      </c>
      <c r="K53" s="10" t="s">
        <v>73</v>
      </c>
      <c r="L53" s="10" t="s">
        <v>42</v>
      </c>
      <c r="M53" s="11"/>
    </row>
    <row r="54" customFormat="false" ht="15" hidden="false" customHeight="false" outlineLevel="0" collapsed="false">
      <c r="A54" s="10" t="s">
        <v>213</v>
      </c>
      <c r="B54" s="10" t="s">
        <v>207</v>
      </c>
      <c r="C54" s="11" t="s">
        <v>214</v>
      </c>
      <c r="D54" s="10" t="s">
        <v>37</v>
      </c>
      <c r="E54" s="10" t="s">
        <v>38</v>
      </c>
      <c r="F54" s="11"/>
      <c r="G54" s="10"/>
      <c r="H54" s="10"/>
      <c r="I54" s="10" t="s">
        <v>39</v>
      </c>
      <c r="J54" s="11" t="s">
        <v>40</v>
      </c>
      <c r="K54" s="10" t="s">
        <v>47</v>
      </c>
      <c r="L54" s="10" t="s">
        <v>42</v>
      </c>
      <c r="M54" s="11"/>
    </row>
    <row r="55" customFormat="false" ht="15" hidden="false" customHeight="false" outlineLevel="0" collapsed="false">
      <c r="A55" s="12" t="s">
        <v>215</v>
      </c>
      <c r="B55" s="12" t="s">
        <v>207</v>
      </c>
      <c r="C55" s="13" t="s">
        <v>216</v>
      </c>
      <c r="D55" s="12" t="s">
        <v>72</v>
      </c>
      <c r="E55" s="12" t="s">
        <v>51</v>
      </c>
      <c r="F55" s="13" t="s">
        <v>217</v>
      </c>
      <c r="G55" s="12" t="n">
        <v>29111</v>
      </c>
      <c r="H55" s="12" t="s">
        <v>218</v>
      </c>
      <c r="I55" s="12" t="s">
        <v>39</v>
      </c>
      <c r="J55" s="13" t="s">
        <v>40</v>
      </c>
      <c r="K55" s="12" t="s">
        <v>47</v>
      </c>
      <c r="L55" s="12" t="s">
        <v>42</v>
      </c>
      <c r="M55" s="13"/>
    </row>
    <row r="56" customFormat="false" ht="15" hidden="false" customHeight="false" outlineLevel="0" collapsed="false">
      <c r="A56" s="10" t="s">
        <v>219</v>
      </c>
      <c r="B56" s="10" t="s">
        <v>207</v>
      </c>
      <c r="C56" s="11" t="s">
        <v>220</v>
      </c>
      <c r="D56" s="10" t="s">
        <v>37</v>
      </c>
      <c r="E56" s="10" t="s">
        <v>38</v>
      </c>
      <c r="F56" s="11"/>
      <c r="G56" s="10"/>
      <c r="H56" s="10"/>
      <c r="I56" s="10" t="s">
        <v>39</v>
      </c>
      <c r="J56" s="11" t="s">
        <v>40</v>
      </c>
      <c r="K56" s="10" t="s">
        <v>73</v>
      </c>
      <c r="L56" s="10" t="s">
        <v>42</v>
      </c>
      <c r="M56" s="11"/>
    </row>
    <row r="57" customFormat="false" ht="15" hidden="false" customHeight="false" outlineLevel="0" collapsed="false">
      <c r="A57" s="10" t="s">
        <v>221</v>
      </c>
      <c r="B57" s="10" t="s">
        <v>207</v>
      </c>
      <c r="C57" s="11" t="s">
        <v>222</v>
      </c>
      <c r="D57" s="10" t="s">
        <v>37</v>
      </c>
      <c r="E57" s="10" t="s">
        <v>38</v>
      </c>
      <c r="F57" s="11"/>
      <c r="G57" s="10"/>
      <c r="H57" s="10"/>
      <c r="I57" s="10" t="s">
        <v>39</v>
      </c>
      <c r="J57" s="11" t="s">
        <v>40</v>
      </c>
      <c r="K57" s="10" t="s">
        <v>47</v>
      </c>
      <c r="L57" s="10" t="s">
        <v>69</v>
      </c>
      <c r="M57" s="11"/>
    </row>
    <row r="58" customFormat="false" ht="15" hidden="false" customHeight="false" outlineLevel="0" collapsed="false">
      <c r="A58" s="12" t="s">
        <v>223</v>
      </c>
      <c r="B58" s="12" t="s">
        <v>207</v>
      </c>
      <c r="C58" s="13" t="s">
        <v>224</v>
      </c>
      <c r="D58" s="12" t="s">
        <v>72</v>
      </c>
      <c r="E58" s="12" t="s">
        <v>51</v>
      </c>
      <c r="F58" s="13" t="s">
        <v>225</v>
      </c>
      <c r="G58" s="12" t="n">
        <v>42794</v>
      </c>
      <c r="H58" s="12" t="s">
        <v>226</v>
      </c>
      <c r="I58" s="12" t="s">
        <v>39</v>
      </c>
      <c r="J58" s="13" t="s">
        <v>40</v>
      </c>
      <c r="K58" s="12" t="s">
        <v>73</v>
      </c>
      <c r="L58" s="12" t="s">
        <v>42</v>
      </c>
      <c r="M58" s="13"/>
    </row>
    <row r="59" customFormat="false" ht="15" hidden="false" customHeight="false" outlineLevel="0" collapsed="false">
      <c r="A59" s="10" t="s">
        <v>227</v>
      </c>
      <c r="B59" s="10" t="s">
        <v>207</v>
      </c>
      <c r="C59" s="11" t="s">
        <v>228</v>
      </c>
      <c r="D59" s="10" t="s">
        <v>37</v>
      </c>
      <c r="E59" s="10" t="s">
        <v>38</v>
      </c>
      <c r="F59" s="11"/>
      <c r="G59" s="10"/>
      <c r="H59" s="10"/>
      <c r="I59" s="10" t="s">
        <v>39</v>
      </c>
      <c r="J59" s="11" t="s">
        <v>40</v>
      </c>
      <c r="K59" s="10" t="s">
        <v>47</v>
      </c>
      <c r="L59" s="10" t="s">
        <v>42</v>
      </c>
      <c r="M59" s="11"/>
    </row>
    <row r="60" customFormat="false" ht="15" hidden="false" customHeight="false" outlineLevel="0" collapsed="false">
      <c r="A60" s="10" t="s">
        <v>229</v>
      </c>
      <c r="B60" s="10" t="s">
        <v>207</v>
      </c>
      <c r="C60" s="11" t="s">
        <v>230</v>
      </c>
      <c r="D60" s="10" t="s">
        <v>37</v>
      </c>
      <c r="E60" s="10" t="s">
        <v>38</v>
      </c>
      <c r="F60" s="11"/>
      <c r="G60" s="10"/>
      <c r="H60" s="10"/>
      <c r="I60" s="10" t="s">
        <v>39</v>
      </c>
      <c r="J60" s="11" t="s">
        <v>40</v>
      </c>
      <c r="K60" s="10" t="s">
        <v>47</v>
      </c>
      <c r="L60" s="10" t="s">
        <v>69</v>
      </c>
      <c r="M60" s="11"/>
    </row>
    <row r="61" customFormat="false" ht="15" hidden="false" customHeight="false" outlineLevel="0" collapsed="false">
      <c r="A61" s="14" t="s">
        <v>231</v>
      </c>
      <c r="B61" s="14" t="s">
        <v>207</v>
      </c>
      <c r="C61" s="15" t="s">
        <v>232</v>
      </c>
      <c r="D61" s="14" t="s">
        <v>72</v>
      </c>
      <c r="E61" s="14" t="s">
        <v>51</v>
      </c>
      <c r="F61" s="15" t="s">
        <v>233</v>
      </c>
      <c r="G61" s="14" t="n">
        <v>19707</v>
      </c>
      <c r="H61" s="14" t="s">
        <v>234</v>
      </c>
      <c r="I61" s="14" t="s">
        <v>83</v>
      </c>
      <c r="J61" s="15" t="s">
        <v>174</v>
      </c>
      <c r="K61" s="14" t="s">
        <v>73</v>
      </c>
      <c r="L61" s="14" t="s">
        <v>42</v>
      </c>
      <c r="M61" s="15"/>
    </row>
    <row r="62" customFormat="false" ht="15" hidden="false" customHeight="false" outlineLevel="0" collapsed="false">
      <c r="A62" s="10" t="s">
        <v>235</v>
      </c>
      <c r="B62" s="10" t="s">
        <v>207</v>
      </c>
      <c r="C62" s="11" t="s">
        <v>236</v>
      </c>
      <c r="D62" s="10" t="s">
        <v>37</v>
      </c>
      <c r="E62" s="10" t="s">
        <v>38</v>
      </c>
      <c r="F62" s="11"/>
      <c r="G62" s="10"/>
      <c r="H62" s="10"/>
      <c r="I62" s="10" t="s">
        <v>39</v>
      </c>
      <c r="J62" s="11" t="s">
        <v>40</v>
      </c>
      <c r="K62" s="10" t="s">
        <v>73</v>
      </c>
      <c r="L62" s="10" t="s">
        <v>42</v>
      </c>
      <c r="M62" s="11"/>
    </row>
    <row r="63" customFormat="false" ht="15" hidden="false" customHeight="false" outlineLevel="0" collapsed="false">
      <c r="A63" s="10" t="s">
        <v>237</v>
      </c>
      <c r="B63" s="10" t="s">
        <v>207</v>
      </c>
      <c r="C63" s="11" t="s">
        <v>238</v>
      </c>
      <c r="D63" s="10" t="s">
        <v>37</v>
      </c>
      <c r="E63" s="10" t="s">
        <v>38</v>
      </c>
      <c r="F63" s="11"/>
      <c r="G63" s="10"/>
      <c r="H63" s="10"/>
      <c r="I63" s="10" t="s">
        <v>39</v>
      </c>
      <c r="J63" s="11" t="s">
        <v>40</v>
      </c>
      <c r="K63" s="10" t="s">
        <v>47</v>
      </c>
      <c r="L63" s="10" t="s">
        <v>69</v>
      </c>
      <c r="M63" s="11"/>
    </row>
    <row r="64" customFormat="false" ht="15" hidden="false" customHeight="false" outlineLevel="0" collapsed="false">
      <c r="A64" s="10" t="s">
        <v>239</v>
      </c>
      <c r="B64" s="10" t="s">
        <v>207</v>
      </c>
      <c r="C64" s="11" t="s">
        <v>240</v>
      </c>
      <c r="D64" s="10" t="s">
        <v>37</v>
      </c>
      <c r="E64" s="10" t="s">
        <v>38</v>
      </c>
      <c r="F64" s="11"/>
      <c r="G64" s="10"/>
      <c r="H64" s="10"/>
      <c r="I64" s="10" t="s">
        <v>39</v>
      </c>
      <c r="J64" s="11" t="s">
        <v>40</v>
      </c>
      <c r="K64" s="10" t="s">
        <v>68</v>
      </c>
      <c r="L64" s="10" t="s">
        <v>69</v>
      </c>
      <c r="M64" s="11"/>
    </row>
    <row r="65" customFormat="false" ht="15" hidden="false" customHeight="false" outlineLevel="0" collapsed="false">
      <c r="A65" s="10" t="s">
        <v>241</v>
      </c>
      <c r="B65" s="10" t="s">
        <v>207</v>
      </c>
      <c r="C65" s="11" t="s">
        <v>242</v>
      </c>
      <c r="D65" s="10" t="s">
        <v>37</v>
      </c>
      <c r="E65" s="10" t="s">
        <v>38</v>
      </c>
      <c r="F65" s="11"/>
      <c r="G65" s="10"/>
      <c r="H65" s="10"/>
      <c r="I65" s="10" t="s">
        <v>39</v>
      </c>
      <c r="J65" s="11" t="s">
        <v>40</v>
      </c>
      <c r="K65" s="10" t="s">
        <v>73</v>
      </c>
      <c r="L65" s="10" t="s">
        <v>42</v>
      </c>
      <c r="M65" s="11"/>
    </row>
    <row r="66" customFormat="false" ht="15" hidden="false" customHeight="false" outlineLevel="0" collapsed="false">
      <c r="A66" s="10" t="s">
        <v>243</v>
      </c>
      <c r="B66" s="10" t="s">
        <v>207</v>
      </c>
      <c r="C66" s="11" t="s">
        <v>244</v>
      </c>
      <c r="D66" s="10" t="s">
        <v>37</v>
      </c>
      <c r="E66" s="10" t="s">
        <v>38</v>
      </c>
      <c r="F66" s="11"/>
      <c r="G66" s="10"/>
      <c r="H66" s="10"/>
      <c r="I66" s="10" t="s">
        <v>39</v>
      </c>
      <c r="J66" s="11" t="s">
        <v>40</v>
      </c>
      <c r="K66" s="10" t="s">
        <v>47</v>
      </c>
      <c r="L66" s="10" t="s">
        <v>69</v>
      </c>
      <c r="M66" s="11"/>
    </row>
    <row r="67" customFormat="false" ht="15" hidden="false" customHeight="false" outlineLevel="0" collapsed="false">
      <c r="A67" s="10" t="s">
        <v>245</v>
      </c>
      <c r="B67" s="10" t="s">
        <v>207</v>
      </c>
      <c r="C67" s="11" t="s">
        <v>246</v>
      </c>
      <c r="D67" s="10" t="s">
        <v>37</v>
      </c>
      <c r="E67" s="10" t="s">
        <v>38</v>
      </c>
      <c r="F67" s="11"/>
      <c r="G67" s="10"/>
      <c r="H67" s="10"/>
      <c r="I67" s="10" t="s">
        <v>39</v>
      </c>
      <c r="J67" s="11" t="s">
        <v>40</v>
      </c>
      <c r="K67" s="10" t="s">
        <v>47</v>
      </c>
      <c r="L67" s="10" t="s">
        <v>69</v>
      </c>
      <c r="M67" s="11"/>
    </row>
    <row r="68" customFormat="false" ht="15" hidden="false" customHeight="false" outlineLevel="0" collapsed="false">
      <c r="A68" s="10" t="s">
        <v>247</v>
      </c>
      <c r="B68" s="10" t="s">
        <v>207</v>
      </c>
      <c r="C68" s="11" t="s">
        <v>248</v>
      </c>
      <c r="D68" s="10" t="s">
        <v>37</v>
      </c>
      <c r="E68" s="10" t="s">
        <v>38</v>
      </c>
      <c r="F68" s="11"/>
      <c r="G68" s="10"/>
      <c r="H68" s="10"/>
      <c r="I68" s="10" t="s">
        <v>39</v>
      </c>
      <c r="J68" s="11" t="s">
        <v>40</v>
      </c>
      <c r="K68" s="10" t="s">
        <v>73</v>
      </c>
      <c r="L68" s="10" t="s">
        <v>42</v>
      </c>
      <c r="M68" s="11"/>
    </row>
    <row r="69" customFormat="false" ht="15" hidden="false" customHeight="false" outlineLevel="0" collapsed="false">
      <c r="A69" s="10" t="s">
        <v>249</v>
      </c>
      <c r="B69" s="10" t="s">
        <v>207</v>
      </c>
      <c r="C69" s="11" t="s">
        <v>250</v>
      </c>
      <c r="D69" s="10" t="s">
        <v>37</v>
      </c>
      <c r="E69" s="10" t="s">
        <v>38</v>
      </c>
      <c r="F69" s="11"/>
      <c r="G69" s="10"/>
      <c r="H69" s="10"/>
      <c r="I69" s="10" t="s">
        <v>39</v>
      </c>
      <c r="J69" s="11" t="s">
        <v>40</v>
      </c>
      <c r="K69" s="10" t="s">
        <v>73</v>
      </c>
      <c r="L69" s="10" t="s">
        <v>42</v>
      </c>
      <c r="M69" s="11"/>
    </row>
    <row r="70" customFormat="false" ht="15" hidden="false" customHeight="false" outlineLevel="0" collapsed="false">
      <c r="A70" s="10" t="s">
        <v>251</v>
      </c>
      <c r="B70" s="10" t="s">
        <v>207</v>
      </c>
      <c r="C70" s="11" t="s">
        <v>252</v>
      </c>
      <c r="D70" s="10" t="s">
        <v>37</v>
      </c>
      <c r="E70" s="10" t="s">
        <v>38</v>
      </c>
      <c r="F70" s="11"/>
      <c r="G70" s="10"/>
      <c r="H70" s="10"/>
      <c r="I70" s="10" t="s">
        <v>39</v>
      </c>
      <c r="J70" s="11" t="s">
        <v>40</v>
      </c>
      <c r="K70" s="10" t="s">
        <v>73</v>
      </c>
      <c r="L70" s="10" t="s">
        <v>42</v>
      </c>
      <c r="M70" s="11"/>
    </row>
    <row r="71" customFormat="false" ht="15" hidden="false" customHeight="false" outlineLevel="0" collapsed="false">
      <c r="A71" s="10" t="s">
        <v>253</v>
      </c>
      <c r="B71" s="10" t="s">
        <v>207</v>
      </c>
      <c r="C71" s="11" t="s">
        <v>254</v>
      </c>
      <c r="D71" s="10" t="s">
        <v>37</v>
      </c>
      <c r="E71" s="10" t="s">
        <v>38</v>
      </c>
      <c r="F71" s="11"/>
      <c r="G71" s="10"/>
      <c r="H71" s="10"/>
      <c r="I71" s="10" t="s">
        <v>39</v>
      </c>
      <c r="J71" s="11" t="s">
        <v>40</v>
      </c>
      <c r="K71" s="10" t="s">
        <v>47</v>
      </c>
      <c r="L71" s="10" t="s">
        <v>69</v>
      </c>
      <c r="M71" s="11"/>
    </row>
    <row r="72" customFormat="false" ht="15" hidden="false" customHeight="false" outlineLevel="0" collapsed="false">
      <c r="A72" s="12" t="s">
        <v>255</v>
      </c>
      <c r="B72" s="12" t="s">
        <v>256</v>
      </c>
      <c r="C72" s="13" t="s">
        <v>257</v>
      </c>
      <c r="D72" s="12" t="s">
        <v>37</v>
      </c>
      <c r="E72" s="12" t="s">
        <v>51</v>
      </c>
      <c r="F72" s="13" t="s">
        <v>258</v>
      </c>
      <c r="G72" s="12" t="n">
        <v>11257</v>
      </c>
      <c r="H72" s="12" t="s">
        <v>65</v>
      </c>
      <c r="I72" s="12" t="s">
        <v>39</v>
      </c>
      <c r="J72" s="13" t="s">
        <v>40</v>
      </c>
      <c r="K72" s="12" t="s">
        <v>73</v>
      </c>
      <c r="L72" s="12" t="s">
        <v>42</v>
      </c>
      <c r="M72" s="13"/>
    </row>
    <row r="73" customFormat="false" ht="15" hidden="false" customHeight="false" outlineLevel="0" collapsed="false">
      <c r="A73" s="10" t="s">
        <v>259</v>
      </c>
      <c r="B73" s="10" t="s">
        <v>256</v>
      </c>
      <c r="C73" s="11" t="s">
        <v>260</v>
      </c>
      <c r="D73" s="10" t="s">
        <v>37</v>
      </c>
      <c r="E73" s="10" t="s">
        <v>38</v>
      </c>
      <c r="F73" s="11"/>
      <c r="G73" s="10"/>
      <c r="H73" s="10"/>
      <c r="I73" s="10" t="s">
        <v>39</v>
      </c>
      <c r="J73" s="11" t="s">
        <v>40</v>
      </c>
      <c r="K73" s="10" t="s">
        <v>47</v>
      </c>
      <c r="L73" s="10" t="s">
        <v>69</v>
      </c>
      <c r="M73" s="11"/>
    </row>
    <row r="74" customFormat="false" ht="15" hidden="false" customHeight="false" outlineLevel="0" collapsed="false">
      <c r="A74" s="10" t="s">
        <v>261</v>
      </c>
      <c r="B74" s="10" t="s">
        <v>256</v>
      </c>
      <c r="C74" s="11" t="s">
        <v>262</v>
      </c>
      <c r="D74" s="10" t="s">
        <v>37</v>
      </c>
      <c r="E74" s="10" t="s">
        <v>38</v>
      </c>
      <c r="F74" s="11"/>
      <c r="G74" s="10"/>
      <c r="H74" s="10"/>
      <c r="I74" s="10" t="s">
        <v>39</v>
      </c>
      <c r="J74" s="11" t="s">
        <v>40</v>
      </c>
      <c r="K74" s="10" t="s">
        <v>47</v>
      </c>
      <c r="L74" s="10" t="s">
        <v>69</v>
      </c>
      <c r="M74" s="11"/>
    </row>
    <row r="75" customFormat="false" ht="15" hidden="false" customHeight="false" outlineLevel="0" collapsed="false">
      <c r="A75" s="10" t="s">
        <v>263</v>
      </c>
      <c r="B75" s="10" t="s">
        <v>256</v>
      </c>
      <c r="C75" s="11" t="s">
        <v>264</v>
      </c>
      <c r="D75" s="10" t="s">
        <v>37</v>
      </c>
      <c r="E75" s="10" t="s">
        <v>38</v>
      </c>
      <c r="F75" s="11"/>
      <c r="G75" s="10"/>
      <c r="H75" s="10"/>
      <c r="I75" s="10" t="s">
        <v>39</v>
      </c>
      <c r="J75" s="11" t="s">
        <v>40</v>
      </c>
      <c r="K75" s="10" t="s">
        <v>41</v>
      </c>
      <c r="L75" s="10" t="s">
        <v>42</v>
      </c>
      <c r="M75" s="11"/>
    </row>
    <row r="76" customFormat="false" ht="15" hidden="false" customHeight="false" outlineLevel="0" collapsed="false">
      <c r="A76" s="10" t="s">
        <v>265</v>
      </c>
      <c r="B76" s="10" t="s">
        <v>256</v>
      </c>
      <c r="C76" s="11" t="s">
        <v>266</v>
      </c>
      <c r="D76" s="10" t="s">
        <v>37</v>
      </c>
      <c r="E76" s="10" t="s">
        <v>38</v>
      </c>
      <c r="F76" s="11"/>
      <c r="G76" s="10"/>
      <c r="H76" s="10"/>
      <c r="I76" s="10" t="s">
        <v>39</v>
      </c>
      <c r="J76" s="11" t="s">
        <v>40</v>
      </c>
      <c r="K76" s="10" t="s">
        <v>47</v>
      </c>
      <c r="L76" s="10" t="s">
        <v>42</v>
      </c>
      <c r="M76" s="11"/>
    </row>
    <row r="77" customFormat="false" ht="15" hidden="false" customHeight="false" outlineLevel="0" collapsed="false">
      <c r="A77" s="10" t="s">
        <v>267</v>
      </c>
      <c r="B77" s="10" t="s">
        <v>256</v>
      </c>
      <c r="C77" s="11" t="s">
        <v>268</v>
      </c>
      <c r="D77" s="10" t="s">
        <v>37</v>
      </c>
      <c r="E77" s="10" t="s">
        <v>38</v>
      </c>
      <c r="F77" s="11"/>
      <c r="G77" s="10"/>
      <c r="H77" s="10"/>
      <c r="I77" s="10" t="s">
        <v>39</v>
      </c>
      <c r="J77" s="11" t="s">
        <v>40</v>
      </c>
      <c r="K77" s="10" t="s">
        <v>47</v>
      </c>
      <c r="L77" s="10" t="s">
        <v>69</v>
      </c>
      <c r="M77" s="11"/>
    </row>
    <row r="78" customFormat="false" ht="15" hidden="false" customHeight="false" outlineLevel="0" collapsed="false">
      <c r="A78" s="18" t="s">
        <v>269</v>
      </c>
      <c r="B78" s="18" t="s">
        <v>256</v>
      </c>
      <c r="C78" s="19" t="s">
        <v>270</v>
      </c>
      <c r="D78" s="18" t="s">
        <v>40</v>
      </c>
      <c r="E78" s="18" t="s">
        <v>40</v>
      </c>
      <c r="F78" s="19"/>
      <c r="G78" s="18"/>
      <c r="H78" s="18"/>
      <c r="I78" s="18" t="s">
        <v>39</v>
      </c>
      <c r="J78" s="19" t="s">
        <v>40</v>
      </c>
      <c r="K78" s="18" t="s">
        <v>68</v>
      </c>
      <c r="L78" s="18" t="s">
        <v>40</v>
      </c>
      <c r="M78" s="19"/>
    </row>
    <row r="79" customFormat="false" ht="15" hidden="false" customHeight="false" outlineLevel="0" collapsed="false">
      <c r="A79" s="10" t="s">
        <v>271</v>
      </c>
      <c r="B79" s="10" t="s">
        <v>256</v>
      </c>
      <c r="C79" s="11" t="s">
        <v>272</v>
      </c>
      <c r="D79" s="10" t="s">
        <v>37</v>
      </c>
      <c r="E79" s="10" t="s">
        <v>38</v>
      </c>
      <c r="F79" s="11"/>
      <c r="G79" s="10"/>
      <c r="H79" s="10"/>
      <c r="I79" s="10" t="s">
        <v>39</v>
      </c>
      <c r="J79" s="11" t="s">
        <v>40</v>
      </c>
      <c r="K79" s="10" t="s">
        <v>73</v>
      </c>
      <c r="L79" s="10" t="s">
        <v>42</v>
      </c>
      <c r="M79" s="11"/>
    </row>
    <row r="80" customFormat="false" ht="15" hidden="false" customHeight="false" outlineLevel="0" collapsed="false">
      <c r="A80" s="10" t="s">
        <v>273</v>
      </c>
      <c r="B80" s="10" t="s">
        <v>256</v>
      </c>
      <c r="C80" s="11" t="s">
        <v>274</v>
      </c>
      <c r="D80" s="10" t="s">
        <v>37</v>
      </c>
      <c r="E80" s="10" t="s">
        <v>38</v>
      </c>
      <c r="F80" s="11"/>
      <c r="G80" s="10"/>
      <c r="H80" s="10"/>
      <c r="I80" s="10" t="s">
        <v>39</v>
      </c>
      <c r="J80" s="11" t="s">
        <v>40</v>
      </c>
      <c r="K80" s="10" t="s">
        <v>47</v>
      </c>
      <c r="L80" s="10" t="s">
        <v>42</v>
      </c>
      <c r="M80" s="11"/>
    </row>
    <row r="81" customFormat="false" ht="15" hidden="false" customHeight="false" outlineLevel="0" collapsed="false">
      <c r="A81" s="10" t="s">
        <v>275</v>
      </c>
      <c r="B81" s="10" t="s">
        <v>256</v>
      </c>
      <c r="C81" s="11" t="s">
        <v>276</v>
      </c>
      <c r="D81" s="10" t="s">
        <v>37</v>
      </c>
      <c r="E81" s="10" t="s">
        <v>38</v>
      </c>
      <c r="F81" s="11"/>
      <c r="G81" s="10"/>
      <c r="H81" s="10"/>
      <c r="I81" s="10" t="s">
        <v>39</v>
      </c>
      <c r="J81" s="11" t="s">
        <v>40</v>
      </c>
      <c r="K81" s="10" t="s">
        <v>68</v>
      </c>
      <c r="L81" s="10" t="s">
        <v>69</v>
      </c>
      <c r="M81" s="11"/>
    </row>
    <row r="82" customFormat="false" ht="15" hidden="false" customHeight="false" outlineLevel="0" collapsed="false">
      <c r="A82" s="10" t="s">
        <v>277</v>
      </c>
      <c r="B82" s="10" t="s">
        <v>256</v>
      </c>
      <c r="C82" s="11" t="s">
        <v>278</v>
      </c>
      <c r="D82" s="10" t="s">
        <v>37</v>
      </c>
      <c r="E82" s="10" t="s">
        <v>38</v>
      </c>
      <c r="F82" s="11"/>
      <c r="G82" s="10"/>
      <c r="H82" s="10"/>
      <c r="I82" s="10" t="s">
        <v>39</v>
      </c>
      <c r="J82" s="11" t="s">
        <v>40</v>
      </c>
      <c r="K82" s="10" t="s">
        <v>47</v>
      </c>
      <c r="L82" s="10" t="s">
        <v>42</v>
      </c>
      <c r="M82" s="11"/>
    </row>
    <row r="83" customFormat="false" ht="15" hidden="false" customHeight="false" outlineLevel="0" collapsed="false">
      <c r="A83" s="10" t="s">
        <v>279</v>
      </c>
      <c r="B83" s="10" t="s">
        <v>256</v>
      </c>
      <c r="C83" s="11" t="s">
        <v>280</v>
      </c>
      <c r="D83" s="10" t="s">
        <v>37</v>
      </c>
      <c r="E83" s="10" t="s">
        <v>38</v>
      </c>
      <c r="F83" s="11"/>
      <c r="G83" s="10"/>
      <c r="H83" s="10"/>
      <c r="I83" s="10" t="s">
        <v>39</v>
      </c>
      <c r="J83" s="11" t="s">
        <v>40</v>
      </c>
      <c r="K83" s="10" t="s">
        <v>47</v>
      </c>
      <c r="L83" s="10" t="s">
        <v>69</v>
      </c>
      <c r="M83" s="11"/>
    </row>
    <row r="84" customFormat="false" ht="15" hidden="false" customHeight="false" outlineLevel="0" collapsed="false">
      <c r="A84" s="10" t="s">
        <v>281</v>
      </c>
      <c r="B84" s="10" t="s">
        <v>256</v>
      </c>
      <c r="C84" s="11" t="s">
        <v>282</v>
      </c>
      <c r="D84" s="10" t="s">
        <v>37</v>
      </c>
      <c r="E84" s="10" t="s">
        <v>38</v>
      </c>
      <c r="F84" s="11"/>
      <c r="G84" s="10"/>
      <c r="H84" s="10"/>
      <c r="I84" s="10" t="s">
        <v>39</v>
      </c>
      <c r="J84" s="11" t="s">
        <v>40</v>
      </c>
      <c r="K84" s="10" t="s">
        <v>47</v>
      </c>
      <c r="L84" s="10" t="s">
        <v>42</v>
      </c>
      <c r="M84" s="11"/>
    </row>
    <row r="85" customFormat="false" ht="15" hidden="false" customHeight="false" outlineLevel="0" collapsed="false">
      <c r="A85" s="10" t="s">
        <v>283</v>
      </c>
      <c r="B85" s="10" t="s">
        <v>256</v>
      </c>
      <c r="C85" s="11" t="s">
        <v>284</v>
      </c>
      <c r="D85" s="10" t="s">
        <v>37</v>
      </c>
      <c r="E85" s="10" t="s">
        <v>38</v>
      </c>
      <c r="F85" s="11"/>
      <c r="G85" s="10"/>
      <c r="H85" s="10"/>
      <c r="I85" s="10" t="s">
        <v>39</v>
      </c>
      <c r="J85" s="11" t="s">
        <v>40</v>
      </c>
      <c r="K85" s="10" t="s">
        <v>68</v>
      </c>
      <c r="L85" s="10" t="s">
        <v>69</v>
      </c>
      <c r="M85" s="11"/>
    </row>
    <row r="86" customFormat="false" ht="23.85" hidden="false" customHeight="false" outlineLevel="0" collapsed="false">
      <c r="A86" s="12" t="s">
        <v>285</v>
      </c>
      <c r="B86" s="12" t="s">
        <v>286</v>
      </c>
      <c r="C86" s="13" t="s">
        <v>287</v>
      </c>
      <c r="D86" s="12" t="s">
        <v>37</v>
      </c>
      <c r="E86" s="12" t="s">
        <v>51</v>
      </c>
      <c r="F86" s="13" t="s">
        <v>288</v>
      </c>
      <c r="G86" s="12" t="n">
        <v>13615</v>
      </c>
      <c r="H86" s="12" t="s">
        <v>289</v>
      </c>
      <c r="I86" s="12" t="s">
        <v>39</v>
      </c>
      <c r="J86" s="13" t="s">
        <v>40</v>
      </c>
      <c r="K86" s="12" t="s">
        <v>41</v>
      </c>
      <c r="L86" s="12" t="s">
        <v>42</v>
      </c>
      <c r="M86" s="13" t="s">
        <v>290</v>
      </c>
    </row>
    <row r="87" customFormat="false" ht="15" hidden="false" customHeight="false" outlineLevel="0" collapsed="false">
      <c r="A87" s="10" t="s">
        <v>291</v>
      </c>
      <c r="B87" s="10" t="s">
        <v>286</v>
      </c>
      <c r="C87" s="11" t="s">
        <v>292</v>
      </c>
      <c r="D87" s="10" t="s">
        <v>72</v>
      </c>
      <c r="E87" s="10" t="s">
        <v>38</v>
      </c>
      <c r="F87" s="11"/>
      <c r="G87" s="10"/>
      <c r="H87" s="10"/>
      <c r="I87" s="10" t="s">
        <v>39</v>
      </c>
      <c r="J87" s="11" t="s">
        <v>40</v>
      </c>
      <c r="K87" s="10" t="s">
        <v>73</v>
      </c>
      <c r="L87" s="10" t="s">
        <v>42</v>
      </c>
      <c r="M87" s="11" t="s">
        <v>293</v>
      </c>
    </row>
    <row r="88" customFormat="false" ht="15" hidden="false" customHeight="false" outlineLevel="0" collapsed="false">
      <c r="A88" s="10" t="s">
        <v>294</v>
      </c>
      <c r="B88" s="10" t="s">
        <v>286</v>
      </c>
      <c r="C88" s="11" t="s">
        <v>295</v>
      </c>
      <c r="D88" s="10" t="s">
        <v>37</v>
      </c>
      <c r="E88" s="10" t="s">
        <v>38</v>
      </c>
      <c r="F88" s="11"/>
      <c r="G88" s="10"/>
      <c r="H88" s="10"/>
      <c r="I88" s="10" t="s">
        <v>39</v>
      </c>
      <c r="J88" s="11" t="s">
        <v>40</v>
      </c>
      <c r="K88" s="10" t="s">
        <v>47</v>
      </c>
      <c r="L88" s="10" t="s">
        <v>69</v>
      </c>
      <c r="M88" s="11"/>
    </row>
    <row r="89" customFormat="false" ht="15" hidden="false" customHeight="false" outlineLevel="0" collapsed="false">
      <c r="A89" s="10" t="s">
        <v>296</v>
      </c>
      <c r="B89" s="10" t="s">
        <v>286</v>
      </c>
      <c r="C89" s="11" t="s">
        <v>297</v>
      </c>
      <c r="D89" s="10" t="s">
        <v>72</v>
      </c>
      <c r="E89" s="10" t="s">
        <v>38</v>
      </c>
      <c r="F89" s="11"/>
      <c r="G89" s="10"/>
      <c r="H89" s="10"/>
      <c r="I89" s="10" t="s">
        <v>39</v>
      </c>
      <c r="J89" s="11" t="s">
        <v>40</v>
      </c>
      <c r="K89" s="10" t="s">
        <v>47</v>
      </c>
      <c r="L89" s="10" t="s">
        <v>42</v>
      </c>
      <c r="M89" s="11" t="s">
        <v>293</v>
      </c>
    </row>
    <row r="90" customFormat="false" ht="15" hidden="false" customHeight="false" outlineLevel="0" collapsed="false">
      <c r="A90" s="10" t="s">
        <v>298</v>
      </c>
      <c r="B90" s="10" t="s">
        <v>286</v>
      </c>
      <c r="C90" s="11" t="s">
        <v>299</v>
      </c>
      <c r="D90" s="10" t="s">
        <v>37</v>
      </c>
      <c r="E90" s="10" t="s">
        <v>38</v>
      </c>
      <c r="F90" s="11"/>
      <c r="G90" s="10"/>
      <c r="H90" s="10"/>
      <c r="I90" s="10" t="s">
        <v>39</v>
      </c>
      <c r="J90" s="11" t="s">
        <v>40</v>
      </c>
      <c r="K90" s="10" t="s">
        <v>47</v>
      </c>
      <c r="L90" s="10" t="s">
        <v>69</v>
      </c>
      <c r="M90" s="11"/>
    </row>
    <row r="91" customFormat="false" ht="15" hidden="false" customHeight="false" outlineLevel="0" collapsed="false">
      <c r="A91" s="10" t="s">
        <v>300</v>
      </c>
      <c r="B91" s="10" t="s">
        <v>286</v>
      </c>
      <c r="C91" s="11" t="s">
        <v>301</v>
      </c>
      <c r="D91" s="10" t="s">
        <v>37</v>
      </c>
      <c r="E91" s="10" t="s">
        <v>38</v>
      </c>
      <c r="F91" s="11"/>
      <c r="G91" s="10"/>
      <c r="H91" s="10"/>
      <c r="I91" s="10" t="s">
        <v>39</v>
      </c>
      <c r="J91" s="11" t="s">
        <v>40</v>
      </c>
      <c r="K91" s="10" t="s">
        <v>47</v>
      </c>
      <c r="L91" s="10" t="s">
        <v>69</v>
      </c>
      <c r="M91" s="11"/>
    </row>
    <row r="92" customFormat="false" ht="15" hidden="false" customHeight="false" outlineLevel="0" collapsed="false">
      <c r="A92" s="10" t="s">
        <v>302</v>
      </c>
      <c r="B92" s="10" t="s">
        <v>286</v>
      </c>
      <c r="C92" s="11" t="s">
        <v>266</v>
      </c>
      <c r="D92" s="10" t="s">
        <v>37</v>
      </c>
      <c r="E92" s="10" t="s">
        <v>38</v>
      </c>
      <c r="F92" s="11"/>
      <c r="G92" s="10"/>
      <c r="H92" s="10"/>
      <c r="I92" s="10" t="s">
        <v>39</v>
      </c>
      <c r="J92" s="11" t="s">
        <v>40</v>
      </c>
      <c r="K92" s="10" t="s">
        <v>47</v>
      </c>
      <c r="L92" s="10" t="s">
        <v>42</v>
      </c>
      <c r="M92" s="11"/>
    </row>
    <row r="93" customFormat="false" ht="15" hidden="false" customHeight="false" outlineLevel="0" collapsed="false">
      <c r="A93" s="10" t="s">
        <v>303</v>
      </c>
      <c r="B93" s="10" t="s">
        <v>286</v>
      </c>
      <c r="C93" s="11" t="s">
        <v>304</v>
      </c>
      <c r="D93" s="10" t="s">
        <v>37</v>
      </c>
      <c r="E93" s="10" t="s">
        <v>38</v>
      </c>
      <c r="F93" s="11"/>
      <c r="G93" s="10"/>
      <c r="H93" s="10"/>
      <c r="I93" s="10" t="s">
        <v>39</v>
      </c>
      <c r="J93" s="11" t="s">
        <v>40</v>
      </c>
      <c r="K93" s="10" t="s">
        <v>73</v>
      </c>
      <c r="L93" s="10" t="s">
        <v>42</v>
      </c>
      <c r="M93" s="11"/>
    </row>
    <row r="94" customFormat="false" ht="15" hidden="false" customHeight="false" outlineLevel="0" collapsed="false">
      <c r="A94" s="10" t="s">
        <v>305</v>
      </c>
      <c r="B94" s="10" t="s">
        <v>286</v>
      </c>
      <c r="C94" s="11" t="s">
        <v>306</v>
      </c>
      <c r="D94" s="10" t="s">
        <v>37</v>
      </c>
      <c r="E94" s="10" t="s">
        <v>38</v>
      </c>
      <c r="F94" s="11"/>
      <c r="G94" s="10"/>
      <c r="H94" s="10"/>
      <c r="I94" s="10" t="s">
        <v>39</v>
      </c>
      <c r="J94" s="11" t="s">
        <v>40</v>
      </c>
      <c r="K94" s="10" t="s">
        <v>47</v>
      </c>
      <c r="L94" s="10" t="s">
        <v>69</v>
      </c>
      <c r="M94" s="11"/>
    </row>
    <row r="95" customFormat="false" ht="15" hidden="false" customHeight="false" outlineLevel="0" collapsed="false">
      <c r="A95" s="10" t="s">
        <v>307</v>
      </c>
      <c r="B95" s="10" t="s">
        <v>286</v>
      </c>
      <c r="C95" s="11" t="s">
        <v>308</v>
      </c>
      <c r="D95" s="10" t="s">
        <v>37</v>
      </c>
      <c r="E95" s="10" t="s">
        <v>38</v>
      </c>
      <c r="F95" s="11"/>
      <c r="G95" s="10"/>
      <c r="H95" s="10"/>
      <c r="I95" s="10" t="s">
        <v>39</v>
      </c>
      <c r="J95" s="11" t="s">
        <v>40</v>
      </c>
      <c r="K95" s="10" t="s">
        <v>47</v>
      </c>
      <c r="L95" s="10" t="s">
        <v>69</v>
      </c>
      <c r="M95" s="11"/>
    </row>
    <row r="96" customFormat="false" ht="15" hidden="false" customHeight="false" outlineLevel="0" collapsed="false">
      <c r="A96" s="10" t="s">
        <v>309</v>
      </c>
      <c r="B96" s="10" t="s">
        <v>286</v>
      </c>
      <c r="C96" s="11" t="s">
        <v>310</v>
      </c>
      <c r="D96" s="10" t="s">
        <v>37</v>
      </c>
      <c r="E96" s="10" t="s">
        <v>38</v>
      </c>
      <c r="F96" s="11"/>
      <c r="G96" s="10"/>
      <c r="H96" s="10"/>
      <c r="I96" s="10" t="s">
        <v>39</v>
      </c>
      <c r="J96" s="11" t="s">
        <v>40</v>
      </c>
      <c r="K96" s="10" t="s">
        <v>47</v>
      </c>
      <c r="L96" s="10" t="s">
        <v>69</v>
      </c>
      <c r="M96" s="11"/>
    </row>
    <row r="97" customFormat="false" ht="15" hidden="false" customHeight="false" outlineLevel="0" collapsed="false">
      <c r="A97" s="16" t="s">
        <v>311</v>
      </c>
      <c r="B97" s="16" t="s">
        <v>312</v>
      </c>
      <c r="C97" s="17" t="s">
        <v>313</v>
      </c>
      <c r="D97" s="16" t="s">
        <v>72</v>
      </c>
      <c r="E97" s="16" t="s">
        <v>51</v>
      </c>
      <c r="F97" s="17" t="s">
        <v>314</v>
      </c>
      <c r="G97" s="16" t="n">
        <v>522117</v>
      </c>
      <c r="H97" s="16" t="s">
        <v>315</v>
      </c>
      <c r="I97" s="16" t="s">
        <v>83</v>
      </c>
      <c r="J97" s="17" t="s">
        <v>121</v>
      </c>
      <c r="K97" s="16" t="s">
        <v>41</v>
      </c>
      <c r="L97" s="16" t="s">
        <v>42</v>
      </c>
      <c r="M97" s="17"/>
    </row>
    <row r="98" customFormat="false" ht="15" hidden="false" customHeight="false" outlineLevel="0" collapsed="false">
      <c r="A98" s="10" t="s">
        <v>316</v>
      </c>
      <c r="B98" s="10" t="s">
        <v>312</v>
      </c>
      <c r="C98" s="11" t="s">
        <v>317</v>
      </c>
      <c r="D98" s="10" t="s">
        <v>37</v>
      </c>
      <c r="E98" s="10" t="s">
        <v>38</v>
      </c>
      <c r="F98" s="11"/>
      <c r="G98" s="10"/>
      <c r="H98" s="10"/>
      <c r="I98" s="10" t="s">
        <v>39</v>
      </c>
      <c r="J98" s="11" t="s">
        <v>40</v>
      </c>
      <c r="K98" s="10" t="s">
        <v>73</v>
      </c>
      <c r="L98" s="10" t="s">
        <v>42</v>
      </c>
      <c r="M98" s="11"/>
    </row>
    <row r="99" customFormat="false" ht="15" hidden="false" customHeight="false" outlineLevel="0" collapsed="false">
      <c r="A99" s="10" t="s">
        <v>318</v>
      </c>
      <c r="B99" s="10" t="s">
        <v>312</v>
      </c>
      <c r="C99" s="11" t="s">
        <v>319</v>
      </c>
      <c r="D99" s="10" t="s">
        <v>37</v>
      </c>
      <c r="E99" s="10" t="s">
        <v>38</v>
      </c>
      <c r="F99" s="11"/>
      <c r="G99" s="10"/>
      <c r="H99" s="10"/>
      <c r="I99" s="10" t="s">
        <v>39</v>
      </c>
      <c r="J99" s="11" t="s">
        <v>40</v>
      </c>
      <c r="K99" s="10" t="s">
        <v>41</v>
      </c>
      <c r="L99" s="10" t="s">
        <v>42</v>
      </c>
      <c r="M99" s="11"/>
    </row>
    <row r="100" customFormat="false" ht="15" hidden="false" customHeight="false" outlineLevel="0" collapsed="false">
      <c r="A100" s="10" t="s">
        <v>320</v>
      </c>
      <c r="B100" s="10" t="s">
        <v>312</v>
      </c>
      <c r="C100" s="11" t="s">
        <v>321</v>
      </c>
      <c r="D100" s="10" t="s">
        <v>37</v>
      </c>
      <c r="E100" s="10" t="s">
        <v>38</v>
      </c>
      <c r="F100" s="11"/>
      <c r="G100" s="10"/>
      <c r="H100" s="10"/>
      <c r="I100" s="10" t="s">
        <v>39</v>
      </c>
      <c r="J100" s="11" t="s">
        <v>40</v>
      </c>
      <c r="K100" s="10" t="s">
        <v>41</v>
      </c>
      <c r="L100" s="10" t="s">
        <v>42</v>
      </c>
      <c r="M100" s="11"/>
    </row>
    <row r="101" customFormat="false" ht="15" hidden="false" customHeight="false" outlineLevel="0" collapsed="false">
      <c r="A101" s="10" t="s">
        <v>322</v>
      </c>
      <c r="B101" s="10" t="s">
        <v>312</v>
      </c>
      <c r="C101" s="11" t="s">
        <v>323</v>
      </c>
      <c r="D101" s="10" t="s">
        <v>37</v>
      </c>
      <c r="E101" s="10" t="s">
        <v>38</v>
      </c>
      <c r="F101" s="11"/>
      <c r="G101" s="10"/>
      <c r="H101" s="10"/>
      <c r="I101" s="10" t="s">
        <v>39</v>
      </c>
      <c r="J101" s="11" t="s">
        <v>40</v>
      </c>
      <c r="K101" s="10" t="s">
        <v>47</v>
      </c>
      <c r="L101" s="10" t="s">
        <v>69</v>
      </c>
      <c r="M101" s="11"/>
    </row>
    <row r="102" customFormat="false" ht="15" hidden="false" customHeight="false" outlineLevel="0" collapsed="false">
      <c r="A102" s="10" t="s">
        <v>324</v>
      </c>
      <c r="B102" s="10" t="s">
        <v>312</v>
      </c>
      <c r="C102" s="11" t="s">
        <v>325</v>
      </c>
      <c r="D102" s="10" t="s">
        <v>37</v>
      </c>
      <c r="E102" s="10" t="s">
        <v>38</v>
      </c>
      <c r="F102" s="11"/>
      <c r="G102" s="10"/>
      <c r="H102" s="10"/>
      <c r="I102" s="10" t="s">
        <v>39</v>
      </c>
      <c r="J102" s="11" t="s">
        <v>40</v>
      </c>
      <c r="K102" s="10" t="s">
        <v>68</v>
      </c>
      <c r="L102" s="10" t="s">
        <v>69</v>
      </c>
      <c r="M102" s="11"/>
    </row>
    <row r="103" customFormat="false" ht="15" hidden="false" customHeight="false" outlineLevel="0" collapsed="false">
      <c r="A103" s="10" t="s">
        <v>326</v>
      </c>
      <c r="B103" s="10" t="s">
        <v>327</v>
      </c>
      <c r="C103" s="11" t="s">
        <v>328</v>
      </c>
      <c r="D103" s="10" t="s">
        <v>37</v>
      </c>
      <c r="E103" s="10" t="s">
        <v>38</v>
      </c>
      <c r="F103" s="11"/>
      <c r="G103" s="10"/>
      <c r="H103" s="10"/>
      <c r="I103" s="10" t="s">
        <v>39</v>
      </c>
      <c r="J103" s="11" t="s">
        <v>40</v>
      </c>
      <c r="K103" s="10" t="s">
        <v>73</v>
      </c>
      <c r="L103" s="10" t="s">
        <v>42</v>
      </c>
      <c r="M103" s="11"/>
    </row>
    <row r="104" customFormat="false" ht="15" hidden="false" customHeight="false" outlineLevel="0" collapsed="false">
      <c r="A104" s="10" t="s">
        <v>329</v>
      </c>
      <c r="B104" s="10" t="s">
        <v>327</v>
      </c>
      <c r="C104" s="11" t="s">
        <v>330</v>
      </c>
      <c r="D104" s="10" t="s">
        <v>37</v>
      </c>
      <c r="E104" s="10" t="s">
        <v>38</v>
      </c>
      <c r="F104" s="11"/>
      <c r="G104" s="10"/>
      <c r="H104" s="10"/>
      <c r="I104" s="10" t="s">
        <v>39</v>
      </c>
      <c r="J104" s="11" t="s">
        <v>40</v>
      </c>
      <c r="K104" s="10" t="s">
        <v>47</v>
      </c>
      <c r="L104" s="10" t="s">
        <v>69</v>
      </c>
      <c r="M104" s="11"/>
    </row>
    <row r="105" customFormat="false" ht="15" hidden="false" customHeight="false" outlineLevel="0" collapsed="false">
      <c r="A105" s="10" t="s">
        <v>331</v>
      </c>
      <c r="B105" s="10" t="s">
        <v>327</v>
      </c>
      <c r="C105" s="11" t="s">
        <v>332</v>
      </c>
      <c r="D105" s="10" t="s">
        <v>37</v>
      </c>
      <c r="E105" s="10" t="s">
        <v>38</v>
      </c>
      <c r="F105" s="11"/>
      <c r="G105" s="10"/>
      <c r="H105" s="10"/>
      <c r="I105" s="10" t="s">
        <v>39</v>
      </c>
      <c r="J105" s="11" t="s">
        <v>40</v>
      </c>
      <c r="K105" s="10" t="s">
        <v>68</v>
      </c>
      <c r="L105" s="10" t="s">
        <v>333</v>
      </c>
      <c r="M105" s="11"/>
    </row>
    <row r="106" customFormat="false" ht="15" hidden="false" customHeight="false" outlineLevel="0" collapsed="false">
      <c r="A106" s="10" t="s">
        <v>334</v>
      </c>
      <c r="B106" s="10" t="s">
        <v>327</v>
      </c>
      <c r="C106" s="11" t="s">
        <v>335</v>
      </c>
      <c r="D106" s="10" t="s">
        <v>37</v>
      </c>
      <c r="E106" s="10" t="s">
        <v>38</v>
      </c>
      <c r="F106" s="11"/>
      <c r="G106" s="10"/>
      <c r="H106" s="10"/>
      <c r="I106" s="10" t="s">
        <v>39</v>
      </c>
      <c r="J106" s="11" t="s">
        <v>40</v>
      </c>
      <c r="K106" s="10" t="s">
        <v>73</v>
      </c>
      <c r="L106" s="10" t="s">
        <v>42</v>
      </c>
      <c r="M106" s="11"/>
    </row>
    <row r="107" customFormat="false" ht="15" hidden="false" customHeight="false" outlineLevel="0" collapsed="false">
      <c r="A107" s="10" t="s">
        <v>336</v>
      </c>
      <c r="B107" s="10" t="s">
        <v>327</v>
      </c>
      <c r="C107" s="11" t="s">
        <v>337</v>
      </c>
      <c r="D107" s="10" t="s">
        <v>37</v>
      </c>
      <c r="E107" s="10" t="s">
        <v>38</v>
      </c>
      <c r="F107" s="11"/>
      <c r="G107" s="10"/>
      <c r="H107" s="10"/>
      <c r="I107" s="10" t="s">
        <v>39</v>
      </c>
      <c r="J107" s="11" t="s">
        <v>40</v>
      </c>
      <c r="K107" s="10" t="s">
        <v>73</v>
      </c>
      <c r="L107" s="10" t="s">
        <v>42</v>
      </c>
      <c r="M107" s="11"/>
    </row>
    <row r="108" customFormat="false" ht="15" hidden="false" customHeight="false" outlineLevel="0" collapsed="false">
      <c r="A108" s="10" t="s">
        <v>338</v>
      </c>
      <c r="B108" s="10" t="s">
        <v>327</v>
      </c>
      <c r="C108" s="11" t="s">
        <v>339</v>
      </c>
      <c r="D108" s="10" t="s">
        <v>37</v>
      </c>
      <c r="E108" s="10" t="s">
        <v>38</v>
      </c>
      <c r="F108" s="11"/>
      <c r="G108" s="10"/>
      <c r="H108" s="10"/>
      <c r="I108" s="10" t="s">
        <v>39</v>
      </c>
      <c r="J108" s="11" t="s">
        <v>40</v>
      </c>
      <c r="K108" s="10" t="s">
        <v>73</v>
      </c>
      <c r="L108" s="10" t="s">
        <v>42</v>
      </c>
      <c r="M108" s="11"/>
    </row>
    <row r="109" customFormat="false" ht="15" hidden="false" customHeight="false" outlineLevel="0" collapsed="false">
      <c r="A109" s="10" t="s">
        <v>340</v>
      </c>
      <c r="B109" s="10" t="s">
        <v>327</v>
      </c>
      <c r="C109" s="11" t="s">
        <v>341</v>
      </c>
      <c r="D109" s="10" t="s">
        <v>37</v>
      </c>
      <c r="E109" s="10" t="s">
        <v>38</v>
      </c>
      <c r="F109" s="11"/>
      <c r="G109" s="10"/>
      <c r="H109" s="10"/>
      <c r="I109" s="10" t="s">
        <v>39</v>
      </c>
      <c r="J109" s="11" t="s">
        <v>40</v>
      </c>
      <c r="K109" s="10" t="s">
        <v>47</v>
      </c>
      <c r="L109" s="10" t="s">
        <v>69</v>
      </c>
      <c r="M109" s="11"/>
    </row>
    <row r="110" customFormat="false" ht="15" hidden="false" customHeight="false" outlineLevel="0" collapsed="false">
      <c r="A110" s="10" t="s">
        <v>342</v>
      </c>
      <c r="B110" s="10" t="s">
        <v>327</v>
      </c>
      <c r="C110" s="11" t="s">
        <v>343</v>
      </c>
      <c r="D110" s="10" t="s">
        <v>37</v>
      </c>
      <c r="E110" s="10" t="s">
        <v>38</v>
      </c>
      <c r="F110" s="11"/>
      <c r="G110" s="10"/>
      <c r="H110" s="10"/>
      <c r="I110" s="10" t="s">
        <v>39</v>
      </c>
      <c r="J110" s="11" t="s">
        <v>40</v>
      </c>
      <c r="K110" s="10" t="s">
        <v>47</v>
      </c>
      <c r="L110" s="10" t="s">
        <v>42</v>
      </c>
      <c r="M110" s="11"/>
    </row>
    <row r="111" customFormat="false" ht="15" hidden="false" customHeight="false" outlineLevel="0" collapsed="false">
      <c r="A111" s="10" t="s">
        <v>344</v>
      </c>
      <c r="B111" s="10" t="s">
        <v>345</v>
      </c>
      <c r="C111" s="11" t="s">
        <v>346</v>
      </c>
      <c r="D111" s="10" t="s">
        <v>37</v>
      </c>
      <c r="E111" s="10" t="s">
        <v>38</v>
      </c>
      <c r="F111" s="11"/>
      <c r="G111" s="10"/>
      <c r="H111" s="10"/>
      <c r="I111" s="10" t="s">
        <v>39</v>
      </c>
      <c r="J111" s="11" t="s">
        <v>40</v>
      </c>
      <c r="K111" s="10" t="s">
        <v>73</v>
      </c>
      <c r="L111" s="10" t="s">
        <v>42</v>
      </c>
      <c r="M111" s="11"/>
    </row>
    <row r="112" customFormat="false" ht="15" hidden="false" customHeight="false" outlineLevel="0" collapsed="false">
      <c r="A112" s="10" t="s">
        <v>347</v>
      </c>
      <c r="B112" s="10" t="s">
        <v>345</v>
      </c>
      <c r="C112" s="11" t="s">
        <v>348</v>
      </c>
      <c r="D112" s="10" t="s">
        <v>37</v>
      </c>
      <c r="E112" s="10" t="s">
        <v>38</v>
      </c>
      <c r="F112" s="11"/>
      <c r="G112" s="10"/>
      <c r="H112" s="10"/>
      <c r="I112" s="10" t="s">
        <v>39</v>
      </c>
      <c r="J112" s="11" t="s">
        <v>40</v>
      </c>
      <c r="K112" s="10" t="s">
        <v>47</v>
      </c>
      <c r="L112" s="10" t="s">
        <v>42</v>
      </c>
      <c r="M112" s="11"/>
    </row>
    <row r="113" customFormat="false" ht="23.85" hidden="false" customHeight="false" outlineLevel="0" collapsed="false">
      <c r="A113" s="12" t="s">
        <v>349</v>
      </c>
      <c r="B113" s="12" t="s">
        <v>345</v>
      </c>
      <c r="C113" s="13" t="s">
        <v>350</v>
      </c>
      <c r="D113" s="12" t="s">
        <v>72</v>
      </c>
      <c r="E113" s="12" t="s">
        <v>51</v>
      </c>
      <c r="F113" s="13" t="s">
        <v>351</v>
      </c>
      <c r="G113" s="12" t="n">
        <v>20063</v>
      </c>
      <c r="H113" s="12" t="s">
        <v>352</v>
      </c>
      <c r="I113" s="12" t="s">
        <v>39</v>
      </c>
      <c r="J113" s="13" t="s">
        <v>40</v>
      </c>
      <c r="K113" s="12" t="s">
        <v>47</v>
      </c>
      <c r="L113" s="12" t="s">
        <v>42</v>
      </c>
      <c r="M113" s="13"/>
    </row>
    <row r="114" customFormat="false" ht="15" hidden="false" customHeight="false" outlineLevel="0" collapsed="false">
      <c r="A114" s="10" t="s">
        <v>353</v>
      </c>
      <c r="B114" s="10" t="s">
        <v>345</v>
      </c>
      <c r="C114" s="11" t="s">
        <v>354</v>
      </c>
      <c r="D114" s="10" t="s">
        <v>37</v>
      </c>
      <c r="E114" s="10" t="s">
        <v>38</v>
      </c>
      <c r="F114" s="11"/>
      <c r="G114" s="10"/>
      <c r="H114" s="10"/>
      <c r="I114" s="10" t="s">
        <v>39</v>
      </c>
      <c r="J114" s="11" t="s">
        <v>40</v>
      </c>
      <c r="K114" s="10" t="s">
        <v>47</v>
      </c>
      <c r="L114" s="10" t="s">
        <v>42</v>
      </c>
      <c r="M114" s="11"/>
    </row>
    <row r="115" customFormat="false" ht="15" hidden="false" customHeight="false" outlineLevel="0" collapsed="false">
      <c r="A115" s="10" t="s">
        <v>355</v>
      </c>
      <c r="B115" s="10" t="s">
        <v>345</v>
      </c>
      <c r="C115" s="11" t="s">
        <v>356</v>
      </c>
      <c r="D115" s="10" t="s">
        <v>72</v>
      </c>
      <c r="E115" s="10" t="s">
        <v>38</v>
      </c>
      <c r="F115" s="11"/>
      <c r="G115" s="10"/>
      <c r="H115" s="10"/>
      <c r="I115" s="10" t="s">
        <v>39</v>
      </c>
      <c r="J115" s="11" t="s">
        <v>40</v>
      </c>
      <c r="K115" s="10" t="s">
        <v>47</v>
      </c>
      <c r="L115" s="10" t="s">
        <v>42</v>
      </c>
      <c r="M115" s="11" t="s">
        <v>357</v>
      </c>
    </row>
    <row r="116" customFormat="false" ht="15" hidden="false" customHeight="false" outlineLevel="0" collapsed="false">
      <c r="A116" s="10" t="s">
        <v>358</v>
      </c>
      <c r="B116" s="10" t="s">
        <v>345</v>
      </c>
      <c r="C116" s="11" t="s">
        <v>359</v>
      </c>
      <c r="D116" s="10" t="s">
        <v>72</v>
      </c>
      <c r="E116" s="10" t="s">
        <v>38</v>
      </c>
      <c r="F116" s="11"/>
      <c r="G116" s="10"/>
      <c r="H116" s="10"/>
      <c r="I116" s="10" t="s">
        <v>39</v>
      </c>
      <c r="J116" s="11" t="s">
        <v>40</v>
      </c>
      <c r="K116" s="10" t="s">
        <v>47</v>
      </c>
      <c r="L116" s="10" t="s">
        <v>42</v>
      </c>
      <c r="M116" s="11" t="s">
        <v>360</v>
      </c>
    </row>
    <row r="117" customFormat="false" ht="23.85" hidden="false" customHeight="false" outlineLevel="0" collapsed="false">
      <c r="A117" s="10" t="s">
        <v>361</v>
      </c>
      <c r="B117" s="10" t="s">
        <v>345</v>
      </c>
      <c r="C117" s="11" t="s">
        <v>362</v>
      </c>
      <c r="D117" s="10" t="s">
        <v>72</v>
      </c>
      <c r="E117" s="10" t="s">
        <v>38</v>
      </c>
      <c r="F117" s="11"/>
      <c r="G117" s="10"/>
      <c r="H117" s="10"/>
      <c r="I117" s="10" t="s">
        <v>39</v>
      </c>
      <c r="J117" s="11" t="s">
        <v>40</v>
      </c>
      <c r="K117" s="10" t="s">
        <v>47</v>
      </c>
      <c r="L117" s="10" t="s">
        <v>42</v>
      </c>
      <c r="M117" s="11" t="s">
        <v>363</v>
      </c>
    </row>
  </sheetData>
  <autoFilter ref="A1:M1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C00"/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35"/>
  </cols>
  <sheetData>
    <row r="1" customFormat="false" ht="23.85" hidden="false" customHeight="false" outlineLevel="0" collapsed="false">
      <c r="A1" s="9" t="s">
        <v>23</v>
      </c>
      <c r="B1" s="9" t="s">
        <v>364</v>
      </c>
      <c r="C1" s="9" t="s">
        <v>365</v>
      </c>
      <c r="D1" s="9" t="s">
        <v>366</v>
      </c>
      <c r="E1" s="9" t="s">
        <v>367</v>
      </c>
      <c r="F1" s="9" t="s">
        <v>33</v>
      </c>
    </row>
    <row r="2" customFormat="false" ht="15" hidden="false" customHeight="false" outlineLevel="0" collapsed="false">
      <c r="A2" s="17" t="s">
        <v>368</v>
      </c>
      <c r="B2" s="17" t="s">
        <v>369</v>
      </c>
      <c r="C2" s="17" t="s">
        <v>370</v>
      </c>
      <c r="D2" s="17" t="s">
        <v>371</v>
      </c>
      <c r="E2" s="17" t="s">
        <v>372</v>
      </c>
      <c r="F2" s="17" t="s">
        <v>373</v>
      </c>
    </row>
    <row r="3" customFormat="false" ht="15" hidden="false" customHeight="false" outlineLevel="0" collapsed="false">
      <c r="A3" s="17" t="s">
        <v>368</v>
      </c>
      <c r="B3" s="17" t="s">
        <v>369</v>
      </c>
      <c r="C3" s="17" t="s">
        <v>374</v>
      </c>
      <c r="D3" s="17" t="s">
        <v>375</v>
      </c>
      <c r="E3" s="17" t="s">
        <v>376</v>
      </c>
      <c r="F3" s="17"/>
    </row>
    <row r="4" customFormat="false" ht="15" hidden="false" customHeight="false" outlineLevel="0" collapsed="false">
      <c r="A4" s="17" t="s">
        <v>368</v>
      </c>
      <c r="B4" s="17" t="s">
        <v>369</v>
      </c>
      <c r="C4" s="17" t="s">
        <v>377</v>
      </c>
      <c r="D4" s="17" t="s">
        <v>378</v>
      </c>
      <c r="E4" s="17" t="s">
        <v>379</v>
      </c>
      <c r="F4" s="17"/>
    </row>
    <row r="5" customFormat="false" ht="15" hidden="false" customHeight="false" outlineLevel="0" collapsed="false">
      <c r="A5" s="17" t="s">
        <v>368</v>
      </c>
      <c r="B5" s="17" t="s">
        <v>369</v>
      </c>
      <c r="C5" s="17" t="s">
        <v>380</v>
      </c>
      <c r="D5" s="17" t="s">
        <v>381</v>
      </c>
      <c r="E5" s="17" t="s">
        <v>382</v>
      </c>
      <c r="F5" s="17"/>
    </row>
    <row r="6" customFormat="false" ht="15" hidden="false" customHeight="false" outlineLevel="0" collapsed="false">
      <c r="A6" s="17" t="s">
        <v>368</v>
      </c>
      <c r="B6" s="17" t="s">
        <v>369</v>
      </c>
      <c r="C6" s="17" t="s">
        <v>383</v>
      </c>
      <c r="D6" s="17" t="s">
        <v>384</v>
      </c>
      <c r="E6" s="17" t="s">
        <v>385</v>
      </c>
      <c r="F6" s="17"/>
    </row>
    <row r="7" customFormat="false" ht="15" hidden="false" customHeight="false" outlineLevel="0" collapsed="false">
      <c r="A7" s="17" t="s">
        <v>368</v>
      </c>
      <c r="B7" s="17" t="s">
        <v>369</v>
      </c>
      <c r="C7" s="17" t="s">
        <v>386</v>
      </c>
      <c r="D7" s="17" t="s">
        <v>387</v>
      </c>
      <c r="E7" s="17" t="s">
        <v>388</v>
      </c>
      <c r="F7" s="17"/>
    </row>
    <row r="8" customFormat="false" ht="15" hidden="false" customHeight="false" outlineLevel="0" collapsed="false">
      <c r="A8" s="17" t="s">
        <v>389</v>
      </c>
      <c r="B8" s="17" t="s">
        <v>369</v>
      </c>
      <c r="C8" s="17" t="s">
        <v>390</v>
      </c>
      <c r="D8" s="17" t="s">
        <v>391</v>
      </c>
      <c r="E8" s="17" t="s">
        <v>392</v>
      </c>
      <c r="F8" s="17" t="s">
        <v>393</v>
      </c>
    </row>
    <row r="9" customFormat="false" ht="15" hidden="false" customHeight="false" outlineLevel="0" collapsed="false">
      <c r="A9" s="17" t="s">
        <v>389</v>
      </c>
      <c r="B9" s="17" t="s">
        <v>369</v>
      </c>
      <c r="C9" s="17" t="s">
        <v>394</v>
      </c>
      <c r="D9" s="17" t="s">
        <v>395</v>
      </c>
      <c r="E9" s="17" t="s">
        <v>396</v>
      </c>
      <c r="F9" s="17"/>
    </row>
    <row r="10" customFormat="false" ht="15" hidden="false" customHeight="false" outlineLevel="0" collapsed="false">
      <c r="A10" s="15" t="s">
        <v>397</v>
      </c>
      <c r="B10" s="15" t="s">
        <v>398</v>
      </c>
      <c r="C10" s="15" t="s">
        <v>399</v>
      </c>
      <c r="D10" s="15" t="s">
        <v>400</v>
      </c>
      <c r="E10" s="15" t="s">
        <v>84</v>
      </c>
      <c r="F10" s="15" t="s">
        <v>401</v>
      </c>
    </row>
    <row r="11" customFormat="false" ht="15" hidden="false" customHeight="false" outlineLevel="0" collapsed="false">
      <c r="A11" s="15" t="s">
        <v>397</v>
      </c>
      <c r="B11" s="15" t="s">
        <v>398</v>
      </c>
      <c r="C11" s="15" t="s">
        <v>386</v>
      </c>
      <c r="D11" s="15" t="s">
        <v>387</v>
      </c>
      <c r="E11" s="15" t="s">
        <v>84</v>
      </c>
      <c r="F11" s="15" t="s">
        <v>402</v>
      </c>
    </row>
    <row r="12" customFormat="false" ht="15" hidden="false" customHeight="false" outlineLevel="0" collapsed="false">
      <c r="A12" s="15" t="s">
        <v>397</v>
      </c>
      <c r="B12" s="15" t="s">
        <v>398</v>
      </c>
      <c r="C12" s="15" t="s">
        <v>403</v>
      </c>
      <c r="D12" s="15" t="s">
        <v>404</v>
      </c>
      <c r="E12" s="15" t="s">
        <v>84</v>
      </c>
      <c r="F12" s="15" t="s">
        <v>405</v>
      </c>
    </row>
    <row r="13" customFormat="false" ht="15" hidden="false" customHeight="false" outlineLevel="0" collapsed="false">
      <c r="A13" s="15" t="s">
        <v>406</v>
      </c>
      <c r="B13" s="15" t="s">
        <v>398</v>
      </c>
      <c r="C13" s="15" t="s">
        <v>377</v>
      </c>
      <c r="D13" s="15" t="s">
        <v>378</v>
      </c>
      <c r="E13" s="15" t="s">
        <v>84</v>
      </c>
      <c r="F13" s="15" t="s">
        <v>407</v>
      </c>
    </row>
    <row r="14" customFormat="false" ht="15" hidden="false" customHeight="false" outlineLevel="0" collapsed="false">
      <c r="A14" s="15" t="s">
        <v>406</v>
      </c>
      <c r="B14" s="15" t="s">
        <v>398</v>
      </c>
      <c r="C14" s="15" t="s">
        <v>408</v>
      </c>
      <c r="D14" s="15" t="s">
        <v>409</v>
      </c>
      <c r="E14" s="15" t="s">
        <v>84</v>
      </c>
      <c r="F14" s="15" t="s">
        <v>410</v>
      </c>
    </row>
    <row r="15" customFormat="false" ht="15" hidden="false" customHeight="false" outlineLevel="0" collapsed="false">
      <c r="A15" s="13" t="s">
        <v>411</v>
      </c>
      <c r="B15" s="13" t="s">
        <v>398</v>
      </c>
      <c r="C15" s="13" t="s">
        <v>412</v>
      </c>
      <c r="D15" s="13" t="s">
        <v>413</v>
      </c>
      <c r="E15" s="13" t="s">
        <v>414</v>
      </c>
      <c r="F15" s="13" t="s">
        <v>415</v>
      </c>
    </row>
    <row r="16" customFormat="false" ht="15" hidden="false" customHeight="false" outlineLevel="0" collapsed="false">
      <c r="A16" s="13" t="s">
        <v>411</v>
      </c>
      <c r="B16" s="13" t="s">
        <v>398</v>
      </c>
      <c r="C16" s="13" t="s">
        <v>416</v>
      </c>
      <c r="D16" s="13" t="s">
        <v>417</v>
      </c>
      <c r="E16" s="13" t="s">
        <v>414</v>
      </c>
      <c r="F16" s="13" t="s">
        <v>415</v>
      </c>
    </row>
    <row r="17" customFormat="false" ht="15" hidden="false" customHeight="false" outlineLevel="0" collapsed="false">
      <c r="A17" s="15" t="s">
        <v>418</v>
      </c>
      <c r="B17" s="15" t="s">
        <v>419</v>
      </c>
      <c r="C17" s="15" t="s">
        <v>420</v>
      </c>
      <c r="D17" s="15" t="s">
        <v>421</v>
      </c>
      <c r="E17" s="15" t="s">
        <v>84</v>
      </c>
      <c r="F17" s="15" t="s">
        <v>422</v>
      </c>
    </row>
    <row r="18" customFormat="false" ht="15" hidden="false" customHeight="false" outlineLevel="0" collapsed="false">
      <c r="A18" s="15" t="s">
        <v>423</v>
      </c>
      <c r="B18" s="15" t="s">
        <v>419</v>
      </c>
      <c r="C18" s="15" t="s">
        <v>424</v>
      </c>
      <c r="D18" s="15" t="s">
        <v>421</v>
      </c>
      <c r="E18" s="15" t="s">
        <v>84</v>
      </c>
      <c r="F18" s="15" t="s">
        <v>422</v>
      </c>
    </row>
    <row r="19" customFormat="false" ht="15" hidden="false" customHeight="false" outlineLevel="0" collapsed="false">
      <c r="A19" s="15" t="s">
        <v>425</v>
      </c>
      <c r="B19" s="15" t="s">
        <v>419</v>
      </c>
      <c r="C19" s="15" t="s">
        <v>426</v>
      </c>
      <c r="D19" s="15" t="s">
        <v>417</v>
      </c>
      <c r="E19" s="15" t="s">
        <v>84</v>
      </c>
      <c r="F19" s="15" t="s">
        <v>427</v>
      </c>
    </row>
    <row r="20" customFormat="false" ht="15" hidden="false" customHeight="false" outlineLevel="0" collapsed="false">
      <c r="A20" s="15" t="s">
        <v>428</v>
      </c>
      <c r="B20" s="15" t="s">
        <v>429</v>
      </c>
      <c r="C20" s="15" t="s">
        <v>430</v>
      </c>
      <c r="D20" s="15" t="s">
        <v>384</v>
      </c>
      <c r="E20" s="15" t="s">
        <v>84</v>
      </c>
      <c r="F20" s="15" t="s">
        <v>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45"/>
    <col collapsed="false" customWidth="true" hidden="false" outlineLevel="0" max="5" min="4" style="0" width="20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20" t="s">
        <v>432</v>
      </c>
      <c r="B1" s="20" t="s">
        <v>433</v>
      </c>
      <c r="C1" s="20" t="s">
        <v>23</v>
      </c>
      <c r="D1" s="20" t="s">
        <v>434</v>
      </c>
      <c r="E1" s="20" t="s">
        <v>435</v>
      </c>
      <c r="F1" s="20" t="s">
        <v>33</v>
      </c>
    </row>
    <row r="2" customFormat="false" ht="15" hidden="false" customHeight="false" outlineLevel="0" collapsed="false">
      <c r="A2" s="21" t="s">
        <v>436</v>
      </c>
      <c r="B2" s="22" t="s">
        <v>437</v>
      </c>
      <c r="C2" s="21" t="s">
        <v>438</v>
      </c>
      <c r="D2" s="21" t="s">
        <v>439</v>
      </c>
      <c r="E2" s="21" t="s">
        <v>440</v>
      </c>
      <c r="F2" s="21" t="s">
        <v>441</v>
      </c>
    </row>
    <row r="3" customFormat="false" ht="15" hidden="false" customHeight="false" outlineLevel="0" collapsed="false">
      <c r="A3" s="21" t="s">
        <v>436</v>
      </c>
      <c r="B3" s="21" t="s">
        <v>442</v>
      </c>
      <c r="C3" s="21" t="s">
        <v>52</v>
      </c>
      <c r="D3" s="21" t="s">
        <v>443</v>
      </c>
      <c r="E3" s="21" t="s">
        <v>51</v>
      </c>
      <c r="F3" s="21" t="s">
        <v>444</v>
      </c>
    </row>
    <row r="4" customFormat="false" ht="15" hidden="false" customHeight="false" outlineLevel="0" collapsed="false">
      <c r="A4" s="21" t="s">
        <v>436</v>
      </c>
      <c r="B4" s="21" t="s">
        <v>442</v>
      </c>
      <c r="C4" s="21" t="s">
        <v>56</v>
      </c>
      <c r="D4" s="21" t="s">
        <v>443</v>
      </c>
      <c r="E4" s="21" t="s">
        <v>51</v>
      </c>
      <c r="F4" s="21" t="s">
        <v>444</v>
      </c>
    </row>
    <row r="5" customFormat="false" ht="15" hidden="false" customHeight="false" outlineLevel="0" collapsed="false">
      <c r="A5" s="21" t="s">
        <v>436</v>
      </c>
      <c r="B5" s="21" t="s">
        <v>442</v>
      </c>
      <c r="C5" s="21" t="s">
        <v>60</v>
      </c>
      <c r="D5" s="21" t="s">
        <v>443</v>
      </c>
      <c r="E5" s="21" t="s">
        <v>51</v>
      </c>
      <c r="F5" s="21" t="s">
        <v>444</v>
      </c>
    </row>
    <row r="6" customFormat="false" ht="15" hidden="false" customHeight="false" outlineLevel="0" collapsed="false">
      <c r="A6" s="21" t="s">
        <v>436</v>
      </c>
      <c r="B6" s="21" t="s">
        <v>442</v>
      </c>
      <c r="C6" s="21" t="s">
        <v>64</v>
      </c>
      <c r="D6" s="21" t="s">
        <v>443</v>
      </c>
      <c r="E6" s="21" t="s">
        <v>51</v>
      </c>
      <c r="F6" s="21" t="s">
        <v>444</v>
      </c>
    </row>
    <row r="7" customFormat="false" ht="15" hidden="false" customHeight="false" outlineLevel="0" collapsed="false">
      <c r="A7" s="21" t="s">
        <v>436</v>
      </c>
      <c r="B7" s="21" t="s">
        <v>442</v>
      </c>
      <c r="C7" s="21" t="s">
        <v>92</v>
      </c>
      <c r="D7" s="21" t="s">
        <v>443</v>
      </c>
      <c r="E7" s="21" t="s">
        <v>51</v>
      </c>
      <c r="F7" s="21" t="s">
        <v>444</v>
      </c>
    </row>
    <row r="8" customFormat="false" ht="15" hidden="false" customHeight="false" outlineLevel="0" collapsed="false">
      <c r="A8" s="21" t="s">
        <v>436</v>
      </c>
      <c r="B8" s="21" t="s">
        <v>442</v>
      </c>
      <c r="C8" s="21" t="s">
        <v>105</v>
      </c>
      <c r="D8" s="21" t="s">
        <v>443</v>
      </c>
      <c r="E8" s="21" t="s">
        <v>51</v>
      </c>
      <c r="F8" s="21" t="s">
        <v>444</v>
      </c>
    </row>
    <row r="9" customFormat="false" ht="15" hidden="false" customHeight="false" outlineLevel="0" collapsed="false">
      <c r="A9" s="21" t="s">
        <v>436</v>
      </c>
      <c r="B9" s="21" t="s">
        <v>442</v>
      </c>
      <c r="C9" s="21" t="s">
        <v>258</v>
      </c>
      <c r="D9" s="21" t="s">
        <v>443</v>
      </c>
      <c r="E9" s="21" t="s">
        <v>51</v>
      </c>
      <c r="F9" s="21" t="s">
        <v>444</v>
      </c>
    </row>
    <row r="10" customFormat="false" ht="15" hidden="false" customHeight="false" outlineLevel="0" collapsed="false">
      <c r="A10" s="21" t="s">
        <v>436</v>
      </c>
      <c r="B10" s="21" t="s">
        <v>442</v>
      </c>
      <c r="C10" s="21" t="s">
        <v>288</v>
      </c>
      <c r="D10" s="21" t="s">
        <v>445</v>
      </c>
      <c r="E10" s="21" t="s">
        <v>446</v>
      </c>
      <c r="F10" s="21" t="s">
        <v>447</v>
      </c>
    </row>
    <row r="11" customFormat="false" ht="15" hidden="false" customHeight="false" outlineLevel="0" collapsed="false">
      <c r="A11" s="21" t="s">
        <v>436</v>
      </c>
      <c r="B11" s="21" t="s">
        <v>442</v>
      </c>
      <c r="C11" s="21" t="s">
        <v>448</v>
      </c>
      <c r="D11" s="21" t="s">
        <v>443</v>
      </c>
      <c r="E11" s="21" t="s">
        <v>51</v>
      </c>
      <c r="F11" s="21" t="s">
        <v>449</v>
      </c>
    </row>
    <row r="12" customFormat="false" ht="15" hidden="false" customHeight="false" outlineLevel="0" collapsed="false">
      <c r="A12" s="21" t="s">
        <v>436</v>
      </c>
      <c r="B12" s="21" t="s">
        <v>450</v>
      </c>
      <c r="C12" s="21" t="s">
        <v>451</v>
      </c>
      <c r="D12" s="21" t="s">
        <v>452</v>
      </c>
      <c r="E12" s="21" t="s">
        <v>51</v>
      </c>
      <c r="F12" s="21" t="s">
        <v>453</v>
      </c>
    </row>
    <row r="13" customFormat="false" ht="15" hidden="false" customHeight="false" outlineLevel="0" collapsed="false">
      <c r="A13" s="21" t="s">
        <v>436</v>
      </c>
      <c r="B13" s="21" t="s">
        <v>450</v>
      </c>
      <c r="C13" s="21" t="s">
        <v>454</v>
      </c>
      <c r="D13" s="21" t="s">
        <v>452</v>
      </c>
      <c r="E13" s="21" t="s">
        <v>51</v>
      </c>
      <c r="F13" s="21" t="s">
        <v>455</v>
      </c>
    </row>
    <row r="14" customFormat="false" ht="15" hidden="false" customHeight="false" outlineLevel="0" collapsed="false">
      <c r="A14" s="21" t="s">
        <v>436</v>
      </c>
      <c r="B14" s="21" t="s">
        <v>456</v>
      </c>
      <c r="C14" s="21" t="s">
        <v>99</v>
      </c>
      <c r="D14" s="21" t="s">
        <v>457</v>
      </c>
      <c r="E14" s="21" t="s">
        <v>98</v>
      </c>
      <c r="F14" s="21" t="s">
        <v>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5"/>
    <col collapsed="false" customWidth="true" hidden="false" outlineLevel="0" max="5" min="3" style="0" width="10"/>
    <col collapsed="false" customWidth="true" hidden="false" outlineLevel="0" max="6" min="6" style="0" width="8"/>
    <col collapsed="false" customWidth="true" hidden="false" outlineLevel="0" max="8" min="7" style="0" width="12"/>
  </cols>
  <sheetData>
    <row r="1" customFormat="false" ht="15" hidden="false" customHeight="false" outlineLevel="0" collapsed="false">
      <c r="A1" s="20" t="s">
        <v>22</v>
      </c>
      <c r="B1" s="20" t="s">
        <v>459</v>
      </c>
      <c r="C1" s="20" t="s">
        <v>460</v>
      </c>
      <c r="D1" s="20" t="s">
        <v>51</v>
      </c>
      <c r="E1" s="20" t="s">
        <v>38</v>
      </c>
      <c r="F1" s="20" t="s">
        <v>40</v>
      </c>
      <c r="G1" s="20" t="s">
        <v>461</v>
      </c>
      <c r="H1" s="20" t="s">
        <v>462</v>
      </c>
    </row>
    <row r="2" customFormat="false" ht="15" hidden="false" customHeight="false" outlineLevel="0" collapsed="false">
      <c r="A2" s="23" t="s">
        <v>35</v>
      </c>
      <c r="B2" s="21" t="s">
        <v>463</v>
      </c>
      <c r="C2" s="23" t="n">
        <v>3</v>
      </c>
      <c r="D2" s="23" t="n">
        <v>0</v>
      </c>
      <c r="E2" s="23" t="n">
        <v>3</v>
      </c>
      <c r="F2" s="23" t="n">
        <v>0</v>
      </c>
      <c r="G2" s="23" t="n">
        <v>0</v>
      </c>
      <c r="H2" s="23" t="s">
        <v>464</v>
      </c>
    </row>
    <row r="3" customFormat="false" ht="15" hidden="false" customHeight="false" outlineLevel="0" collapsed="false">
      <c r="A3" s="23" t="s">
        <v>49</v>
      </c>
      <c r="B3" s="21" t="s">
        <v>465</v>
      </c>
      <c r="C3" s="23" t="n">
        <v>15</v>
      </c>
      <c r="D3" s="23" t="n">
        <v>8</v>
      </c>
      <c r="E3" s="23" t="n">
        <v>7</v>
      </c>
      <c r="F3" s="23" t="n">
        <v>0</v>
      </c>
      <c r="G3" s="23" t="n">
        <v>2</v>
      </c>
      <c r="H3" s="23" t="s">
        <v>466</v>
      </c>
    </row>
    <row r="4" customFormat="false" ht="15" hidden="false" customHeight="false" outlineLevel="0" collapsed="false">
      <c r="A4" s="23" t="s">
        <v>108</v>
      </c>
      <c r="B4" s="21" t="s">
        <v>467</v>
      </c>
      <c r="C4" s="23" t="n">
        <v>20</v>
      </c>
      <c r="D4" s="23" t="n">
        <v>7</v>
      </c>
      <c r="E4" s="23" t="n">
        <v>12</v>
      </c>
      <c r="F4" s="23" t="n">
        <v>1</v>
      </c>
      <c r="G4" s="23" t="n">
        <v>5</v>
      </c>
      <c r="H4" s="23" t="s">
        <v>468</v>
      </c>
    </row>
    <row r="5" customFormat="false" ht="15" hidden="false" customHeight="false" outlineLevel="0" collapsed="false">
      <c r="A5" s="23" t="s">
        <v>170</v>
      </c>
      <c r="B5" s="21" t="s">
        <v>469</v>
      </c>
      <c r="C5" s="23" t="n">
        <v>12</v>
      </c>
      <c r="D5" s="23" t="n">
        <v>5</v>
      </c>
      <c r="E5" s="23" t="n">
        <v>7</v>
      </c>
      <c r="F5" s="23" t="n">
        <v>0</v>
      </c>
      <c r="G5" s="23" t="n">
        <v>1</v>
      </c>
      <c r="H5" s="23" t="s">
        <v>470</v>
      </c>
    </row>
    <row r="6" customFormat="false" ht="15" hidden="false" customHeight="false" outlineLevel="0" collapsed="false">
      <c r="A6" s="23" t="s">
        <v>207</v>
      </c>
      <c r="B6" s="21" t="s">
        <v>471</v>
      </c>
      <c r="C6" s="23" t="n">
        <v>20</v>
      </c>
      <c r="D6" s="23" t="n">
        <v>4</v>
      </c>
      <c r="E6" s="23" t="n">
        <v>16</v>
      </c>
      <c r="F6" s="23" t="n">
        <v>0</v>
      </c>
      <c r="G6" s="23" t="n">
        <v>1</v>
      </c>
      <c r="H6" s="23" t="s">
        <v>472</v>
      </c>
    </row>
    <row r="7" customFormat="false" ht="15" hidden="false" customHeight="false" outlineLevel="0" collapsed="false">
      <c r="A7" s="23" t="s">
        <v>256</v>
      </c>
      <c r="B7" s="21" t="s">
        <v>473</v>
      </c>
      <c r="C7" s="23" t="n">
        <v>14</v>
      </c>
      <c r="D7" s="23" t="n">
        <v>1</v>
      </c>
      <c r="E7" s="23" t="n">
        <v>12</v>
      </c>
      <c r="F7" s="23" t="n">
        <v>1</v>
      </c>
      <c r="G7" s="23" t="n">
        <v>0</v>
      </c>
      <c r="H7" s="23" t="s">
        <v>474</v>
      </c>
    </row>
    <row r="8" customFormat="false" ht="15" hidden="false" customHeight="false" outlineLevel="0" collapsed="false">
      <c r="A8" s="23" t="s">
        <v>286</v>
      </c>
      <c r="B8" s="21" t="s">
        <v>475</v>
      </c>
      <c r="C8" s="23" t="n">
        <v>11</v>
      </c>
      <c r="D8" s="23" t="n">
        <v>1</v>
      </c>
      <c r="E8" s="23" t="n">
        <v>10</v>
      </c>
      <c r="F8" s="23" t="n">
        <v>0</v>
      </c>
      <c r="G8" s="23" t="n">
        <v>0</v>
      </c>
      <c r="H8" s="23" t="s">
        <v>476</v>
      </c>
    </row>
    <row r="9" customFormat="false" ht="15" hidden="false" customHeight="false" outlineLevel="0" collapsed="false">
      <c r="A9" s="23" t="s">
        <v>312</v>
      </c>
      <c r="B9" s="21" t="s">
        <v>477</v>
      </c>
      <c r="C9" s="23" t="n">
        <v>6</v>
      </c>
      <c r="D9" s="23" t="n">
        <v>1</v>
      </c>
      <c r="E9" s="23" t="n">
        <v>5</v>
      </c>
      <c r="F9" s="23" t="n">
        <v>0</v>
      </c>
      <c r="G9" s="23" t="n">
        <v>1</v>
      </c>
      <c r="H9" s="23" t="s">
        <v>478</v>
      </c>
    </row>
    <row r="10" customFormat="false" ht="15" hidden="false" customHeight="false" outlineLevel="0" collapsed="false">
      <c r="A10" s="23" t="s">
        <v>327</v>
      </c>
      <c r="B10" s="21" t="s">
        <v>479</v>
      </c>
      <c r="C10" s="23" t="n">
        <v>8</v>
      </c>
      <c r="D10" s="23" t="n">
        <v>0</v>
      </c>
      <c r="E10" s="23" t="n">
        <v>8</v>
      </c>
      <c r="F10" s="23" t="n">
        <v>0</v>
      </c>
      <c r="G10" s="23" t="n">
        <v>0</v>
      </c>
      <c r="H10" s="23" t="s">
        <v>464</v>
      </c>
    </row>
    <row r="11" customFormat="false" ht="15" hidden="false" customHeight="false" outlineLevel="0" collapsed="false">
      <c r="A11" s="23" t="s">
        <v>345</v>
      </c>
      <c r="B11" s="21" t="s">
        <v>480</v>
      </c>
      <c r="C11" s="23" t="n">
        <v>7</v>
      </c>
      <c r="D11" s="23" t="n">
        <v>1</v>
      </c>
      <c r="E11" s="23" t="n">
        <v>6</v>
      </c>
      <c r="F11" s="23" t="n">
        <v>0</v>
      </c>
      <c r="G11" s="23" t="n">
        <v>0</v>
      </c>
      <c r="H11" s="23" t="s">
        <v>481</v>
      </c>
    </row>
    <row r="12" customFormat="false" ht="15" hidden="false" customHeight="false" outlineLevel="0" collapsed="false">
      <c r="A12" s="24" t="s">
        <v>482</v>
      </c>
      <c r="B12" s="24" t="s">
        <v>483</v>
      </c>
      <c r="C12" s="24" t="n">
        <f aca="false">SUM(C2:C11)</f>
        <v>116</v>
      </c>
      <c r="D12" s="24" t="n">
        <f aca="false">SUM(D2:D11)</f>
        <v>28</v>
      </c>
      <c r="E12" s="24" t="n">
        <f aca="false">SUM(E2:E11)</f>
        <v>86</v>
      </c>
      <c r="F12" s="24" t="n">
        <f aca="false">SUM(F2:F11)</f>
        <v>2</v>
      </c>
      <c r="G12" s="24" t="n">
        <f aca="false">SUM(G2:G11)</f>
        <v>10</v>
      </c>
      <c r="H12" s="24" t="s">
        <v>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2026-02-13T03:41:29Z</dcterms:created>
  <dc:creator>openpyxl</dc:creator>
  <dc:description/>
  <dc:language>en-US</dc:language>
  <cp:lastModifiedBy/>
  <dcterms:modified xsi:type="dcterms:W3CDTF">2026-02-13T03:41:31Z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