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15" yWindow="2010" windowWidth="21600" windowHeight="11970" tabRatio="500" firstSheet="4" activeTab="8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evenue" sheetId="3" state="visible" r:id="rId3"/>
    <sheet xmlns:r="http://schemas.openxmlformats.org/officeDocument/2006/relationships" name="P&amp;L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Balance Sheet" sheetId="6" state="visible" r:id="rId6"/>
    <sheet xmlns:r="http://schemas.openxmlformats.org/officeDocument/2006/relationships" name="Cap Table" sheetId="7" state="visible" r:id="rId7"/>
    <sheet xmlns:r="http://schemas.openxmlformats.org/officeDocument/2006/relationships" name="Sensitivity" sheetId="8" state="visible" r:id="rId8"/>
    <sheet xmlns:r="http://schemas.openxmlformats.org/officeDocument/2006/relationships" name="Break-Even" sheetId="9" state="visible" r:id="rId9"/>
  </sheets>
  <definedNames>
    <definedName name="_xlnm.Print_Titles" localSheetId="1">'Assumptions'!$1:$4</definedName>
    <definedName name="_xlnm.Print_Titles" localSheetId="2">'Revenue'!$1:$1</definedName>
  </definedNames>
  <calcPr calcId="191029" fullCalcOnLoad="1"/>
</workbook>
</file>

<file path=xl/styles.xml><?xml version="1.0" encoding="utf-8"?>
<styleSheet xmlns="http://schemas.openxmlformats.org/spreadsheetml/2006/main">
  <numFmts count="13">
    <numFmt numFmtId="164" formatCode="0.0%"/>
    <numFmt numFmtId="165" formatCode="#,##0.0"/>
    <numFmt numFmtId="166" formatCode="#,##0.000"/>
    <numFmt numFmtId="167" formatCode="#,##0.0;\(#,##0.0\);\-"/>
    <numFmt numFmtId="168" formatCode="#,##0.00;\(#,##0.00\);\-"/>
    <numFmt numFmtId="169" formatCode="0.00\x"/>
    <numFmt numFmtId="170" formatCode="\+0.00%;\-0.00%"/>
    <numFmt numFmtId="171" formatCode="#,##0.0\x"/>
    <numFmt numFmtId="172" formatCode="\+#,##0.0;\-#,##0.0"/>
    <numFmt numFmtId="173" formatCode="0\x"/>
    <numFmt numFmtId="174" formatCode="\+0.0%;\-0.0%"/>
    <numFmt numFmtId="175" formatCode="0.0\x"/>
    <numFmt numFmtId="176" formatCode="\+#,##0.0\x"/>
  </numFmts>
  <fonts count="25">
    <font>
      <name val="Calibri"/>
      <charset val="1"/>
      <family val="2"/>
      <color theme="1"/>
      <sz val="11"/>
    </font>
    <font>
      <name val="Calibri"/>
      <family val="2"/>
      <i val="1"/>
      <color rgb="FF999999"/>
      <sz val="11"/>
    </font>
    <font>
      <name val="Calibri"/>
      <family val="2"/>
      <b val="1"/>
      <color rgb="FFFFFFFF"/>
      <sz val="14"/>
    </font>
    <font>
      <name val="Calibri"/>
      <family val="2"/>
      <i val="1"/>
      <color rgb="FF666666"/>
      <sz val="10"/>
    </font>
    <font>
      <name val="Calibri"/>
      <family val="2"/>
      <b val="1"/>
      <color rgb="FFFFFFFF"/>
      <sz val="11"/>
    </font>
    <font>
      <name val="Calibri"/>
      <family val="2"/>
      <b val="1"/>
      <color rgb="FFFF3E00"/>
      <sz val="11"/>
    </font>
    <font>
      <name val="Calibri"/>
      <family val="2"/>
      <sz val="11"/>
    </font>
    <font>
      <name val="Calibri"/>
      <family val="2"/>
      <color rgb="FF0000FF"/>
      <sz val="11"/>
    </font>
    <font>
      <name val="Calibri"/>
      <family val="2"/>
      <color rgb="FF000000"/>
      <sz val="11"/>
    </font>
    <font>
      <name val="Calibri"/>
      <family val="2"/>
      <b val="1"/>
      <sz val="11"/>
    </font>
    <font>
      <name val="Calibri"/>
      <family val="2"/>
      <b val="1"/>
      <color rgb="FF333333"/>
      <sz val="10"/>
    </font>
    <font>
      <name val="Calibri"/>
      <family val="2"/>
      <color rgb="FF008000"/>
      <sz val="11"/>
    </font>
    <font>
      <name val="Calibri"/>
      <family val="2"/>
      <b val="1"/>
      <color rgb="FFFF3E00"/>
      <sz val="12"/>
    </font>
    <font>
      <name val="Calibri"/>
      <family val="2"/>
      <b val="1"/>
      <color rgb="FF000000"/>
      <sz val="12"/>
    </font>
    <font>
      <name val="Calibri"/>
      <family val="2"/>
      <b val="1"/>
      <color rgb="FF008000"/>
      <sz val="11"/>
    </font>
    <font>
      <name val="Calibri"/>
      <family val="2"/>
      <b val="1"/>
      <color rgb="FF000000"/>
      <sz val="11"/>
    </font>
    <font>
      <name val="Calibri"/>
      <family val="2"/>
      <b val="1"/>
      <sz val="12"/>
    </font>
    <font>
      <name val="Calibri"/>
      <family val="2"/>
      <b val="1"/>
      <color rgb="FFFF3E00"/>
      <sz val="13"/>
    </font>
    <font>
      <name val="Calibri"/>
      <family val="2"/>
      <color rgb="FFCC0000"/>
      <sz val="11"/>
    </font>
    <font>
      <name val="Calibri"/>
      <family val="2"/>
      <b val="1"/>
      <color rgb="FF0000FF"/>
      <sz val="12"/>
    </font>
    <font>
      <name val="Calibri"/>
      <family val="2"/>
      <b val="1"/>
      <i val="1"/>
      <color rgb="FFFF3E00"/>
      <sz val="10"/>
    </font>
    <font>
      <name val="Calibri"/>
      <family val="2"/>
      <b val="1"/>
      <color rgb="FF1B5E20"/>
      <sz val="11"/>
    </font>
    <font>
      <name val="Calibri"/>
      <family val="2"/>
      <b val="1"/>
      <color rgb="FFCC0000"/>
      <sz val="11"/>
    </font>
    <font>
      <name val="Calibri"/>
      <family val="2"/>
      <b val="1"/>
      <i val="1"/>
      <color rgb="FF008000"/>
      <sz val="10"/>
    </font>
    <font>
      <name val="Calibri"/>
      <family val="2"/>
      <color rgb="FF2E7D32"/>
      <sz val="11"/>
    </font>
  </fonts>
  <fills count="11">
    <fill>
      <patternFill/>
    </fill>
    <fill>
      <patternFill patternType="gray125"/>
    </fill>
    <fill>
      <patternFill patternType="solid">
        <fgColor rgb="FFFF3E00"/>
        <bgColor rgb="FFE65100"/>
      </patternFill>
    </fill>
    <fill>
      <patternFill patternType="solid">
        <fgColor rgb="FF333333"/>
        <bgColor rgb="FF003366"/>
      </patternFill>
    </fill>
    <fill>
      <patternFill patternType="solid">
        <fgColor rgb="FFF2F2F2"/>
        <bgColor rgb="FFF1F8E9"/>
      </patternFill>
    </fill>
    <fill>
      <patternFill patternType="solid">
        <fgColor rgb="FFFFF2CC"/>
        <bgColor rgb="FFFFEBEE"/>
      </patternFill>
    </fill>
    <fill>
      <patternFill patternType="solid">
        <fgColor rgb="FFE8F5E9"/>
        <bgColor rgb="FFF1F8E9"/>
      </patternFill>
    </fill>
    <fill>
      <patternFill patternType="solid">
        <fgColor rgb="FFE3F2FD"/>
        <bgColor rgb="FFE8F5E9"/>
      </patternFill>
    </fill>
    <fill>
      <patternFill patternType="solid">
        <fgColor rgb="FFFFEBEE"/>
        <bgColor rgb="FFF2F2F2"/>
      </patternFill>
    </fill>
    <fill>
      <patternFill patternType="solid">
        <fgColor rgb="FFC8E6C9"/>
        <bgColor rgb="FFCCCCCC"/>
      </patternFill>
    </fill>
    <fill>
      <patternFill patternType="solid">
        <fgColor rgb="FFF1F8E9"/>
        <bgColor rgb="FFE8F5E9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FF3E00"/>
      </bottom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333333"/>
      </top>
      <bottom style="double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96">
    <xf numFmtId="0" fontId="0" fillId="0" borderId="0" pivotButton="0" quotePrefix="0" xfId="0"/>
    <xf numFmtId="0" fontId="6" fillId="6" borderId="6" pivotButton="0" quotePrefix="0" xfId="0"/>
    <xf numFmtId="9" fontId="9" fillId="7" borderId="5" applyAlignment="1" pivotButton="0" quotePrefix="0" xfId="0">
      <alignment horizontal="center"/>
    </xf>
    <xf numFmtId="0" fontId="0" fillId="0" borderId="0" pivotButton="0" quotePrefix="0" xfId="0"/>
    <xf numFmtId="0" fontId="6" fillId="0" borderId="2" pivotButton="0" quotePrefix="0" xfId="0"/>
    <xf numFmtId="0" fontId="23" fillId="0" borderId="0" pivotButton="0" quotePrefix="0" xfId="0"/>
    <xf numFmtId="164" fontId="6" fillId="7" borderId="5" applyAlignment="1" pivotButton="0" quotePrefix="0" xfId="0">
      <alignment horizontal="center"/>
    </xf>
    <xf numFmtId="0" fontId="20" fillId="0" borderId="0" pivotButton="0" quotePrefix="0" xfId="0"/>
    <xf numFmtId="0" fontId="5" fillId="0" borderId="0" pivotButton="0" quotePrefix="0" xfId="0"/>
    <xf numFmtId="0" fontId="7" fillId="0" borderId="2" applyAlignment="1" pivotButton="0" quotePrefix="0" xfId="0">
      <alignment horizontal="center"/>
    </xf>
    <xf numFmtId="0" fontId="5" fillId="0" borderId="1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1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0" fontId="5" fillId="0" borderId="1" pivotButton="0" quotePrefix="0" xfId="0"/>
    <xf numFmtId="0" fontId="6" fillId="0" borderId="2" pivotButton="0" quotePrefix="0" xfId="0"/>
    <xf numFmtId="0" fontId="3" fillId="0" borderId="2" pivotButton="0" quotePrefix="0" xfId="0"/>
    <xf numFmtId="0" fontId="7" fillId="0" borderId="2" pivotButton="0" quotePrefix="0" xfId="0"/>
    <xf numFmtId="9" fontId="7" fillId="0" borderId="2" pivotButton="0" quotePrefix="0" xfId="0"/>
    <xf numFmtId="164" fontId="7" fillId="0" borderId="2" pivotButton="0" quotePrefix="0" xfId="0"/>
    <xf numFmtId="10" fontId="7" fillId="0" borderId="2" pivotButton="0" quotePrefix="0" xfId="0"/>
    <xf numFmtId="3" fontId="7" fillId="0" borderId="2" pivotButton="0" quotePrefix="0" xfId="0"/>
    <xf numFmtId="3" fontId="8" fillId="0" borderId="2" pivotButton="0" quotePrefix="0" xfId="0"/>
    <xf numFmtId="0" fontId="9" fillId="0" borderId="2" pivotButton="0" quotePrefix="0" xfId="0"/>
    <xf numFmtId="0" fontId="10" fillId="0" borderId="0" pivotButton="0" quotePrefix="0" xfId="0"/>
    <xf numFmtId="165" fontId="7" fillId="0" borderId="2" pivotButton="0" quotePrefix="0" xfId="0"/>
    <xf numFmtId="0" fontId="11" fillId="0" borderId="2" pivotButton="0" quotePrefix="0" xfId="0"/>
    <xf numFmtId="0" fontId="0" fillId="0" borderId="1" pivotButton="0" quotePrefix="0" xfId="0"/>
    <xf numFmtId="0" fontId="6" fillId="0" borderId="0" pivotButton="0" quotePrefix="0" xfId="0"/>
    <xf numFmtId="3" fontId="11" fillId="0" borderId="0" pivotButton="0" quotePrefix="0" xfId="0"/>
    <xf numFmtId="9" fontId="11" fillId="0" borderId="0" pivotButton="0" quotePrefix="0" xfId="0"/>
    <xf numFmtId="166" fontId="11" fillId="0" borderId="0" pivotButton="0" quotePrefix="0" xfId="0"/>
    <xf numFmtId="0" fontId="4" fillId="3" borderId="0" applyAlignment="1" pivotButton="0" quotePrefix="0" xfId="0">
      <alignment horizontal="center"/>
    </xf>
    <xf numFmtId="0" fontId="4" fillId="3" borderId="0" pivotButton="0" quotePrefix="0" xfId="0"/>
    <xf numFmtId="0" fontId="7" fillId="0" borderId="2" applyAlignment="1" pivotButton="0" quotePrefix="0" xfId="0">
      <alignment horizontal="center"/>
    </xf>
    <xf numFmtId="164" fontId="7" fillId="0" borderId="2" applyAlignment="1" pivotButton="0" quotePrefix="0" xfId="0">
      <alignment horizontal="center"/>
    </xf>
    <xf numFmtId="165" fontId="11" fillId="0" borderId="2" applyAlignment="1" pivotButton="0" quotePrefix="0" xfId="0">
      <alignment horizontal="center"/>
    </xf>
    <xf numFmtId="2" fontId="8" fillId="0" borderId="2" applyAlignment="1" pivotButton="0" quotePrefix="0" xfId="0">
      <alignment horizontal="center"/>
    </xf>
    <xf numFmtId="0" fontId="0" fillId="0" borderId="2" pivotButton="0" quotePrefix="0" xfId="0"/>
    <xf numFmtId="0" fontId="12" fillId="0" borderId="3" pivotButton="0" quotePrefix="0" xfId="0"/>
    <xf numFmtId="165" fontId="13" fillId="4" borderId="3" applyAlignment="1" pivotButton="0" quotePrefix="0" xfId="0">
      <alignment horizontal="center"/>
    </xf>
    <xf numFmtId="0" fontId="3" fillId="0" borderId="3" pivotButton="0" quotePrefix="0" xfId="0"/>
    <xf numFmtId="165" fontId="7" fillId="0" borderId="2" applyAlignment="1" pivotButton="0" quotePrefix="0" xfId="0">
      <alignment horizontal="center"/>
    </xf>
    <xf numFmtId="167" fontId="8" fillId="0" borderId="2" applyAlignment="1" pivotButton="0" quotePrefix="0" xfId="0">
      <alignment horizontal="center"/>
    </xf>
    <xf numFmtId="164" fontId="8" fillId="0" borderId="2" applyAlignment="1" pivotButton="0" quotePrefix="0" xfId="0">
      <alignment horizontal="center"/>
    </xf>
    <xf numFmtId="165" fontId="8" fillId="0" borderId="2" applyAlignment="1" pivotButton="0" quotePrefix="0" xfId="0">
      <alignment horizontal="center"/>
    </xf>
    <xf numFmtId="10" fontId="11" fillId="0" borderId="2" applyAlignment="1" pivotButton="0" quotePrefix="0" xfId="0">
      <alignment horizontal="center"/>
    </xf>
    <xf numFmtId="165" fontId="14" fillId="0" borderId="2" applyAlignment="1" pivotButton="0" quotePrefix="0" xfId="0">
      <alignment horizontal="center"/>
    </xf>
    <xf numFmtId="0" fontId="9" fillId="0" borderId="3" pivotButton="0" quotePrefix="0" xfId="0"/>
    <xf numFmtId="165" fontId="15" fillId="4" borderId="3" applyAlignment="1" pivotButton="0" quotePrefix="0" xfId="0">
      <alignment horizontal="center"/>
    </xf>
    <xf numFmtId="0" fontId="0" fillId="0" borderId="3" pivotButton="0" quotePrefix="0" xfId="0"/>
    <xf numFmtId="4" fontId="8" fillId="0" borderId="2" applyAlignment="1" pivotButton="0" quotePrefix="0" xfId="0">
      <alignment horizontal="center"/>
    </xf>
    <xf numFmtId="3" fontId="11" fillId="0" borderId="2" applyAlignment="1" pivotButton="0" quotePrefix="0" xfId="0">
      <alignment horizontal="center"/>
    </xf>
    <xf numFmtId="3" fontId="7" fillId="0" borderId="2" applyAlignment="1" pivotButton="0" quotePrefix="0" xfId="0">
      <alignment horizontal="center"/>
    </xf>
    <xf numFmtId="164" fontId="11" fillId="0" borderId="2" applyAlignment="1" pivotButton="0" quotePrefix="0" xfId="0">
      <alignment horizontal="center"/>
    </xf>
    <xf numFmtId="2" fontId="11" fillId="0" borderId="2" applyAlignment="1" pivotButton="0" quotePrefix="0" xfId="0">
      <alignment horizontal="center"/>
    </xf>
    <xf numFmtId="0" fontId="12" fillId="0" borderId="4" pivotButton="0" quotePrefix="0" xfId="0"/>
    <xf numFmtId="165" fontId="12" fillId="4" borderId="4" applyAlignment="1" pivotButton="0" quotePrefix="0" xfId="0">
      <alignment horizontal="center"/>
    </xf>
    <xf numFmtId="0" fontId="3" fillId="0" borderId="4" pivotButton="0" quotePrefix="0" xfId="0"/>
    <xf numFmtId="167" fontId="11" fillId="0" borderId="2" applyAlignment="1" pivotButton="0" quotePrefix="0" xfId="0">
      <alignment horizontal="center"/>
    </xf>
    <xf numFmtId="0" fontId="9" fillId="0" borderId="4" pivotButton="0" quotePrefix="0" xfId="0"/>
    <xf numFmtId="165" fontId="9" fillId="4" borderId="4" applyAlignment="1" pivotButton="0" quotePrefix="0" xfId="0">
      <alignment horizontal="center"/>
    </xf>
    <xf numFmtId="0" fontId="16" fillId="0" borderId="4" pivotButton="0" quotePrefix="0" xfId="0"/>
    <xf numFmtId="165" fontId="16" fillId="4" borderId="4" applyAlignment="1" pivotButton="0" quotePrefix="0" xfId="0">
      <alignment horizontal="center"/>
    </xf>
    <xf numFmtId="167" fontId="7" fillId="0" borderId="2" applyAlignment="1" pivotButton="0" quotePrefix="0" xfId="0">
      <alignment horizontal="center"/>
    </xf>
    <xf numFmtId="0" fontId="17" fillId="0" borderId="3" pivotButton="0" quotePrefix="0" xfId="0"/>
    <xf numFmtId="167" fontId="16" fillId="5" borderId="3" applyAlignment="1" pivotButton="0" quotePrefix="0" xfId="0">
      <alignment horizontal="center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4" fontId="7" fillId="0" borderId="2" applyAlignment="1" pivotButton="0" quotePrefix="0" xfId="0">
      <alignment horizontal="center"/>
    </xf>
    <xf numFmtId="4" fontId="11" fillId="0" borderId="2" applyAlignment="1" pivotButton="0" quotePrefix="0" xfId="0">
      <alignment horizontal="center"/>
    </xf>
    <xf numFmtId="168" fontId="8" fillId="0" borderId="2" applyAlignment="1" pivotButton="0" quotePrefix="0" xfId="0">
      <alignment horizontal="center"/>
    </xf>
    <xf numFmtId="167" fontId="9" fillId="4" borderId="4" applyAlignment="1" pivotButton="0" quotePrefix="0" xfId="0">
      <alignment horizontal="center"/>
    </xf>
    <xf numFmtId="0" fontId="16" fillId="0" borderId="3" pivotButton="0" quotePrefix="0" xfId="0"/>
    <xf numFmtId="0" fontId="9" fillId="0" borderId="2" applyAlignment="1" pivotButton="0" quotePrefix="0" xfId="0">
      <alignment horizontal="center"/>
    </xf>
    <xf numFmtId="0" fontId="0" fillId="0" borderId="4" pivotButton="0" quotePrefix="0" xfId="0"/>
    <xf numFmtId="167" fontId="16" fillId="4" borderId="4" applyAlignment="1" pivotButton="0" quotePrefix="0" xfId="0">
      <alignment horizontal="center"/>
    </xf>
    <xf numFmtId="166" fontId="14" fillId="0" borderId="2" applyAlignment="1" pivotButton="0" quotePrefix="0" xfId="0">
      <alignment horizontal="center"/>
    </xf>
    <xf numFmtId="169" fontId="8" fillId="0" borderId="2" applyAlignment="1" pivotButton="0" quotePrefix="0" xfId="0">
      <alignment horizontal="center"/>
    </xf>
    <xf numFmtId="0" fontId="4" fillId="3" borderId="0" applyAlignment="1" pivotButton="0" quotePrefix="0" xfId="0">
      <alignment horizontal="center" wrapText="1"/>
    </xf>
    <xf numFmtId="1" fontId="7" fillId="0" borderId="2" applyAlignment="1" pivotButton="0" quotePrefix="0" xfId="0">
      <alignment horizontal="center"/>
    </xf>
    <xf numFmtId="0" fontId="6" fillId="6" borderId="2" pivotButton="0" quotePrefix="0" xfId="0"/>
    <xf numFmtId="10" fontId="7" fillId="6" borderId="2" applyAlignment="1" pivotButton="0" quotePrefix="0" xfId="0">
      <alignment horizontal="center"/>
    </xf>
    <xf numFmtId="0" fontId="9" fillId="6" borderId="4" pivotButton="0" quotePrefix="0" xfId="0"/>
    <xf numFmtId="10" fontId="14" fillId="6" borderId="4" applyAlignment="1" pivotButton="0" quotePrefix="0" xfId="0">
      <alignment horizontal="center"/>
    </xf>
    <xf numFmtId="10" fontId="7" fillId="0" borderId="2" applyAlignment="1" pivotButton="0" quotePrefix="0" xfId="0">
      <alignment horizontal="center"/>
    </xf>
    <xf numFmtId="10" fontId="9" fillId="0" borderId="4" applyAlignment="1" pivotButton="0" quotePrefix="0" xfId="0">
      <alignment horizontal="center"/>
    </xf>
    <xf numFmtId="0" fontId="6" fillId="0" borderId="3" pivotButton="0" quotePrefix="0" xfId="0"/>
    <xf numFmtId="10" fontId="14" fillId="0" borderId="3" applyAlignment="1" pivotButton="0" quotePrefix="0" xfId="0">
      <alignment horizontal="center"/>
    </xf>
    <xf numFmtId="170" fontId="18" fillId="0" borderId="2" applyAlignment="1" pivotButton="0" quotePrefix="0" xfId="0">
      <alignment horizontal="center"/>
    </xf>
    <xf numFmtId="3" fontId="12" fillId="0" borderId="2" applyAlignment="1" pivotButton="0" quotePrefix="0" xfId="0">
      <alignment horizontal="center"/>
    </xf>
    <xf numFmtId="0" fontId="12" fillId="0" borderId="2" applyAlignment="1" pivotButton="0" quotePrefix="0" xfId="0">
      <alignment horizontal="center"/>
    </xf>
    <xf numFmtId="3" fontId="8" fillId="6" borderId="2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3" fontId="9" fillId="6" borderId="4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3" fontId="8" fillId="0" borderId="2" applyAlignment="1" pivotButton="0" quotePrefix="0" xfId="0">
      <alignment horizontal="center"/>
    </xf>
    <xf numFmtId="171" fontId="14" fillId="0" borderId="2" applyAlignment="1" pivotButton="0" quotePrefix="0" xfId="0">
      <alignment horizontal="center"/>
    </xf>
    <xf numFmtId="10" fontId="14" fillId="0" borderId="4" applyAlignment="1" pivotButton="0" quotePrefix="0" xfId="0">
      <alignment horizontal="center"/>
    </xf>
    <xf numFmtId="3" fontId="9" fillId="0" borderId="4" applyAlignment="1" pivotButton="0" quotePrefix="0" xfId="0">
      <alignment horizontal="center"/>
    </xf>
    <xf numFmtId="165" fontId="7" fillId="0" borderId="4" applyAlignment="1" pivotButton="0" quotePrefix="0" xfId="0">
      <alignment horizontal="center"/>
    </xf>
    <xf numFmtId="171" fontId="14" fillId="0" borderId="4" applyAlignment="1" pivotButton="0" quotePrefix="0" xfId="0">
      <alignment horizontal="center"/>
    </xf>
    <xf numFmtId="0" fontId="17" fillId="5" borderId="3" pivotButton="0" quotePrefix="0" xfId="0"/>
    <xf numFmtId="0" fontId="0" fillId="5" borderId="3" pivotButton="0" quotePrefix="0" xfId="0"/>
    <xf numFmtId="3" fontId="17" fillId="5" borderId="3" applyAlignment="1" pivotButton="0" quotePrefix="0" xfId="0">
      <alignment horizontal="center"/>
    </xf>
    <xf numFmtId="3" fontId="9" fillId="0" borderId="2" applyAlignment="1" pivotButton="0" quotePrefix="0" xfId="0">
      <alignment horizontal="center"/>
    </xf>
    <xf numFmtId="10" fontId="8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9" fontId="7" fillId="0" borderId="0" applyAlignment="1" pivotButton="0" quotePrefix="0" xfId="0">
      <alignment horizontal="center"/>
    </xf>
    <xf numFmtId="3" fontId="7" fillId="0" borderId="0" applyAlignment="1" pivotButton="0" quotePrefix="0" xfId="0">
      <alignment horizontal="center"/>
    </xf>
    <xf numFmtId="9" fontId="6" fillId="0" borderId="0" applyAlignment="1" pivotButton="0" quotePrefix="0" xfId="0">
      <alignment horizontal="center"/>
    </xf>
    <xf numFmtId="165" fontId="8" fillId="0" borderId="5" applyAlignment="1" pivotButton="0" quotePrefix="0" xfId="0">
      <alignment horizontal="center"/>
    </xf>
    <xf numFmtId="9" fontId="8" fillId="0" borderId="5" applyAlignment="1" pivotButton="0" quotePrefix="0" xfId="0">
      <alignment horizontal="center"/>
    </xf>
    <xf numFmtId="9" fontId="9" fillId="7" borderId="0" applyAlignment="1" pivotButton="0" quotePrefix="0" xfId="0">
      <alignment horizontal="center"/>
    </xf>
    <xf numFmtId="165" fontId="9" fillId="7" borderId="5" applyAlignment="1" pivotButton="0" quotePrefix="0" xfId="0">
      <alignment horizontal="center"/>
    </xf>
    <xf numFmtId="165" fontId="14" fillId="7" borderId="5" applyAlignment="1" pivotButton="0" quotePrefix="0" xfId="0">
      <alignment horizontal="center"/>
    </xf>
    <xf numFmtId="9" fontId="9" fillId="7" borderId="5" applyAlignment="1" pivotButton="0" quotePrefix="0" xfId="0">
      <alignment horizontal="center"/>
    </xf>
    <xf numFmtId="9" fontId="9" fillId="0" borderId="0" applyAlignment="1" pivotButton="0" quotePrefix="0" xfId="0">
      <alignment horizontal="center"/>
    </xf>
    <xf numFmtId="165" fontId="18" fillId="8" borderId="5" applyAlignment="1" pivotButton="0" quotePrefix="0" xfId="0">
      <alignment horizontal="center"/>
    </xf>
    <xf numFmtId="165" fontId="11" fillId="6" borderId="5" applyAlignment="1" pivotButton="0" quotePrefix="0" xfId="0">
      <alignment horizontal="center"/>
    </xf>
    <xf numFmtId="165" fontId="19" fillId="7" borderId="5" applyAlignment="1" pivotButton="0" quotePrefix="0" xfId="0">
      <alignment horizontal="center"/>
    </xf>
    <xf numFmtId="3" fontId="8" fillId="0" borderId="5" applyAlignment="1" pivotButton="0" quotePrefix="0" xfId="0">
      <alignment horizontal="center"/>
    </xf>
    <xf numFmtId="172" fontId="8" fillId="0" borderId="5" applyAlignment="1" pivotButton="0" quotePrefix="0" xfId="0">
      <alignment horizontal="center"/>
    </xf>
    <xf numFmtId="3" fontId="9" fillId="7" borderId="5" applyAlignment="1" pivotButton="0" quotePrefix="0" xfId="0">
      <alignment horizontal="center"/>
    </xf>
    <xf numFmtId="172" fontId="9" fillId="7" borderId="5" applyAlignment="1" pivotButton="0" quotePrefix="0" xfId="0">
      <alignment horizontal="center"/>
    </xf>
    <xf numFmtId="0" fontId="9" fillId="8" borderId="5" applyAlignment="1" pivotButton="0" quotePrefix="0" xfId="0">
      <alignment horizontal="center"/>
    </xf>
    <xf numFmtId="3" fontId="8" fillId="8" borderId="5" applyAlignment="1" pivotButton="0" quotePrefix="0" xfId="0">
      <alignment horizontal="center"/>
    </xf>
    <xf numFmtId="9" fontId="8" fillId="8" borderId="5" applyAlignment="1" pivotButton="0" quotePrefix="0" xfId="0">
      <alignment horizontal="center"/>
    </xf>
    <xf numFmtId="173" fontId="8" fillId="8" borderId="5" applyAlignment="1" pivotButton="0" quotePrefix="0" xfId="0">
      <alignment horizontal="center"/>
    </xf>
    <xf numFmtId="171" fontId="8" fillId="8" borderId="5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173" fontId="8" fillId="0" borderId="5" applyAlignment="1" pivotButton="0" quotePrefix="0" xfId="0">
      <alignment horizontal="center"/>
    </xf>
    <xf numFmtId="171" fontId="8" fillId="0" borderId="5" applyAlignment="1" pivotButton="0" quotePrefix="0" xfId="0">
      <alignment horizontal="center"/>
    </xf>
    <xf numFmtId="0" fontId="9" fillId="7" borderId="5" applyAlignment="1" pivotButton="0" quotePrefix="0" xfId="0">
      <alignment horizontal="center"/>
    </xf>
    <xf numFmtId="173" fontId="9" fillId="7" borderId="5" applyAlignment="1" pivotButton="0" quotePrefix="0" xfId="0">
      <alignment horizontal="center"/>
    </xf>
    <xf numFmtId="171" fontId="9" fillId="7" borderId="5" applyAlignment="1" pivotButton="0" quotePrefix="0" xfId="0">
      <alignment horizontal="center"/>
    </xf>
    <xf numFmtId="0" fontId="9" fillId="6" borderId="5" applyAlignment="1" pivotButton="0" quotePrefix="0" xfId="0">
      <alignment horizontal="center"/>
    </xf>
    <xf numFmtId="3" fontId="8" fillId="6" borderId="5" applyAlignment="1" pivotButton="0" quotePrefix="0" xfId="0">
      <alignment horizontal="center"/>
    </xf>
    <xf numFmtId="9" fontId="8" fillId="6" borderId="5" applyAlignment="1" pivotButton="0" quotePrefix="0" xfId="0">
      <alignment horizontal="center"/>
    </xf>
    <xf numFmtId="173" fontId="8" fillId="6" borderId="5" applyAlignment="1" pivotButton="0" quotePrefix="0" xfId="0">
      <alignment horizontal="center"/>
    </xf>
    <xf numFmtId="171" fontId="8" fillId="6" borderId="5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174" fontId="8" fillId="0" borderId="5" applyAlignment="1" pivotButton="0" quotePrefix="0" xfId="0">
      <alignment horizontal="center"/>
    </xf>
    <xf numFmtId="175" fontId="8" fillId="0" borderId="5" applyAlignment="1" pivotButton="0" quotePrefix="0" xfId="0">
      <alignment horizontal="center"/>
    </xf>
    <xf numFmtId="174" fontId="9" fillId="7" borderId="5" applyAlignment="1" pivotButton="0" quotePrefix="0" xfId="0">
      <alignment horizontal="center"/>
    </xf>
    <xf numFmtId="164" fontId="8" fillId="0" borderId="5" applyAlignment="1" pivotButton="0" quotePrefix="0" xfId="0">
      <alignment horizontal="center"/>
    </xf>
    <xf numFmtId="164" fontId="9" fillId="7" borderId="5" applyAlignment="1" pivotButton="0" quotePrefix="0" xfId="0">
      <alignment horizontal="center"/>
    </xf>
    <xf numFmtId="0" fontId="4" fillId="3" borderId="0" applyAlignment="1" pivotButton="0" quotePrefix="0" xfId="0">
      <alignment wrapText="1"/>
    </xf>
    <xf numFmtId="0" fontId="6" fillId="0" borderId="0" applyAlignment="1" pivotButton="0" quotePrefix="0" xfId="0">
      <alignment horizontal="left"/>
    </xf>
    <xf numFmtId="3" fontId="18" fillId="8" borderId="5" applyAlignment="1" pivotButton="0" quotePrefix="0" xfId="0">
      <alignment horizontal="center"/>
    </xf>
    <xf numFmtId="3" fontId="11" fillId="6" borderId="5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3" fontId="19" fillId="7" borderId="5" applyAlignment="1" pivotButton="0" quotePrefix="0" xfId="0">
      <alignment horizontal="center"/>
    </xf>
    <xf numFmtId="3" fontId="21" fillId="9" borderId="5" applyAlignment="1" pivotButton="0" quotePrefix="0" xfId="0">
      <alignment horizontal="center"/>
    </xf>
    <xf numFmtId="9" fontId="7" fillId="0" borderId="2" applyAlignment="1" pivotButton="0" quotePrefix="0" xfId="0">
      <alignment horizontal="center"/>
    </xf>
    <xf numFmtId="166" fontId="7" fillId="0" borderId="2" applyAlignment="1" pivotButton="0" quotePrefix="0" xfId="0">
      <alignment horizontal="center"/>
    </xf>
    <xf numFmtId="166" fontId="9" fillId="0" borderId="2" applyAlignment="1" pivotButton="0" quotePrefix="0" xfId="0">
      <alignment horizontal="center"/>
    </xf>
    <xf numFmtId="0" fontId="12" fillId="0" borderId="0" pivotButton="0" quotePrefix="0" xfId="0"/>
    <xf numFmtId="3" fontId="14" fillId="0" borderId="2" applyAlignment="1" pivotButton="0" quotePrefix="0" xfId="0">
      <alignment horizontal="center"/>
    </xf>
    <xf numFmtId="164" fontId="17" fillId="5" borderId="2" applyAlignment="1" pivotButton="0" quotePrefix="0" xfId="0">
      <alignment horizontal="center"/>
    </xf>
    <xf numFmtId="164" fontId="6" fillId="5" borderId="5" applyAlignment="1" pivotButton="0" quotePrefix="0" xfId="0">
      <alignment horizontal="center"/>
    </xf>
    <xf numFmtId="3" fontId="6" fillId="5" borderId="5" applyAlignment="1" pivotButton="0" quotePrefix="0" xfId="0">
      <alignment horizontal="center"/>
    </xf>
    <xf numFmtId="166" fontId="6" fillId="5" borderId="5" applyAlignment="1" pivotButton="0" quotePrefix="0" xfId="0">
      <alignment horizontal="center"/>
    </xf>
    <xf numFmtId="176" fontId="22" fillId="5" borderId="5" applyAlignment="1" pivotButton="0" quotePrefix="0" xfId="0">
      <alignment horizontal="center"/>
    </xf>
    <xf numFmtId="164" fontId="6" fillId="0" borderId="5" applyAlignment="1" pivotButton="0" quotePrefix="0" xfId="0">
      <alignment horizontal="center"/>
    </xf>
    <xf numFmtId="3" fontId="6" fillId="0" borderId="5" applyAlignment="1" pivotButton="0" quotePrefix="0" xfId="0">
      <alignment horizontal="center"/>
    </xf>
    <xf numFmtId="166" fontId="6" fillId="0" borderId="5" applyAlignment="1" pivotButton="0" quotePrefix="0" xfId="0">
      <alignment horizontal="center"/>
    </xf>
    <xf numFmtId="176" fontId="6" fillId="0" borderId="5" applyAlignment="1" pivotButton="0" quotePrefix="0" xfId="0">
      <alignment horizontal="center"/>
    </xf>
    <xf numFmtId="165" fontId="6" fillId="0" borderId="5" applyAlignment="1" pivotButton="0" quotePrefix="0" xfId="0">
      <alignment horizontal="center"/>
    </xf>
    <xf numFmtId="9" fontId="6" fillId="0" borderId="5" applyAlignment="1" pivotButton="0" quotePrefix="0" xfId="0">
      <alignment horizontal="center"/>
    </xf>
    <xf numFmtId="165" fontId="6" fillId="5" borderId="5" applyAlignment="1" pivotButton="0" quotePrefix="0" xfId="0">
      <alignment horizontal="center"/>
    </xf>
    <xf numFmtId="9" fontId="6" fillId="5" borderId="5" applyAlignment="1" pivotButton="0" quotePrefix="0" xfId="0">
      <alignment horizontal="center"/>
    </xf>
    <xf numFmtId="166" fontId="9" fillId="7" borderId="5" applyAlignment="1" pivotButton="0" quotePrefix="0" xfId="0">
      <alignment horizontal="center"/>
    </xf>
    <xf numFmtId="165" fontId="6" fillId="0" borderId="2" applyAlignment="1" pivotButton="0" quotePrefix="0" xfId="0">
      <alignment horizontal="center"/>
    </xf>
    <xf numFmtId="165" fontId="18" fillId="0" borderId="2" applyAlignment="1" pivotButton="0" quotePrefix="0" xfId="0">
      <alignment horizontal="center"/>
    </xf>
    <xf numFmtId="165" fontId="14" fillId="5" borderId="3" applyAlignment="1" pivotButton="0" quotePrefix="0" xfId="0">
      <alignment horizontal="center"/>
    </xf>
    <xf numFmtId="165" fontId="22" fillId="0" borderId="3" applyAlignment="1" pivotButton="0" quotePrefix="0" xfId="0">
      <alignment horizontal="center"/>
    </xf>
    <xf numFmtId="165" fontId="17" fillId="5" borderId="3" applyAlignment="1" pivotButton="0" quotePrefix="0" xfId="0">
      <alignment horizontal="center"/>
    </xf>
    <xf numFmtId="0" fontId="6" fillId="0" borderId="5" pivotButton="0" quotePrefix="0" xfId="0"/>
    <xf numFmtId="0" fontId="18" fillId="0" borderId="5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14" fillId="6" borderId="5" applyAlignment="1" pivotButton="0" quotePrefix="0" xfId="0">
      <alignment horizontal="center"/>
    </xf>
    <xf numFmtId="0" fontId="3" fillId="0" borderId="5" pivotButton="0" quotePrefix="0" xfId="0"/>
    <xf numFmtId="4" fontId="6" fillId="0" borderId="5" applyAlignment="1" pivotButton="0" quotePrefix="0" xfId="0">
      <alignment horizontal="center"/>
    </xf>
    <xf numFmtId="3" fontId="18" fillId="0" borderId="5" applyAlignment="1" pivotButton="0" quotePrefix="0" xfId="0">
      <alignment horizontal="center"/>
    </xf>
    <xf numFmtId="0" fontId="6" fillId="8" borderId="0" pivotButton="0" quotePrefix="0" xfId="0"/>
    <xf numFmtId="0" fontId="6" fillId="0" borderId="0" applyAlignment="1" pivotButton="0" quotePrefix="0" xfId="0">
      <alignment horizontal="center"/>
    </xf>
    <xf numFmtId="3" fontId="6" fillId="8" borderId="5" applyAlignment="1" pivotButton="0" quotePrefix="0" xfId="0">
      <alignment horizontal="center"/>
    </xf>
    <xf numFmtId="0" fontId="6" fillId="8" borderId="5" applyAlignment="1" pivotButton="0" quotePrefix="0" xfId="0">
      <alignment horizontal="center"/>
    </xf>
    <xf numFmtId="0" fontId="3" fillId="8" borderId="5" pivotButton="0" quotePrefix="0" xfId="0"/>
    <xf numFmtId="0" fontId="9" fillId="6" borderId="0" pivotButton="0" quotePrefix="0" xfId="0"/>
    <xf numFmtId="3" fontId="6" fillId="6" borderId="5" applyAlignment="1" pivotButton="0" quotePrefix="0" xfId="0">
      <alignment horizontal="center"/>
    </xf>
    <xf numFmtId="0" fontId="6" fillId="6" borderId="5" applyAlignment="1" pivotButton="0" quotePrefix="0" xfId="0">
      <alignment horizontal="center"/>
    </xf>
    <xf numFmtId="3" fontId="12" fillId="6" borderId="5" applyAlignment="1" pivotButton="0" quotePrefix="0" xfId="0">
      <alignment horizontal="center"/>
    </xf>
    <xf numFmtId="0" fontId="5" fillId="6" borderId="5" pivotButton="0" quotePrefix="0" xfId="0"/>
    <xf numFmtId="0" fontId="6" fillId="6" borderId="0" pivotButton="0" quotePrefix="0" xfId="0"/>
    <xf numFmtId="3" fontId="14" fillId="6" borderId="5" applyAlignment="1" pivotButton="0" quotePrefix="0" xfId="0">
      <alignment horizontal="center"/>
    </xf>
    <xf numFmtId="0" fontId="3" fillId="6" borderId="5" pivotButton="0" quotePrefix="0" xfId="0"/>
    <xf numFmtId="0" fontId="7" fillId="0" borderId="5" applyAlignment="1" pivotButton="0" quotePrefix="0" xfId="0">
      <alignment horizontal="center"/>
    </xf>
    <xf numFmtId="0" fontId="11" fillId="10" borderId="5" applyAlignment="1" pivotButton="0" quotePrefix="0" xfId="0">
      <alignment horizontal="center"/>
    </xf>
    <xf numFmtId="0" fontId="24" fillId="6" borderId="5" applyAlignment="1" pivotButton="0" quotePrefix="0" xfId="0">
      <alignment horizontal="center"/>
    </xf>
    <xf numFmtId="9" fontId="7" fillId="0" borderId="2" pivotButton="0" quotePrefix="0" xfId="0"/>
    <xf numFmtId="164" fontId="7" fillId="0" borderId="2" pivotButton="0" quotePrefix="0" xfId="0"/>
    <xf numFmtId="10" fontId="7" fillId="0" borderId="2" pivotButton="0" quotePrefix="0" xfId="0"/>
    <xf numFmtId="165" fontId="7" fillId="0" borderId="2" pivotButton="0" quotePrefix="0" xfId="0"/>
    <xf numFmtId="9" fontId="11" fillId="0" borderId="0" pivotButton="0" quotePrefix="0" xfId="0"/>
    <xf numFmtId="166" fontId="11" fillId="0" borderId="0" pivotButton="0" quotePrefix="0" xfId="0"/>
    <xf numFmtId="164" fontId="7" fillId="0" borderId="2" applyAlignment="1" pivotButton="0" quotePrefix="0" xfId="0">
      <alignment horizontal="center"/>
    </xf>
    <xf numFmtId="165" fontId="11" fillId="0" borderId="2" applyAlignment="1" pivotButton="0" quotePrefix="0" xfId="0">
      <alignment horizontal="center"/>
    </xf>
    <xf numFmtId="165" fontId="13" fillId="4" borderId="3" applyAlignment="1" pivotButton="0" quotePrefix="0" xfId="0">
      <alignment horizontal="center"/>
    </xf>
    <xf numFmtId="165" fontId="7" fillId="0" borderId="2" applyAlignment="1" pivotButton="0" quotePrefix="0" xfId="0">
      <alignment horizontal="center"/>
    </xf>
    <xf numFmtId="167" fontId="8" fillId="0" borderId="2" applyAlignment="1" pivotButton="0" quotePrefix="0" xfId="0">
      <alignment horizontal="center"/>
    </xf>
    <xf numFmtId="164" fontId="8" fillId="0" borderId="2" applyAlignment="1" pivotButton="0" quotePrefix="0" xfId="0">
      <alignment horizontal="center"/>
    </xf>
    <xf numFmtId="165" fontId="8" fillId="0" borderId="2" applyAlignment="1" pivotButton="0" quotePrefix="0" xfId="0">
      <alignment horizontal="center"/>
    </xf>
    <xf numFmtId="10" fontId="11" fillId="0" borderId="2" applyAlignment="1" pivotButton="0" quotePrefix="0" xfId="0">
      <alignment horizontal="center"/>
    </xf>
    <xf numFmtId="165" fontId="14" fillId="0" borderId="2" applyAlignment="1" pivotButton="0" quotePrefix="0" xfId="0">
      <alignment horizontal="center"/>
    </xf>
    <xf numFmtId="165" fontId="15" fillId="4" borderId="3" applyAlignment="1" pivotButton="0" quotePrefix="0" xfId="0">
      <alignment horizontal="center"/>
    </xf>
    <xf numFmtId="164" fontId="11" fillId="0" borderId="2" applyAlignment="1" pivotButton="0" quotePrefix="0" xfId="0">
      <alignment horizontal="center"/>
    </xf>
    <xf numFmtId="165" fontId="12" fillId="4" borderId="4" applyAlignment="1" pivotButton="0" quotePrefix="0" xfId="0">
      <alignment horizontal="center"/>
    </xf>
    <xf numFmtId="167" fontId="11" fillId="0" borderId="2" applyAlignment="1" pivotButton="0" quotePrefix="0" xfId="0">
      <alignment horizontal="center"/>
    </xf>
    <xf numFmtId="165" fontId="9" fillId="4" borderId="4" applyAlignment="1" pivotButton="0" quotePrefix="0" xfId="0">
      <alignment horizontal="center"/>
    </xf>
    <xf numFmtId="165" fontId="16" fillId="4" borderId="4" applyAlignment="1" pivotButton="0" quotePrefix="0" xfId="0">
      <alignment horizontal="center"/>
    </xf>
    <xf numFmtId="167" fontId="7" fillId="0" borderId="2" applyAlignment="1" pivotButton="0" quotePrefix="0" xfId="0">
      <alignment horizontal="center"/>
    </xf>
    <xf numFmtId="167" fontId="16" fillId="5" borderId="3" applyAlignment="1" pivotButton="0" quotePrefix="0" xfId="0">
      <alignment horizontal="center"/>
    </xf>
    <xf numFmtId="168" fontId="8" fillId="0" borderId="2" applyAlignment="1" pivotButton="0" quotePrefix="0" xfId="0">
      <alignment horizontal="center"/>
    </xf>
    <xf numFmtId="167" fontId="9" fillId="4" borderId="4" applyAlignment="1" pivotButton="0" quotePrefix="0" xfId="0">
      <alignment horizontal="center"/>
    </xf>
    <xf numFmtId="167" fontId="16" fillId="4" borderId="4" applyAlignment="1" pivotButton="0" quotePrefix="0" xfId="0">
      <alignment horizontal="center"/>
    </xf>
    <xf numFmtId="166" fontId="14" fillId="0" borderId="2" applyAlignment="1" pivotButton="0" quotePrefix="0" xfId="0">
      <alignment horizontal="center"/>
    </xf>
    <xf numFmtId="169" fontId="8" fillId="0" borderId="2" applyAlignment="1" pivotButton="0" quotePrefix="0" xfId="0">
      <alignment horizontal="center"/>
    </xf>
    <xf numFmtId="10" fontId="7" fillId="6" borderId="2" applyAlignment="1" pivotButton="0" quotePrefix="0" xfId="0">
      <alignment horizontal="center"/>
    </xf>
    <xf numFmtId="10" fontId="14" fillId="6" borderId="4" applyAlignment="1" pivotButton="0" quotePrefix="0" xfId="0">
      <alignment horizontal="center"/>
    </xf>
    <xf numFmtId="10" fontId="7" fillId="0" borderId="2" applyAlignment="1" pivotButton="0" quotePrefix="0" xfId="0">
      <alignment horizontal="center"/>
    </xf>
    <xf numFmtId="10" fontId="9" fillId="0" borderId="4" applyAlignment="1" pivotButton="0" quotePrefix="0" xfId="0">
      <alignment horizontal="center"/>
    </xf>
    <xf numFmtId="10" fontId="14" fillId="0" borderId="3" applyAlignment="1" pivotButton="0" quotePrefix="0" xfId="0">
      <alignment horizontal="center"/>
    </xf>
    <xf numFmtId="170" fontId="18" fillId="0" borderId="2" applyAlignment="1" pivotButton="0" quotePrefix="0" xfId="0">
      <alignment horizontal="center"/>
    </xf>
    <xf numFmtId="171" fontId="14" fillId="0" borderId="2" applyAlignment="1" pivotButton="0" quotePrefix="0" xfId="0">
      <alignment horizontal="center"/>
    </xf>
    <xf numFmtId="10" fontId="14" fillId="0" borderId="4" applyAlignment="1" pivotButton="0" quotePrefix="0" xfId="0">
      <alignment horizontal="center"/>
    </xf>
    <xf numFmtId="165" fontId="7" fillId="0" borderId="4" applyAlignment="1" pivotButton="0" quotePrefix="0" xfId="0">
      <alignment horizontal="center"/>
    </xf>
    <xf numFmtId="171" fontId="14" fillId="0" borderId="4" applyAlignment="1" pivotButton="0" quotePrefix="0" xfId="0">
      <alignment horizontal="center"/>
    </xf>
    <xf numFmtId="10" fontId="8" fillId="0" borderId="2" applyAlignment="1" pivotButton="0" quotePrefix="0" xfId="0">
      <alignment horizontal="center"/>
    </xf>
    <xf numFmtId="9" fontId="7" fillId="0" borderId="0" applyAlignment="1" pivotButton="0" quotePrefix="0" xfId="0">
      <alignment horizontal="center"/>
    </xf>
    <xf numFmtId="9" fontId="6" fillId="0" borderId="0" applyAlignment="1" pivotButton="0" quotePrefix="0" xfId="0">
      <alignment horizontal="center"/>
    </xf>
    <xf numFmtId="165" fontId="8" fillId="0" borderId="5" applyAlignment="1" pivotButton="0" quotePrefix="0" xfId="0">
      <alignment horizontal="center"/>
    </xf>
    <xf numFmtId="9" fontId="8" fillId="0" borderId="5" applyAlignment="1" pivotButton="0" quotePrefix="0" xfId="0">
      <alignment horizontal="center"/>
    </xf>
    <xf numFmtId="9" fontId="9" fillId="7" borderId="0" applyAlignment="1" pivotButton="0" quotePrefix="0" xfId="0">
      <alignment horizontal="center"/>
    </xf>
    <xf numFmtId="165" fontId="9" fillId="7" borderId="5" applyAlignment="1" pivotButton="0" quotePrefix="0" xfId="0">
      <alignment horizontal="center"/>
    </xf>
    <xf numFmtId="165" fontId="14" fillId="7" borderId="5" applyAlignment="1" pivotButton="0" quotePrefix="0" xfId="0">
      <alignment horizontal="center"/>
    </xf>
    <xf numFmtId="9" fontId="9" fillId="7" borderId="5" applyAlignment="1" pivotButton="0" quotePrefix="0" xfId="0">
      <alignment horizontal="center"/>
    </xf>
    <xf numFmtId="9" fontId="9" fillId="0" borderId="0" applyAlignment="1" pivotButton="0" quotePrefix="0" xfId="0">
      <alignment horizontal="center"/>
    </xf>
    <xf numFmtId="165" fontId="18" fillId="8" borderId="5" applyAlignment="1" pivotButton="0" quotePrefix="0" xfId="0">
      <alignment horizontal="center"/>
    </xf>
    <xf numFmtId="165" fontId="11" fillId="6" borderId="5" applyAlignment="1" pivotButton="0" quotePrefix="0" xfId="0">
      <alignment horizontal="center"/>
    </xf>
    <xf numFmtId="165" fontId="19" fillId="7" borderId="5" applyAlignment="1" pivotButton="0" quotePrefix="0" xfId="0">
      <alignment horizontal="center"/>
    </xf>
    <xf numFmtId="172" fontId="8" fillId="0" borderId="5" applyAlignment="1" pivotButton="0" quotePrefix="0" xfId="0">
      <alignment horizontal="center"/>
    </xf>
    <xf numFmtId="172" fontId="9" fillId="7" borderId="5" applyAlignment="1" pivotButton="0" quotePrefix="0" xfId="0">
      <alignment horizontal="center"/>
    </xf>
    <xf numFmtId="9" fontId="8" fillId="8" borderId="5" applyAlignment="1" pivotButton="0" quotePrefix="0" xfId="0">
      <alignment horizontal="center"/>
    </xf>
    <xf numFmtId="173" fontId="8" fillId="8" borderId="5" applyAlignment="1" pivotButton="0" quotePrefix="0" xfId="0">
      <alignment horizontal="center"/>
    </xf>
    <xf numFmtId="171" fontId="8" fillId="8" borderId="5" applyAlignment="1" pivotButton="0" quotePrefix="0" xfId="0">
      <alignment horizontal="center"/>
    </xf>
    <xf numFmtId="173" fontId="8" fillId="0" borderId="5" applyAlignment="1" pivotButton="0" quotePrefix="0" xfId="0">
      <alignment horizontal="center"/>
    </xf>
    <xf numFmtId="171" fontId="8" fillId="0" borderId="5" applyAlignment="1" pivotButton="0" quotePrefix="0" xfId="0">
      <alignment horizontal="center"/>
    </xf>
    <xf numFmtId="173" fontId="9" fillId="7" borderId="5" applyAlignment="1" pivotButton="0" quotePrefix="0" xfId="0">
      <alignment horizontal="center"/>
    </xf>
    <xf numFmtId="171" fontId="9" fillId="7" borderId="5" applyAlignment="1" pivotButton="0" quotePrefix="0" xfId="0">
      <alignment horizontal="center"/>
    </xf>
    <xf numFmtId="9" fontId="8" fillId="6" borderId="5" applyAlignment="1" pivotButton="0" quotePrefix="0" xfId="0">
      <alignment horizontal="center"/>
    </xf>
    <xf numFmtId="173" fontId="8" fillId="6" borderId="5" applyAlignment="1" pivotButton="0" quotePrefix="0" xfId="0">
      <alignment horizontal="center"/>
    </xf>
    <xf numFmtId="171" fontId="8" fillId="6" borderId="5" applyAlignment="1" pivotButton="0" quotePrefix="0" xfId="0">
      <alignment horizontal="center"/>
    </xf>
    <xf numFmtId="174" fontId="8" fillId="0" borderId="5" applyAlignment="1" pivotButton="0" quotePrefix="0" xfId="0">
      <alignment horizontal="center"/>
    </xf>
    <xf numFmtId="175" fontId="8" fillId="0" borderId="5" applyAlignment="1" pivotButton="0" quotePrefix="0" xfId="0">
      <alignment horizontal="center"/>
    </xf>
    <xf numFmtId="174" fontId="9" fillId="7" borderId="5" applyAlignment="1" pivotButton="0" quotePrefix="0" xfId="0">
      <alignment horizontal="center"/>
    </xf>
    <xf numFmtId="164" fontId="8" fillId="0" borderId="5" applyAlignment="1" pivotButton="0" quotePrefix="0" xfId="0">
      <alignment horizontal="center"/>
    </xf>
    <xf numFmtId="164" fontId="9" fillId="7" borderId="5" applyAlignment="1" pivotButton="0" quotePrefix="0" xfId="0">
      <alignment horizontal="center"/>
    </xf>
    <xf numFmtId="9" fontId="7" fillId="0" borderId="2" applyAlignment="1" pivotButton="0" quotePrefix="0" xfId="0">
      <alignment horizontal="center"/>
    </xf>
    <xf numFmtId="166" fontId="7" fillId="0" borderId="2" applyAlignment="1" pivotButton="0" quotePrefix="0" xfId="0">
      <alignment horizontal="center"/>
    </xf>
    <xf numFmtId="166" fontId="9" fillId="0" borderId="2" applyAlignment="1" pivotButton="0" quotePrefix="0" xfId="0">
      <alignment horizontal="center"/>
    </xf>
    <xf numFmtId="164" fontId="17" fillId="5" borderId="2" applyAlignment="1" pivotButton="0" quotePrefix="0" xfId="0">
      <alignment horizontal="center"/>
    </xf>
    <xf numFmtId="164" fontId="6" fillId="5" borderId="5" applyAlignment="1" pivotButton="0" quotePrefix="0" xfId="0">
      <alignment horizontal="center"/>
    </xf>
    <xf numFmtId="166" fontId="6" fillId="5" borderId="5" applyAlignment="1" pivotButton="0" quotePrefix="0" xfId="0">
      <alignment horizontal="center"/>
    </xf>
    <xf numFmtId="176" fontId="22" fillId="5" borderId="5" applyAlignment="1" pivotButton="0" quotePrefix="0" xfId="0">
      <alignment horizontal="center"/>
    </xf>
    <xf numFmtId="164" fontId="6" fillId="0" borderId="5" applyAlignment="1" pivotButton="0" quotePrefix="0" xfId="0">
      <alignment horizontal="center"/>
    </xf>
    <xf numFmtId="166" fontId="6" fillId="0" borderId="5" applyAlignment="1" pivotButton="0" quotePrefix="0" xfId="0">
      <alignment horizontal="center"/>
    </xf>
    <xf numFmtId="176" fontId="6" fillId="0" borderId="5" applyAlignment="1" pivotButton="0" quotePrefix="0" xfId="0">
      <alignment horizontal="center"/>
    </xf>
    <xf numFmtId="164" fontId="6" fillId="7" borderId="5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165" fontId="6" fillId="0" borderId="5" applyAlignment="1" pivotButton="0" quotePrefix="0" xfId="0">
      <alignment horizontal="center"/>
    </xf>
    <xf numFmtId="9" fontId="6" fillId="0" borderId="5" applyAlignment="1" pivotButton="0" quotePrefix="0" xfId="0">
      <alignment horizontal="center"/>
    </xf>
    <xf numFmtId="165" fontId="6" fillId="5" borderId="5" applyAlignment="1" pivotButton="0" quotePrefix="0" xfId="0">
      <alignment horizontal="center"/>
    </xf>
    <xf numFmtId="9" fontId="6" fillId="5" borderId="5" applyAlignment="1" pivotButton="0" quotePrefix="0" xfId="0">
      <alignment horizontal="center"/>
    </xf>
    <xf numFmtId="166" fontId="9" fillId="7" borderId="5" applyAlignment="1" pivotButton="0" quotePrefix="0" xfId="0">
      <alignment horizontal="center"/>
    </xf>
    <xf numFmtId="165" fontId="6" fillId="0" borderId="2" applyAlignment="1" pivotButton="0" quotePrefix="0" xfId="0">
      <alignment horizontal="center"/>
    </xf>
    <xf numFmtId="165" fontId="18" fillId="0" borderId="2" applyAlignment="1" pivotButton="0" quotePrefix="0" xfId="0">
      <alignment horizontal="center"/>
    </xf>
    <xf numFmtId="165" fontId="14" fillId="5" borderId="3" applyAlignment="1" pivotButton="0" quotePrefix="0" xfId="0">
      <alignment horizontal="center"/>
    </xf>
    <xf numFmtId="165" fontId="22" fillId="0" borderId="3" applyAlignment="1" pivotButton="0" quotePrefix="0" xfId="0">
      <alignment horizontal="center"/>
    </xf>
    <xf numFmtId="165" fontId="17" fillId="5" borderId="3" applyAlignment="1" pivotButton="0" quotePrefix="0" xfId="0">
      <alignment horizontal="center"/>
    </xf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7030A0"/>
      <rgbColor rgb="FFFFF2CC"/>
      <rgbColor rgb="FFE3F2FD"/>
      <rgbColor rgb="FF660066"/>
      <rgbColor rgb="FFFF8080"/>
      <rgbColor rgb="FF0066CC"/>
      <rgbColor rgb="FFF2F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8E6C9"/>
      <rgbColor rgb="FFF1F8E9"/>
      <rgbColor rgb="FF99CCFF"/>
      <rgbColor rgb="FFFF99CC"/>
      <rgbColor rgb="FFCC99FF"/>
      <rgbColor rgb="FFFFEBEE"/>
      <rgbColor rgb="FF3366FF"/>
      <rgbColor rgb="FF33CCCC"/>
      <rgbColor rgb="FF99CC00"/>
      <rgbColor rgb="FFFFCC00"/>
      <rgbColor rgb="FFFF9900"/>
      <rgbColor rgb="FFFF6D00"/>
      <rgbColor rgb="FF666666"/>
      <rgbColor rgb="FF999999"/>
      <rgbColor rgb="FF003366"/>
      <rgbColor rgb="FF2E7D32"/>
      <rgbColor rgb="FF003300"/>
      <rgbColor rgb="FF1B5E20"/>
      <rgbColor rgb="FFE65100"/>
      <rgbColor rgb="FFFF3E00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Normal="100" workbookViewId="0">
      <selection activeCell="A1" sqref="A1"/>
    </sheetView>
  </sheetViews>
  <sheetFormatPr baseColWidth="10" defaultColWidth="8.7109375" defaultRowHeight="15"/>
  <sheetData>
    <row r="1" ht="15" customHeight="1" s="3">
      <c r="A1" s="13" t="inlineStr">
        <is>
          <t>Dashboard — Coming next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0000FF"/>
    <outlinePr summaryBelow="1" summaryRight="1"/>
    <pageSetUpPr/>
  </sheetPr>
  <dimension ref="A1:E114"/>
  <sheetViews>
    <sheetView zoomScaleNormal="100" workbookViewId="0">
      <selection activeCell="A1" sqref="A1"/>
    </sheetView>
  </sheetViews>
  <sheetFormatPr baseColWidth="10" defaultColWidth="8.7109375" defaultRowHeight="15"/>
  <cols>
    <col width="42" customWidth="1" style="3" min="1" max="1"/>
    <col width="22" customWidth="1" style="3" min="2" max="2"/>
    <col width="14" customWidth="1" style="3" min="3" max="3"/>
    <col width="18" customWidth="1" style="3" min="4" max="4"/>
    <col width="45" customWidth="1" style="3" min="5" max="5"/>
  </cols>
  <sheetData>
    <row r="1" ht="31.5" customHeight="1" s="3">
      <c r="A1" s="12" t="inlineStr">
        <is>
          <t>AURELIAN MANUFACTURING — ASSUMPTIONS</t>
        </is>
      </c>
    </row>
    <row r="2" ht="19.5" customHeight="1" s="3">
      <c r="A2" s="14" t="inlineStr">
        <is>
          <t>Master Source: 02_Economic_Tables_Projections_REV6 — February 2026</t>
        </is>
      </c>
    </row>
    <row r="4" ht="15" customHeight="1" s="3">
      <c r="A4" s="15" t="inlineStr">
        <is>
          <t>Parameter</t>
        </is>
      </c>
      <c r="B4" s="15" t="inlineStr">
        <is>
          <t>Cell Name</t>
        </is>
      </c>
      <c r="C4" s="15" t="inlineStr">
        <is>
          <t>Value</t>
        </is>
      </c>
      <c r="D4" s="15" t="inlineStr">
        <is>
          <t>Unit</t>
        </is>
      </c>
      <c r="E4" s="15" t="inlineStr">
        <is>
          <t>Source / Note</t>
        </is>
      </c>
    </row>
    <row r="6" ht="15" customHeight="1" s="3">
      <c r="A6" s="16" t="inlineStr">
        <is>
          <t>1.1  Core Operating Assumptions</t>
        </is>
      </c>
      <c r="B6" s="29" t="n"/>
      <c r="C6" s="29" t="n"/>
      <c r="D6" s="29" t="n"/>
      <c r="E6" s="29" t="n"/>
    </row>
    <row r="7" ht="15" customHeight="1" s="3">
      <c r="A7" s="17" t="inlineStr">
        <is>
          <t>Theoretical hours per CNC per year</t>
        </is>
      </c>
      <c r="B7" s="18" t="inlineStr">
        <is>
          <t>theo_hours</t>
        </is>
      </c>
      <c r="C7" s="19" t="n">
        <v>8760</v>
      </c>
      <c r="D7" s="17" t="inlineStr">
        <is>
          <t>hours</t>
        </is>
      </c>
      <c r="E7" s="18" t="inlineStr">
        <is>
          <t>REV6 §1.1 — 24h × 365d</t>
        </is>
      </c>
    </row>
    <row r="8" ht="15" customHeight="1" s="3">
      <c r="A8" s="17" t="inlineStr">
        <is>
          <t>Normalized hourly rate</t>
        </is>
      </c>
      <c r="B8" s="18" t="inlineStr">
        <is>
          <t>hourly_rate</t>
        </is>
      </c>
      <c r="C8" s="19" t="n">
        <v>3000</v>
      </c>
      <c r="D8" s="17" t="inlineStr">
        <is>
          <t>NOK/hour</t>
        </is>
      </c>
      <c r="E8" s="18" t="inlineStr">
        <is>
          <t>REV6 §1.1 — Conservative floor, defence/O&amp;G higher</t>
        </is>
      </c>
    </row>
    <row r="9" ht="15" customHeight="1" s="3">
      <c r="A9" s="17" t="inlineStr">
        <is>
          <t>Customer Program threshold</t>
        </is>
      </c>
      <c r="B9" s="18" t="inlineStr">
        <is>
          <t>sharing_threshold</t>
        </is>
      </c>
      <c r="C9" s="204" t="n">
        <v>0.45</v>
      </c>
      <c r="D9" s="17" t="inlineStr">
        <is>
          <t>%</t>
        </is>
      </c>
      <c r="E9" s="18" t="inlineStr">
        <is>
          <t>REV6 §1.1 — Fleet utilization trigger</t>
        </is>
      </c>
    </row>
    <row r="10" ht="15" customHeight="1" s="3">
      <c r="A10" s="17" t="inlineStr">
        <is>
          <t>Customer Program split above threshold</t>
        </is>
      </c>
      <c r="B10" s="18" t="inlineStr">
        <is>
          <t>sharing_split</t>
        </is>
      </c>
      <c r="C10" s="204" t="n">
        <v>0.5</v>
      </c>
      <c r="D10" s="17" t="inlineStr">
        <is>
          <t>%</t>
        </is>
      </c>
      <c r="E10" s="18" t="inlineStr">
        <is>
          <t>REV6 §1.1 — Strategic customers only</t>
        </is>
      </c>
    </row>
    <row r="11" ht="15" customHeight="1" s="3">
      <c r="A11" s="17" t="inlineStr">
        <is>
          <t>Target utilization (steady state)</t>
        </is>
      </c>
      <c r="B11" s="18" t="inlineStr">
        <is>
          <t>target_util</t>
        </is>
      </c>
      <c r="C11" s="205" t="n">
        <v>0.625</v>
      </c>
      <c r="D11" s="17" t="inlineStr">
        <is>
          <t>%</t>
        </is>
      </c>
      <c r="E11" s="18" t="inlineStr">
        <is>
          <t>REV6 §1.1 — 60–65% range, 62.5% midpoint</t>
        </is>
      </c>
    </row>
    <row r="12" ht="15" customHeight="1" s="3">
      <c r="A12" s="14" t="inlineStr">
        <is>
          <t>Utilization always refers to % of 8,760 theoretical hours. No intermediate 'available hours' concept.</t>
        </is>
      </c>
    </row>
    <row r="14" ht="15" customHeight="1" s="3">
      <c r="A14" s="16" t="inlineStr">
        <is>
          <t>1.1b  Variable Cost Maturity Curve</t>
        </is>
      </c>
      <c r="B14" s="29" t="n"/>
      <c r="C14" s="29" t="n"/>
      <c r="D14" s="29" t="n"/>
      <c r="E14" s="29" t="n"/>
    </row>
    <row r="15" ht="15" customHeight="1" s="3">
      <c r="A15" s="17" t="inlineStr">
        <is>
          <t>Variable cost — 2027–2028 (startup)</t>
        </is>
      </c>
      <c r="B15" s="18" t="inlineStr">
        <is>
          <t>var_cost_2027</t>
        </is>
      </c>
      <c r="C15" s="206" t="n">
        <v>0.13</v>
      </c>
      <c r="D15" s="17" t="inlineStr">
        <is>
          <t>%</t>
        </is>
      </c>
      <c r="E15" s="18" t="inlineStr">
        <is>
          <t>REV6 §1.1b — New processes, testing</t>
        </is>
      </c>
    </row>
    <row r="16" ht="15" customHeight="1" s="3">
      <c r="A16" s="17" t="inlineStr">
        <is>
          <t>Variable cost — 2029</t>
        </is>
      </c>
      <c r="B16" s="18" t="inlineStr">
        <is>
          <t>var_cost_2029</t>
        </is>
      </c>
      <c r="C16" s="206" t="n">
        <v>0.1175</v>
      </c>
      <c r="D16" s="17" t="inlineStr">
        <is>
          <t>%</t>
        </is>
      </c>
      <c r="E16" s="18" t="inlineStr">
        <is>
          <t>REV6 §1.1b — Tooling optimization</t>
        </is>
      </c>
    </row>
    <row r="17" ht="15" customHeight="1" s="3">
      <c r="A17" s="17" t="inlineStr">
        <is>
          <t>Variable cost — 2030</t>
        </is>
      </c>
      <c r="B17" s="18" t="inlineStr">
        <is>
          <t>var_cost_2030</t>
        </is>
      </c>
      <c r="C17" s="206" t="n">
        <v>0.105</v>
      </c>
      <c r="D17" s="17" t="inlineStr">
        <is>
          <t>%</t>
        </is>
      </c>
      <c r="E17" s="18" t="inlineStr">
        <is>
          <t>REV6 §1.1b — Supplier agreements</t>
        </is>
      </c>
    </row>
    <row r="18" ht="15" customHeight="1" s="3">
      <c r="A18" s="17" t="inlineStr">
        <is>
          <t>Variable cost — 2031</t>
        </is>
      </c>
      <c r="B18" s="18" t="inlineStr">
        <is>
          <t>var_cost_2031</t>
        </is>
      </c>
      <c r="C18" s="206" t="n">
        <v>0.0925</v>
      </c>
      <c r="D18" s="17" t="inlineStr">
        <is>
          <t>%</t>
        </is>
      </c>
      <c r="E18" s="18" t="inlineStr">
        <is>
          <t>REV6 §1.1b — Predictive maintenance</t>
        </is>
      </c>
    </row>
    <row r="19" ht="15" customHeight="1" s="3">
      <c r="A19" s="17" t="inlineStr">
        <is>
          <t>Variable cost — 2032+ (mature)</t>
        </is>
      </c>
      <c r="B19" s="18" t="inlineStr">
        <is>
          <t>var_cost_2032</t>
        </is>
      </c>
      <c r="C19" s="206" t="n">
        <v>0.08</v>
      </c>
      <c r="D19" s="17" t="inlineStr">
        <is>
          <t>%</t>
        </is>
      </c>
      <c r="E19" s="18" t="inlineStr">
        <is>
          <t>REV6 §1.1b — Steady state</t>
        </is>
      </c>
    </row>
    <row r="20" ht="15" customHeight="1" s="3">
      <c r="A20" s="14" t="inlineStr">
        <is>
          <t>Linear decline driven by tooling optimization, supplier agreements, predictive maintenance, process stability.</t>
        </is>
      </c>
    </row>
    <row r="22" ht="15" customHeight="1" s="3">
      <c r="A22" s="16" t="inlineStr">
        <is>
          <t>1.2  CNC Machine Economics</t>
        </is>
      </c>
      <c r="B22" s="29" t="n"/>
      <c r="C22" s="29" t="n"/>
      <c r="D22" s="29" t="n"/>
      <c r="E22" s="29" t="n"/>
    </row>
    <row r="23" ht="15" customHeight="1" s="3">
      <c r="A23" s="17" t="inlineStr">
        <is>
          <t>Cost per CNC incl. automation</t>
        </is>
      </c>
      <c r="B23" s="18" t="inlineStr">
        <is>
          <t>cnc_cost</t>
        </is>
      </c>
      <c r="C23" s="23" t="n">
        <v>10000000</v>
      </c>
      <c r="D23" s="17" t="inlineStr">
        <is>
          <t>NOK</t>
        </is>
      </c>
      <c r="E23" s="18" t="inlineStr">
        <is>
          <t>REV6 §1.2 — Market analysis, MAZAK/DMG Mori</t>
        </is>
      </c>
    </row>
    <row r="24" ht="15" customHeight="1" s="3">
      <c r="A24" s="17" t="inlineStr">
        <is>
          <t>Depreciation life</t>
        </is>
      </c>
      <c r="B24" s="18" t="inlineStr">
        <is>
          <t>depr_life</t>
        </is>
      </c>
      <c r="C24" s="19" t="n">
        <v>8</v>
      </c>
      <c r="D24" s="17" t="inlineStr">
        <is>
          <t>years</t>
        </is>
      </c>
      <c r="E24" s="18" t="inlineStr">
        <is>
          <t>REV6 §1.2 — Straight-line</t>
        </is>
      </c>
    </row>
    <row r="25" ht="15" customHeight="1" s="3">
      <c r="A25" s="17" t="inlineStr">
        <is>
          <t>Annual depreciation per CNC</t>
        </is>
      </c>
      <c r="B25" s="18" t="inlineStr">
        <is>
          <t>depr_per_cnc</t>
        </is>
      </c>
      <c r="C25" s="24">
        <f>C23/C24</f>
        <v/>
      </c>
      <c r="D25" s="17" t="inlineStr">
        <is>
          <t>NOK</t>
        </is>
      </c>
      <c r="E25" s="18" t="inlineStr">
        <is>
          <t>REV6 §1.2 — cnc_cost ÷ depr_life</t>
        </is>
      </c>
    </row>
    <row r="26" ht="15" customHeight="1" s="3">
      <c r="A26" s="17" t="inlineStr">
        <is>
          <t>Debt interest rate</t>
        </is>
      </c>
      <c r="B26" s="18" t="inlineStr">
        <is>
          <t>interest_rate</t>
        </is>
      </c>
      <c r="C26" s="205" t="n">
        <v>0.075</v>
      </c>
      <c r="D26" s="17" t="inlineStr">
        <is>
          <t>%</t>
        </is>
      </c>
      <c r="E26" s="18" t="inlineStr">
        <is>
          <t>REV6 §1.2 — Bank estimate</t>
        </is>
      </c>
    </row>
    <row r="27" ht="15" customHeight="1" s="3">
      <c r="A27" s="17" t="inlineStr">
        <is>
          <t>Debt per CNC (Seed, 50% equity)</t>
        </is>
      </c>
      <c r="B27" s="18" t="inlineStr">
        <is>
          <t>debt_per_cnc_seed</t>
        </is>
      </c>
      <c r="C27" s="23" t="n">
        <v>5000000</v>
      </c>
      <c r="D27" s="17" t="inlineStr">
        <is>
          <t>NOK</t>
        </is>
      </c>
      <c r="E27" s="18" t="inlineStr">
        <is>
          <t>REV6 §1.2 — 50% equity requirement</t>
        </is>
      </c>
    </row>
    <row r="28" ht="15" customHeight="1" s="3">
      <c r="A28" s="17" t="inlineStr">
        <is>
          <t>Debt per CNC (Serie A, 30% equity)</t>
        </is>
      </c>
      <c r="B28" s="18" t="inlineStr">
        <is>
          <t>debt_per_cnc_a</t>
        </is>
      </c>
      <c r="C28" s="23" t="n">
        <v>7000000</v>
      </c>
      <c r="D28" s="17" t="inlineStr">
        <is>
          <t>NOK</t>
        </is>
      </c>
      <c r="E28" s="18" t="inlineStr">
        <is>
          <t>REV6 §1.2 — 30% EQ (proven operations)</t>
        </is>
      </c>
    </row>
    <row r="29" ht="15" customHeight="1" s="3">
      <c r="A29" s="17" t="inlineStr">
        <is>
          <t>Resale value estimate</t>
        </is>
      </c>
      <c r="B29" s="18" t="inlineStr">
        <is>
          <t>resale_pct</t>
        </is>
      </c>
      <c r="C29" s="204" t="n">
        <v>0.6</v>
      </c>
      <c r="D29" s="17" t="inlineStr">
        <is>
          <t>%</t>
        </is>
      </c>
      <c r="E29" s="18" t="inlineStr">
        <is>
          <t>REV6 §1.2 — 50–70% range, MAZAK premium</t>
        </is>
      </c>
    </row>
    <row r="31" ht="15" customHeight="1" s="3">
      <c r="A31" s="16" t="inlineStr">
        <is>
          <t>1.2b  Debt Structure — Steady State (20 CNC)</t>
        </is>
      </c>
      <c r="B31" s="29" t="n"/>
      <c r="C31" s="29" t="n"/>
      <c r="D31" s="29" t="n"/>
      <c r="E31" s="29" t="n"/>
    </row>
    <row r="32" ht="15" customHeight="1" s="3">
      <c r="A32" s="17" t="inlineStr">
        <is>
          <t>Seed CNC machines (5 × 5.0M)</t>
        </is>
      </c>
      <c r="B32" s="18" t="inlineStr">
        <is>
          <t>debt_seed_cnc</t>
        </is>
      </c>
      <c r="C32" s="23" t="n">
        <v>25000000</v>
      </c>
      <c r="D32" s="17" t="inlineStr">
        <is>
          <t>NOK</t>
        </is>
      </c>
      <c r="E32" s="18" t="inlineStr">
        <is>
          <t>REV6 §1.2b</t>
        </is>
      </c>
    </row>
    <row r="33" ht="15" customHeight="1" s="3">
      <c r="A33" s="17" t="inlineStr">
        <is>
          <t>Shop base equipment debt (50%)</t>
        </is>
      </c>
      <c r="B33" s="18" t="inlineStr">
        <is>
          <t>debt_shop_base</t>
        </is>
      </c>
      <c r="C33" s="23" t="n">
        <v>4300000</v>
      </c>
      <c r="D33" s="17" t="inlineStr">
        <is>
          <t>NOK</t>
        </is>
      </c>
      <c r="E33" s="18" t="inlineStr">
        <is>
          <t>REV6 §1.2b — 8.6M × 50%</t>
        </is>
      </c>
    </row>
    <row r="34" ht="15" customHeight="1" s="3">
      <c r="A34" s="17" t="inlineStr">
        <is>
          <t>Serie A CNC machines (15 × 7.0M)</t>
        </is>
      </c>
      <c r="B34" s="18" t="inlineStr">
        <is>
          <t>debt_seria_cnc</t>
        </is>
      </c>
      <c r="C34" s="23" t="n">
        <v>105000000</v>
      </c>
      <c r="D34" s="17" t="inlineStr">
        <is>
          <t>NOK</t>
        </is>
      </c>
      <c r="E34" s="18" t="inlineStr">
        <is>
          <t>REV6 §1.2b</t>
        </is>
      </c>
    </row>
    <row r="35" ht="15" customHeight="1" s="3">
      <c r="A35" s="17" t="inlineStr">
        <is>
          <t>Total debt (steady state)</t>
        </is>
      </c>
      <c r="B35" s="18" t="inlineStr">
        <is>
          <t>total_debt</t>
        </is>
      </c>
      <c r="C35" s="24">
        <f>C32+C33+C34</f>
        <v/>
      </c>
      <c r="D35" s="17" t="inlineStr">
        <is>
          <t>NOK</t>
        </is>
      </c>
      <c r="E35" s="18" t="inlineStr">
        <is>
          <t>REV6 §1.2b — Sum = 134.3 MNOK</t>
        </is>
      </c>
    </row>
    <row r="36" ht="15" customHeight="1" s="3">
      <c r="A36" s="17" t="inlineStr">
        <is>
          <t>Total annual finance cost (7.5%)</t>
        </is>
      </c>
      <c r="B36" s="18" t="inlineStr">
        <is>
          <t>total_finance</t>
        </is>
      </c>
      <c r="C36" s="24">
        <f>C35*0.075</f>
        <v/>
      </c>
      <c r="D36" s="17" t="inlineStr">
        <is>
          <t>NOK</t>
        </is>
      </c>
      <c r="E36" s="18" t="inlineStr">
        <is>
          <t>REV6 §1.2b — 134.3M × 7.5% = 10.07M</t>
        </is>
      </c>
    </row>
    <row r="38" ht="15" customHeight="1" s="3">
      <c r="A38" s="16" t="inlineStr">
        <is>
          <t>1.2c  Shop Base Setup — One-Time per Site</t>
        </is>
      </c>
      <c r="B38" s="29" t="n"/>
      <c r="C38" s="29" t="n"/>
      <c r="D38" s="29" t="n"/>
      <c r="E38" s="29" t="n"/>
    </row>
    <row r="39" ht="15" customHeight="1" s="3">
      <c r="A39" s="17" t="inlineStr">
        <is>
          <t>Measurement room (Wenzel CMM, Jenoptik)</t>
        </is>
      </c>
      <c r="B39" s="18" t="n"/>
      <c r="C39" s="23" t="n">
        <v>3910000</v>
      </c>
      <c r="D39" s="17" t="inlineStr">
        <is>
          <t>NOK</t>
        </is>
      </c>
      <c r="E39" s="18" t="inlineStr">
        <is>
          <t>REV6 §1.2c — Supplier quotes</t>
        </is>
      </c>
    </row>
    <row r="40" ht="15" customHeight="1" s="3">
      <c r="A40" s="17" t="inlineStr">
        <is>
          <t>Cutting / raw goods (saw, shelving, misc)</t>
        </is>
      </c>
      <c r="B40" s="18" t="n"/>
      <c r="C40" s="23" t="n">
        <v>1500000</v>
      </c>
      <c r="D40" s="17" t="inlineStr">
        <is>
          <t>NOK</t>
        </is>
      </c>
      <c r="E40" s="18" t="inlineStr">
        <is>
          <t>REV6 §1.2c — Supplier quotes</t>
        </is>
      </c>
    </row>
    <row r="41" ht="15" customHeight="1" s="3">
      <c r="A41" s="17" t="inlineStr">
        <is>
          <t>Compressor (Kaeser)</t>
        </is>
      </c>
      <c r="B41" s="18" t="n"/>
      <c r="C41" s="23" t="n">
        <v>360000</v>
      </c>
      <c r="D41" s="17" t="inlineStr">
        <is>
          <t>NOK</t>
        </is>
      </c>
      <c r="E41" s="18" t="inlineStr">
        <is>
          <t>REV6 §1.2c — Supplier quote</t>
        </is>
      </c>
    </row>
    <row r="42" ht="15" customHeight="1" s="3">
      <c r="A42" s="17" t="inlineStr">
        <is>
          <t>Machine extraction (Absolent, 4 machines)</t>
        </is>
      </c>
      <c r="B42" s="18" t="n"/>
      <c r="C42" s="23" t="n">
        <v>2000000</v>
      </c>
      <c r="D42" s="17" t="inlineStr">
        <is>
          <t>NOK</t>
        </is>
      </c>
      <c r="E42" s="18" t="inlineStr">
        <is>
          <t>REV6 §1.2c — Supplier quote</t>
        </is>
      </c>
    </row>
    <row r="43" ht="15" customHeight="1" s="3">
      <c r="A43" s="17" t="inlineStr">
        <is>
          <t>Forklift (used + top brand)</t>
        </is>
      </c>
      <c r="B43" s="18" t="n"/>
      <c r="C43" s="23" t="n">
        <v>850000</v>
      </c>
      <c r="D43" s="17" t="inlineStr">
        <is>
          <t>NOK</t>
        </is>
      </c>
      <c r="E43" s="18" t="inlineStr">
        <is>
          <t>REV6 §1.2c — Market estimate</t>
        </is>
      </c>
    </row>
    <row r="44" ht="15" customHeight="1" s="3">
      <c r="A44" s="25" t="inlineStr">
        <is>
          <t>Total shop base (per site)</t>
        </is>
      </c>
      <c r="B44" s="18" t="inlineStr">
        <is>
          <t>shop_base_total</t>
        </is>
      </c>
      <c r="C44" s="24">
        <f>SUM(C39:C43)</f>
        <v/>
      </c>
      <c r="D44" s="17" t="inlineStr">
        <is>
          <t>NOK</t>
        </is>
      </c>
      <c r="E44" s="18" t="inlineStr">
        <is>
          <t>REV6 §1.2c — ~8.6 MNOK</t>
        </is>
      </c>
    </row>
    <row r="45" ht="15" customHeight="1" s="3">
      <c r="A45" s="17" t="inlineStr">
        <is>
          <t>Shop base depreciation (per year)</t>
        </is>
      </c>
      <c r="B45" s="18" t="inlineStr">
        <is>
          <t>shop_depr</t>
        </is>
      </c>
      <c r="C45" s="24">
        <f>C44/8</f>
        <v/>
      </c>
      <c r="D45" s="17" t="inlineStr">
        <is>
          <t>NOK</t>
        </is>
      </c>
      <c r="E45" s="18" t="inlineStr">
        <is>
          <t>REV6 §1.2c — 8yr straight-line (~1.08M/yr)</t>
        </is>
      </c>
    </row>
    <row r="46" ht="15" customHeight="1" s="3">
      <c r="A46" s="14" t="inlineStr">
        <is>
          <t>Funded 50% equity / 50% bank debt. All items are physical assets with documented resale value.</t>
        </is>
      </c>
    </row>
    <row r="48" ht="15" customHeight="1" s="3">
      <c r="A48" s="16" t="inlineStr">
        <is>
          <t>1.3  Staffing Model (Sub-Linear)</t>
        </is>
      </c>
      <c r="B48" s="29" t="n"/>
      <c r="C48" s="29" t="n"/>
      <c r="D48" s="29" t="n"/>
      <c r="E48" s="29" t="n"/>
    </row>
    <row r="49" ht="15" customHeight="1" s="3">
      <c r="A49" s="17" t="inlineStr">
        <is>
          <t>Staff per CNC (Aurelian)</t>
        </is>
      </c>
      <c r="B49" s="18" t="inlineStr">
        <is>
          <t>staff_ratio</t>
        </is>
      </c>
      <c r="C49" s="19" t="n">
        <v>0.8</v>
      </c>
      <c r="D49" s="17" t="inlineStr">
        <is>
          <t>FTE/CNC</t>
        </is>
      </c>
      <c r="E49" s="18" t="inlineStr">
        <is>
          <t>REV6 §1.3 — Sub-linear scaling</t>
        </is>
      </c>
    </row>
    <row r="50" ht="15" customHeight="1" s="3">
      <c r="A50" s="17" t="inlineStr">
        <is>
          <t>Industry avg staff per CNC</t>
        </is>
      </c>
      <c r="B50" s="18" t="inlineStr">
        <is>
          <t>industry_ratio</t>
        </is>
      </c>
      <c r="C50" s="19" t="n">
        <v>2.5</v>
      </c>
      <c r="D50" s="17" t="inlineStr">
        <is>
          <t>FTE/CNC</t>
        </is>
      </c>
      <c r="E50" s="18" t="inlineStr">
        <is>
          <t>REV6 §1.3 — Benchmark</t>
        </is>
      </c>
    </row>
    <row r="51" ht="15" customHeight="1" s="3">
      <c r="A51" s="17" t="inlineStr">
        <is>
          <t>Admin/Sales FTEs (constant)</t>
        </is>
      </c>
      <c r="B51" s="18" t="inlineStr">
        <is>
          <t>admin_fte</t>
        </is>
      </c>
      <c r="C51" s="19" t="n">
        <v>4</v>
      </c>
      <c r="D51" s="17" t="inlineStr">
        <is>
          <t>FTE</t>
        </is>
      </c>
      <c r="E51" s="18" t="inlineStr">
        <is>
          <t>REV6 §1.3 — Incl. BD/strategic sales from day one</t>
        </is>
      </c>
    </row>
    <row r="52" ht="15" customHeight="1" s="3">
      <c r="A52" s="17" t="inlineStr">
        <is>
          <t>Avg operational salary (incl. social)</t>
        </is>
      </c>
      <c r="B52" s="18" t="inlineStr">
        <is>
          <t>ops_salary</t>
        </is>
      </c>
      <c r="C52" s="23" t="n">
        <v>1100000</v>
      </c>
      <c r="D52" s="17" t="inlineStr">
        <is>
          <t>NOK/year</t>
        </is>
      </c>
      <c r="E52" s="18" t="inlineStr">
        <is>
          <t>REV6 §1.3</t>
        </is>
      </c>
    </row>
    <row r="53" ht="15" customHeight="1" s="3">
      <c r="A53" s="17" t="inlineStr">
        <is>
          <t>Avg admin salary (incl. social)</t>
        </is>
      </c>
      <c r="B53" s="18" t="inlineStr">
        <is>
          <t>admin_salary</t>
        </is>
      </c>
      <c r="C53" s="23" t="n">
        <v>1400000</v>
      </c>
      <c r="D53" s="17" t="inlineStr">
        <is>
          <t>NOK/year</t>
        </is>
      </c>
      <c r="E53" s="18" t="inlineStr">
        <is>
          <t>REV6 §1.3</t>
        </is>
      </c>
    </row>
    <row r="55" ht="15" customHeight="1" s="3">
      <c r="A55" s="16" t="inlineStr">
        <is>
          <t>1.3b  Pre-Revenue Staffing Timeline</t>
        </is>
      </c>
      <c r="B55" s="29" t="n"/>
      <c r="C55" s="29" t="n"/>
      <c r="D55" s="29" t="n"/>
      <c r="E55" s="29" t="n"/>
    </row>
    <row r="56" ht="15" customHeight="1" s="3">
      <c r="A56" s="26" t="inlineStr">
        <is>
          <t>Period</t>
        </is>
      </c>
      <c r="B56" s="26" t="inlineStr">
        <is>
          <t>Total FTE</t>
        </is>
      </c>
      <c r="C56" s="26" t="inlineStr">
        <is>
          <t>Ops/Technical</t>
        </is>
      </c>
      <c r="D56" s="26" t="inlineStr">
        <is>
          <t>Admin/Sales</t>
        </is>
      </c>
      <c r="E56" s="26" t="inlineStr">
        <is>
          <t>Funded By</t>
        </is>
      </c>
    </row>
    <row r="57" ht="15" customHeight="1" s="3">
      <c r="A57" s="17" t="inlineStr">
        <is>
          <t>2026 H1</t>
        </is>
      </c>
      <c r="B57" s="19" t="n">
        <v>2</v>
      </c>
      <c r="C57" s="19" t="n">
        <v>0</v>
      </c>
      <c r="D57" s="19" t="n">
        <v>2</v>
      </c>
      <c r="E57" s="18" t="inlineStr">
        <is>
          <t>Founders</t>
        </is>
      </c>
    </row>
    <row r="58" ht="15" customHeight="1" s="3">
      <c r="A58" s="17" t="inlineStr">
        <is>
          <t>2026 H2</t>
        </is>
      </c>
      <c r="B58" s="19" t="n">
        <v>3</v>
      </c>
      <c r="C58" s="19" t="n">
        <v>0</v>
      </c>
      <c r="D58" s="19" t="n">
        <v>3</v>
      </c>
      <c r="E58" s="18" t="inlineStr">
        <is>
          <t>Founders</t>
        </is>
      </c>
    </row>
    <row r="59" ht="15" customHeight="1" s="3">
      <c r="A59" s="17" t="inlineStr">
        <is>
          <t>2027 Q1–Q2</t>
        </is>
      </c>
      <c r="B59" s="19" t="n">
        <v>8</v>
      </c>
      <c r="C59" s="19" t="n">
        <v>4</v>
      </c>
      <c r="D59" s="19" t="n">
        <v>4</v>
      </c>
      <c r="E59" s="18" t="inlineStr">
        <is>
          <t>Seed</t>
        </is>
      </c>
    </row>
    <row r="60" ht="15" customHeight="1" s="3">
      <c r="A60" s="17" t="inlineStr">
        <is>
          <t>2027 Q3+</t>
        </is>
      </c>
      <c r="B60" s="19" t="n">
        <v>10</v>
      </c>
      <c r="C60" s="19" t="n">
        <v>6</v>
      </c>
      <c r="D60" s="19" t="n">
        <v>4</v>
      </c>
      <c r="E60" s="18" t="inlineStr">
        <is>
          <t>Seed</t>
        </is>
      </c>
    </row>
    <row r="61" ht="15" customHeight="1" s="3">
      <c r="A61" s="17" t="inlineStr">
        <is>
          <t>2028</t>
        </is>
      </c>
      <c r="B61" s="19" t="n">
        <v>10</v>
      </c>
      <c r="C61" s="19" t="n">
        <v>6</v>
      </c>
      <c r="D61" s="19" t="n">
        <v>4</v>
      </c>
      <c r="E61" s="18" t="inlineStr">
        <is>
          <t>Operations</t>
        </is>
      </c>
    </row>
    <row r="62" ht="15" customHeight="1" s="3">
      <c r="A62" s="17" t="inlineStr">
        <is>
          <t>2029</t>
        </is>
      </c>
      <c r="B62" s="19" t="n">
        <v>14</v>
      </c>
      <c r="C62" s="19" t="n">
        <v>10</v>
      </c>
      <c r="D62" s="19" t="n">
        <v>4</v>
      </c>
      <c r="E62" s="18" t="inlineStr">
        <is>
          <t>Operations</t>
        </is>
      </c>
    </row>
    <row r="63" ht="15" customHeight="1" s="3">
      <c r="A63" s="17" t="inlineStr">
        <is>
          <t>2030</t>
        </is>
      </c>
      <c r="B63" s="19" t="n">
        <v>17</v>
      </c>
      <c r="C63" s="19" t="n">
        <v>13</v>
      </c>
      <c r="D63" s="19" t="n">
        <v>4</v>
      </c>
      <c r="E63" s="18" t="inlineStr">
        <is>
          <t>Operations</t>
        </is>
      </c>
    </row>
    <row r="64" ht="15" customHeight="1" s="3">
      <c r="A64" s="17" t="inlineStr">
        <is>
          <t>2031</t>
        </is>
      </c>
      <c r="B64" s="19" t="n">
        <v>20</v>
      </c>
      <c r="C64" s="19" t="n">
        <v>16</v>
      </c>
      <c r="D64" s="19" t="n">
        <v>4</v>
      </c>
      <c r="E64" s="18" t="inlineStr">
        <is>
          <t>Operations</t>
        </is>
      </c>
    </row>
    <row r="65" ht="15" customHeight="1" s="3">
      <c r="A65" s="17" t="inlineStr">
        <is>
          <t>2032+</t>
        </is>
      </c>
      <c r="B65" s="19" t="n">
        <v>24</v>
      </c>
      <c r="C65" s="19" t="n">
        <v>20</v>
      </c>
      <c r="D65" s="19" t="n">
        <v>4</v>
      </c>
      <c r="E65" s="18" t="inlineStr">
        <is>
          <t>Operations</t>
        </is>
      </c>
    </row>
    <row r="67" ht="15" customHeight="1" s="3">
      <c r="A67" s="16" t="inlineStr">
        <is>
          <t>1.4  Fixed Costs (Non-Personnel)</t>
        </is>
      </c>
      <c r="B67" s="29" t="n"/>
      <c r="C67" s="29" t="n"/>
      <c r="D67" s="29" t="n"/>
      <c r="E67" s="29" t="n"/>
    </row>
    <row r="68" ht="15" customHeight="1" s="3">
      <c r="A68" s="17" t="inlineStr">
        <is>
          <t>Facility lease (annual)</t>
        </is>
      </c>
      <c r="B68" s="18" t="inlineStr">
        <is>
          <t>facility_lease</t>
        </is>
      </c>
      <c r="C68" s="23" t="n">
        <v>5200000</v>
      </c>
      <c r="D68" s="17" t="inlineStr">
        <is>
          <t>NOK/year</t>
        </is>
      </c>
      <c r="E68" s="18" t="inlineStr">
        <is>
          <t>REV6 §1.4 — Starts Q3 2027</t>
        </is>
      </c>
    </row>
    <row r="69" ht="15" customHeight="1" s="3">
      <c r="A69" s="17" t="inlineStr">
        <is>
          <t>Non-facility opex at 20 CNC</t>
        </is>
      </c>
      <c r="B69" s="18" t="inlineStr">
        <is>
          <t>other_opex_20</t>
        </is>
      </c>
      <c r="C69" s="23" t="n">
        <v>3000000</v>
      </c>
      <c r="D69" s="17" t="inlineStr">
        <is>
          <t>NOK/year</t>
        </is>
      </c>
      <c r="E69" s="18" t="inlineStr">
        <is>
          <t>REV6 §1.4 — IT, insurance, consumables</t>
        </is>
      </c>
    </row>
    <row r="70" ht="15" customHeight="1" s="3">
      <c r="A70" s="17" t="inlineStr">
        <is>
          <t>Opex scaling factor</t>
        </is>
      </c>
      <c r="B70" s="18" t="inlineStr">
        <is>
          <t>opex_scale</t>
        </is>
      </c>
      <c r="C70" s="23" t="n">
        <v>150000</v>
      </c>
      <c r="D70" s="17" t="inlineStr">
        <is>
          <t>NOK/CNC/year</t>
        </is>
      </c>
      <c r="E70" s="18" t="inlineStr">
        <is>
          <t>REV6 §1.4 — 3.0M ÷ 20 CNC</t>
        </is>
      </c>
    </row>
    <row r="71" ht="15" customHeight="1" s="3">
      <c r="A71" s="17" t="inlineStr">
        <is>
          <t>Shop base depreciation (annual)</t>
        </is>
      </c>
      <c r="B71" s="18" t="inlineStr">
        <is>
          <t>shop_base_depr</t>
        </is>
      </c>
      <c r="C71" s="23" t="n">
        <v>1075000</v>
      </c>
      <c r="D71" s="17" t="inlineStr">
        <is>
          <t>NOK/year</t>
        </is>
      </c>
      <c r="E71" s="18" t="inlineStr">
        <is>
          <t>REV6 §1.4 — 8.6M ÷ 8yr, per site</t>
        </is>
      </c>
    </row>
    <row r="73" ht="15" customHeight="1" s="3">
      <c r="A73" s="16" t="inlineStr">
        <is>
          <t>1.5  Revenue Formula</t>
        </is>
      </c>
      <c r="B73" s="29" t="n"/>
      <c r="C73" s="29" t="n"/>
      <c r="D73" s="29" t="n"/>
      <c r="E73" s="29" t="n"/>
    </row>
    <row r="74" ht="15" customHeight="1" s="3">
      <c r="A74" s="14" t="inlineStr">
        <is>
          <t>Revenue per CNC = theo_hours × utilization% × hourly_rate</t>
        </is>
      </c>
    </row>
    <row r="75" ht="15" customHeight="1" s="3">
      <c r="A75" s="14" t="inlineStr">
        <is>
          <t>Reconciliation: 8,760 × 60% × 3,000 = 15.768 MNOK per CNC. At 20 CNC = ~315 MNOK.</t>
        </is>
      </c>
    </row>
    <row r="76" ht="15" customHeight="1" s="3">
      <c r="A76" s="14" t="inlineStr">
        <is>
          <t>3,000 NOK is conservative floor. Defence/O&amp;G rates higher — represents unmodeled upside.</t>
        </is>
      </c>
    </row>
    <row r="78" ht="15" customHeight="1" s="3">
      <c r="A78" s="16" t="inlineStr">
        <is>
          <t>4.1  Fundraising Rounds</t>
        </is>
      </c>
      <c r="B78" s="29" t="n"/>
      <c r="C78" s="29" t="n"/>
      <c r="D78" s="29" t="n"/>
      <c r="E78" s="29" t="n"/>
    </row>
    <row r="79" ht="15" customHeight="1" s="3">
      <c r="A79" s="26" t="inlineStr">
        <is>
          <t>Parameter</t>
        </is>
      </c>
      <c r="B79" s="26" t="n"/>
      <c r="C79" s="26" t="inlineStr">
        <is>
          <t>PreSeed</t>
        </is>
      </c>
      <c r="D79" s="26" t="inlineStr">
        <is>
          <t>Seed</t>
        </is>
      </c>
      <c r="E79" s="26" t="inlineStr">
        <is>
          <t>Serie A</t>
        </is>
      </c>
    </row>
    <row r="80" ht="15" customHeight="1" s="3">
      <c r="A80" s="17" t="inlineStr">
        <is>
          <t>Capital raised (equity)</t>
        </is>
      </c>
      <c r="B80" s="18" t="inlineStr">
        <is>
          <t>MNOK</t>
        </is>
      </c>
      <c r="C80" s="207" t="n">
        <v>5</v>
      </c>
      <c r="D80" s="207" t="n">
        <v>51.3</v>
      </c>
      <c r="E80" s="207" t="n">
        <v>45</v>
      </c>
    </row>
    <row r="81" ht="15" customHeight="1" s="3">
      <c r="A81" s="17" t="inlineStr">
        <is>
          <t>Pre-money valuation</t>
        </is>
      </c>
      <c r="B81" s="18" t="inlineStr">
        <is>
          <t>MNOK</t>
        </is>
      </c>
      <c r="C81" s="207" t="n">
        <v>25</v>
      </c>
      <c r="D81" s="207" t="n">
        <v>130</v>
      </c>
      <c r="E81" s="207" t="n">
        <v>250</v>
      </c>
    </row>
    <row r="82" ht="15" customHeight="1" s="3">
      <c r="A82" s="17" t="inlineStr">
        <is>
          <t>Post-money valuation</t>
        </is>
      </c>
      <c r="B82" s="18" t="inlineStr">
        <is>
          <t>MNOK</t>
        </is>
      </c>
      <c r="C82" s="207" t="n">
        <v>30</v>
      </c>
      <c r="D82" s="207" t="n">
        <v>181.3</v>
      </c>
      <c r="E82" s="207" t="n">
        <v>295</v>
      </c>
    </row>
    <row r="83" ht="15" customHeight="1" s="3">
      <c r="A83" s="17" t="inlineStr">
        <is>
          <t>Machines funded</t>
        </is>
      </c>
      <c r="B83" s="18" t="inlineStr">
        <is>
          <t>CNC</t>
        </is>
      </c>
      <c r="C83" s="19" t="n">
        <v>0</v>
      </c>
      <c r="D83" s="19" t="inlineStr">
        <is>
          <t>5 + shop base</t>
        </is>
      </c>
      <c r="E83" s="19" t="inlineStr">
        <is>
          <t>15 (3×5)</t>
        </is>
      </c>
    </row>
    <row r="84" ht="15" customHeight="1" s="3">
      <c r="A84" s="17" t="inlineStr">
        <is>
          <t>Bank debt raised</t>
        </is>
      </c>
      <c r="B84" s="18" t="inlineStr">
        <is>
          <t>MNOK</t>
        </is>
      </c>
      <c r="C84" s="207" t="n">
        <v>0</v>
      </c>
      <c r="D84" s="207" t="n">
        <v>29.3</v>
      </c>
      <c r="E84" s="207" t="n">
        <v>105</v>
      </c>
    </row>
    <row r="85" ht="15" customHeight="1" s="3">
      <c r="A85" s="17" t="inlineStr">
        <is>
          <t>Total capital deployed</t>
        </is>
      </c>
      <c r="B85" s="18" t="inlineStr">
        <is>
          <t>MNOK</t>
        </is>
      </c>
      <c r="C85" s="207" t="n">
        <v>5</v>
      </c>
      <c r="D85" s="207" t="n">
        <v>80.59999999999999</v>
      </c>
      <c r="E85" s="207" t="n">
        <v>150</v>
      </c>
    </row>
    <row r="87" ht="15" customHeight="1" s="3">
      <c r="A87" s="16" t="inlineStr">
        <is>
          <t>2.1  Machine Deployment Timeline</t>
        </is>
      </c>
      <c r="B87" s="29" t="n"/>
      <c r="C87" s="29" t="n"/>
      <c r="D87" s="29" t="n"/>
      <c r="E87" s="29" t="n"/>
    </row>
    <row r="88" ht="15" customHeight="1" s="3">
      <c r="A88" s="26" t="inlineStr">
        <is>
          <t>Period</t>
        </is>
      </c>
      <c r="B88" s="26" t="inlineStr">
        <is>
          <t>Event</t>
        </is>
      </c>
      <c r="C88" s="26" t="inlineStr">
        <is>
          <t>CNC (EOY)</t>
        </is>
      </c>
      <c r="D88" s="26" t="inlineStr">
        <is>
          <t>Funding</t>
        </is>
      </c>
      <c r="E88" s="26" t="n"/>
    </row>
    <row r="89" ht="15" customHeight="1" s="3">
      <c r="A89" s="17" t="inlineStr">
        <is>
          <t>Jun 2027</t>
        </is>
      </c>
      <c r="B89" s="17" t="inlineStr">
        <is>
          <t>5 CNC delivered, commissioning</t>
        </is>
      </c>
      <c r="C89" s="19" t="n">
        <v>5</v>
      </c>
      <c r="D89" s="18" t="inlineStr">
        <is>
          <t>Seed</t>
        </is>
      </c>
    </row>
    <row r="90" ht="15" customHeight="1" s="3">
      <c r="A90" s="17" t="inlineStr">
        <is>
          <t>Aug 2027</t>
        </is>
      </c>
      <c r="B90" s="17" t="inlineStr">
        <is>
          <t>Production starts</t>
        </is>
      </c>
      <c r="C90" s="19" t="n">
        <v>5</v>
      </c>
      <c r="D90" s="18" t="inlineStr">
        <is>
          <t>Seed</t>
        </is>
      </c>
    </row>
    <row r="91" ht="15" customHeight="1" s="3">
      <c r="A91" s="17" t="inlineStr">
        <is>
          <t>Q4 2028</t>
        </is>
      </c>
      <c r="B91" s="17" t="inlineStr">
        <is>
          <t>Serie A Tranche 1 arrives</t>
        </is>
      </c>
      <c r="C91" s="19" t="n">
        <v>10</v>
      </c>
      <c r="D91" s="18" t="inlineStr">
        <is>
          <t>Serie A</t>
        </is>
      </c>
    </row>
    <row r="92" ht="15" customHeight="1" s="3">
      <c r="A92" s="17" t="inlineStr">
        <is>
          <t>Q1 2029</t>
        </is>
      </c>
      <c r="B92" s="17" t="inlineStr">
        <is>
          <t>Tranche 1 operational</t>
        </is>
      </c>
      <c r="C92" s="19" t="n">
        <v>10</v>
      </c>
      <c r="D92" s="18" t="inlineStr">
        <is>
          <t>Serie A</t>
        </is>
      </c>
    </row>
    <row r="93" ht="15" customHeight="1" s="3">
      <c r="A93" s="17" t="inlineStr">
        <is>
          <t>Q3 2029</t>
        </is>
      </c>
      <c r="B93" s="17" t="inlineStr">
        <is>
          <t>Tranche 2 operational</t>
        </is>
      </c>
      <c r="C93" s="19" t="n">
        <v>15</v>
      </c>
      <c r="D93" s="18" t="inlineStr">
        <is>
          <t>Serie A</t>
        </is>
      </c>
    </row>
    <row r="94" ht="15" customHeight="1" s="3">
      <c r="A94" s="17" t="inlineStr">
        <is>
          <t>Q3 2030</t>
        </is>
      </c>
      <c r="B94" s="17" t="inlineStr">
        <is>
          <t>Tranche 3 operational</t>
        </is>
      </c>
      <c r="C94" s="19" t="n">
        <v>20</v>
      </c>
      <c r="D94" s="18" t="inlineStr">
        <is>
          <t>Serie A</t>
        </is>
      </c>
    </row>
    <row r="96" ht="15" customHeight="1" s="3">
      <c r="A96" s="16" t="inlineStr">
        <is>
          <t>8.0  Validation Checkpoints (REV6 §8)</t>
        </is>
      </c>
      <c r="B96" s="29" t="n"/>
      <c r="C96" s="29" t="n"/>
      <c r="D96" s="29" t="n"/>
      <c r="E96" s="29" t="n"/>
    </row>
    <row r="97" ht="15" customHeight="1" s="3">
      <c r="A97" s="26" t="inlineStr">
        <is>
          <t>#</t>
        </is>
      </c>
      <c r="B97" s="26" t="inlineStr">
        <is>
          <t>Checkpoint</t>
        </is>
      </c>
      <c r="C97" s="26" t="inlineStr">
        <is>
          <t>Value</t>
        </is>
      </c>
      <c r="D97" s="26" t="inlineStr">
        <is>
          <t>Status</t>
        </is>
      </c>
      <c r="E97" s="26" t="n"/>
    </row>
    <row r="98" ht="15" customHeight="1" s="3">
      <c r="A98" s="17" t="inlineStr">
        <is>
          <t>#1</t>
        </is>
      </c>
      <c r="B98" s="17" t="inlineStr">
        <is>
          <t>Revenue at 20 CNC, 60% utilization</t>
        </is>
      </c>
      <c r="C98" s="19" t="inlineStr">
        <is>
          <t>~315 MNOK</t>
        </is>
      </c>
      <c r="D98" s="28" t="inlineStr">
        <is>
          <t>✓</t>
        </is>
      </c>
    </row>
    <row r="99" ht="15" customHeight="1" s="3">
      <c r="A99" s="17" t="inlineStr">
        <is>
          <t>#2</t>
        </is>
      </c>
      <c r="B99" s="17" t="inlineStr">
        <is>
          <t>Total cost at 20 CNC steady state (8% var)</t>
        </is>
      </c>
      <c r="C99" s="19" t="inlineStr">
        <is>
          <t>~92.75 MNOK</t>
        </is>
      </c>
      <c r="D99" s="28" t="inlineStr">
        <is>
          <t>✓</t>
        </is>
      </c>
    </row>
    <row r="100" ht="15" customHeight="1" s="3">
      <c r="A100" s="17" t="inlineStr">
        <is>
          <t>#3</t>
        </is>
      </c>
      <c r="B100" s="17" t="inlineStr">
        <is>
          <t>Break-even at 5 CNC (Seed config)</t>
        </is>
      </c>
      <c r="C100" s="19" t="inlineStr">
        <is>
          <t>~24% utilization</t>
        </is>
      </c>
      <c r="D100" s="28" t="inlineStr">
        <is>
          <t>✓</t>
        </is>
      </c>
    </row>
    <row r="101" ht="15" customHeight="1" s="3">
      <c r="A101" s="17" t="inlineStr">
        <is>
          <t>#4</t>
        </is>
      </c>
      <c r="B101" s="17" t="inlineStr">
        <is>
          <t>Staff ratio</t>
        </is>
      </c>
      <c r="C101" s="19" t="inlineStr">
        <is>
          <t>0.8 FTE per CNC</t>
        </is>
      </c>
      <c r="D101" s="28" t="inlineStr">
        <is>
          <t>✓</t>
        </is>
      </c>
    </row>
    <row r="102" ht="15" customHeight="1" s="3">
      <c r="A102" s="17" t="inlineStr">
        <is>
          <t>#5</t>
        </is>
      </c>
      <c r="B102" s="17" t="inlineStr">
        <is>
          <t>Variable cost (steady state)</t>
        </is>
      </c>
      <c r="C102" s="19" t="inlineStr">
        <is>
          <t>8%</t>
        </is>
      </c>
      <c r="D102" s="28" t="inlineStr">
        <is>
          <t>✓</t>
        </is>
      </c>
    </row>
    <row r="103" ht="15" customHeight="1" s="3">
      <c r="A103" s="17" t="inlineStr">
        <is>
          <t>#6</t>
        </is>
      </c>
      <c r="B103" s="17" t="inlineStr">
        <is>
          <t>Exit valuation (base case)</t>
        </is>
      </c>
      <c r="C103" s="19" t="inlineStr">
        <is>
          <t>2.3B NOK @ 10x EBITDA</t>
        </is>
      </c>
      <c r="D103" s="28" t="inlineStr">
        <is>
          <t>✓</t>
        </is>
      </c>
    </row>
    <row r="104" ht="15" customHeight="1" s="3">
      <c r="A104" s="17" t="inlineStr">
        <is>
          <t>#7</t>
        </is>
      </c>
      <c r="B104" s="17" t="inlineStr">
        <is>
          <t>Founders post-Serie A</t>
        </is>
      </c>
      <c r="C104" s="19" t="inlineStr">
        <is>
          <t>50.6%</t>
        </is>
      </c>
      <c r="D104" s="28" t="inlineStr">
        <is>
          <t>✓</t>
        </is>
      </c>
    </row>
    <row r="105" ht="15" customHeight="1" s="3">
      <c r="A105" s="17" t="inlineStr">
        <is>
          <t>#8</t>
        </is>
      </c>
      <c r="B105" s="17" t="inlineStr">
        <is>
          <t>Accumulated profit 2027–2035</t>
        </is>
      </c>
      <c r="C105" s="19" t="inlineStr">
        <is>
          <t>~1,254 MNOK</t>
        </is>
      </c>
      <c r="D105" s="28" t="inlineStr">
        <is>
          <t>✓</t>
        </is>
      </c>
    </row>
    <row r="106" ht="15" customHeight="1" s="3">
      <c r="A106" s="17" t="inlineStr">
        <is>
          <t>#9</t>
        </is>
      </c>
      <c r="B106" s="17" t="inlineStr">
        <is>
          <t>Seed pre-money</t>
        </is>
      </c>
      <c r="C106" s="19" t="inlineStr">
        <is>
          <t>130 MNOK</t>
        </is>
      </c>
      <c r="D106" s="28" t="inlineStr">
        <is>
          <t>✓</t>
        </is>
      </c>
    </row>
    <row r="107" ht="15" customHeight="1" s="3">
      <c r="A107" s="17" t="inlineStr">
        <is>
          <t>#10</t>
        </is>
      </c>
      <c r="B107" s="17" t="inlineStr">
        <is>
          <t>CAPEX per CNC (incl. automation)</t>
        </is>
      </c>
      <c r="C107" s="19" t="inlineStr">
        <is>
          <t>10 MNOK</t>
        </is>
      </c>
      <c r="D107" s="28" t="inlineStr">
        <is>
          <t>✓</t>
        </is>
      </c>
    </row>
    <row r="108" ht="15" customHeight="1" s="3">
      <c r="A108" s="17" t="inlineStr">
        <is>
          <t>#11</t>
        </is>
      </c>
      <c r="B108" s="17" t="inlineStr">
        <is>
          <t>First revenue</t>
        </is>
      </c>
      <c r="C108" s="19" t="inlineStr">
        <is>
          <t>August 2027</t>
        </is>
      </c>
      <c r="D108" s="28" t="inlineStr">
        <is>
          <t>✓</t>
        </is>
      </c>
    </row>
    <row r="109" ht="15" customHeight="1" s="3">
      <c r="A109" s="17" t="inlineStr">
        <is>
          <t>#12</t>
        </is>
      </c>
      <c r="B109" s="17" t="inlineStr">
        <is>
          <t>Seed machines</t>
        </is>
      </c>
      <c r="C109" s="19" t="inlineStr">
        <is>
          <t>5 CNC</t>
        </is>
      </c>
      <c r="D109" s="28" t="inlineStr">
        <is>
          <t>✓</t>
        </is>
      </c>
    </row>
    <row r="110" ht="15" customHeight="1" s="3">
      <c r="A110" s="17" t="inlineStr">
        <is>
          <t>#13</t>
        </is>
      </c>
      <c r="B110" s="17" t="inlineStr">
        <is>
          <t>Serie A machines</t>
        </is>
      </c>
      <c r="C110" s="19" t="inlineStr">
        <is>
          <t>15 CNC (3×5 tranches)</t>
        </is>
      </c>
      <c r="D110" s="28" t="inlineStr">
        <is>
          <t>✓</t>
        </is>
      </c>
    </row>
    <row r="111" ht="15" customHeight="1" s="3">
      <c r="A111" s="17" t="inlineStr">
        <is>
          <t>#14</t>
        </is>
      </c>
      <c r="B111" s="17" t="inlineStr">
        <is>
          <t>Total equity raised (all rounds)</t>
        </is>
      </c>
      <c r="C111" s="19" t="inlineStr">
        <is>
          <t>101.3 MNOK</t>
        </is>
      </c>
      <c r="D111" s="28" t="inlineStr">
        <is>
          <t>✓</t>
        </is>
      </c>
    </row>
    <row r="112" ht="15" customHeight="1" s="3">
      <c r="A112" s="17" t="inlineStr">
        <is>
          <t>#15</t>
        </is>
      </c>
      <c r="B112" s="17" t="inlineStr">
        <is>
          <t>Self-funded scaling capability</t>
        </is>
      </c>
      <c r="C112" s="19" t="inlineStr">
        <is>
          <t>From ~2030</t>
        </is>
      </c>
      <c r="D112" s="28" t="inlineStr">
        <is>
          <t>✓</t>
        </is>
      </c>
    </row>
    <row r="113" ht="15" customHeight="1" s="3">
      <c r="A113" s="17" t="inlineStr">
        <is>
          <t>#16</t>
        </is>
      </c>
      <c r="B113" s="17" t="inlineStr">
        <is>
          <t>Shop base setup (per site)</t>
        </is>
      </c>
      <c r="C113" s="19" t="inlineStr">
        <is>
          <t>8.6 MNOK</t>
        </is>
      </c>
      <c r="D113" s="28" t="inlineStr">
        <is>
          <t>✓</t>
        </is>
      </c>
    </row>
    <row r="114" ht="15" customHeight="1" s="3">
      <c r="A114" s="17" t="inlineStr">
        <is>
          <t>#17</t>
        </is>
      </c>
      <c r="B114" s="17" t="inlineStr">
        <is>
          <t>Founder contribution valuation basis</t>
        </is>
      </c>
      <c r="C114" s="19" t="inlineStr">
        <is>
          <t>See VDR 2.3</t>
        </is>
      </c>
      <c r="D114" s="28" t="inlineStr">
        <is>
          <t>✓</t>
        </is>
      </c>
    </row>
  </sheetData>
  <mergeCells count="20">
    <mergeCell ref="A48:E48"/>
    <mergeCell ref="A73:E73"/>
    <mergeCell ref="A1:E1"/>
    <mergeCell ref="A6:E6"/>
    <mergeCell ref="A87:E87"/>
    <mergeCell ref="A78:E78"/>
    <mergeCell ref="A75:E75"/>
    <mergeCell ref="A46:E46"/>
    <mergeCell ref="A74:E74"/>
    <mergeCell ref="A55:E55"/>
    <mergeCell ref="A12:E12"/>
    <mergeCell ref="A2:E2"/>
    <mergeCell ref="A76:E76"/>
    <mergeCell ref="A14:E14"/>
    <mergeCell ref="A22:E22"/>
    <mergeCell ref="A20:E20"/>
    <mergeCell ref="A96:E96"/>
    <mergeCell ref="A38:E38"/>
    <mergeCell ref="A31:E31"/>
    <mergeCell ref="A67:E67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008000"/>
    <outlinePr summaryBelow="1" summaryRight="1"/>
    <pageSetUpPr/>
  </sheetPr>
  <dimension ref="A1:K54"/>
  <sheetViews>
    <sheetView zoomScaleNormal="100" workbookViewId="0">
      <selection activeCell="A1" sqref="A1"/>
    </sheetView>
  </sheetViews>
  <sheetFormatPr baseColWidth="10" defaultColWidth="8.7109375" defaultRowHeight="15"/>
  <cols>
    <col width="40" customWidth="1" style="3" min="1" max="1"/>
    <col width="16" customWidth="1" style="3" min="2" max="10"/>
    <col width="22" customWidth="1" style="3" min="11" max="11"/>
  </cols>
  <sheetData>
    <row r="1" ht="31.5" customHeight="1" s="3">
      <c r="A1" s="12" t="inlineStr">
        <is>
          <t>AURELIAN MANUFACTURING — REVENUE MODEL</t>
        </is>
      </c>
    </row>
    <row r="2" ht="15" customHeight="1" s="3">
      <c r="A2" s="14" t="inlineStr">
        <is>
          <t>All amounts in MNOK. Revenue = CNC (avg) × theo_hours × utilization% × hourly_rate. Source: REV6 §2.2</t>
        </is>
      </c>
    </row>
    <row r="4" ht="15" customHeight="1" s="3">
      <c r="A4" s="16" t="inlineStr">
        <is>
          <t>Key Assumptions (from Assumptions sheet)</t>
        </is>
      </c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</row>
    <row r="5" ht="15" customHeight="1" s="3">
      <c r="A5" s="30" t="inlineStr">
        <is>
          <t>Theoretical hours / CNC / year</t>
        </is>
      </c>
      <c r="B5" s="31">
        <f>Assumptions!C7</f>
        <v/>
      </c>
      <c r="C5" s="14" t="inlineStr">
        <is>
          <t>hours</t>
        </is>
      </c>
    </row>
    <row r="6" ht="15" customHeight="1" s="3">
      <c r="A6" s="30" t="inlineStr">
        <is>
          <t>Normalized hourly rate</t>
        </is>
      </c>
      <c r="B6" s="31">
        <f>Assumptions!C8</f>
        <v/>
      </c>
      <c r="C6" s="14" t="inlineStr">
        <is>
          <t>NOK</t>
        </is>
      </c>
    </row>
    <row r="7" ht="15" customHeight="1" s="3">
      <c r="A7" s="30" t="inlineStr">
        <is>
          <t>Customer Program threshold</t>
        </is>
      </c>
      <c r="B7" s="208">
        <f>Assumptions!C9</f>
        <v/>
      </c>
      <c r="C7" s="14" t="inlineStr">
        <is>
          <t>utilization</t>
        </is>
      </c>
    </row>
    <row r="8" ht="15" customHeight="1" s="3">
      <c r="A8" s="30" t="inlineStr">
        <is>
          <t>Revenue per CNC at 60% utilization</t>
        </is>
      </c>
      <c r="B8" s="209">
        <f>Assumptions!C7*0.6*Assumptions!C8/1000000</f>
        <v/>
      </c>
      <c r="C8" s="14" t="inlineStr">
        <is>
          <t>MNOK — checkpoint ✓</t>
        </is>
      </c>
    </row>
    <row r="10" ht="15" customHeight="1" s="3">
      <c r="A10" s="16" t="inlineStr">
        <is>
          <t>Revenue Build-Up</t>
        </is>
      </c>
      <c r="B10" s="29" t="n"/>
      <c r="C10" s="29" t="n"/>
      <c r="D10" s="29" t="n"/>
      <c r="E10" s="29" t="n"/>
      <c r="F10" s="29" t="n"/>
      <c r="G10" s="29" t="n"/>
      <c r="H10" s="29" t="n"/>
      <c r="I10" s="29" t="n"/>
      <c r="J10" s="29" t="n"/>
    </row>
    <row r="11" ht="15" customHeight="1" s="3">
      <c r="A11" s="30" t="n"/>
      <c r="B11" s="34" t="inlineStr">
        <is>
          <t>2027 H2</t>
        </is>
      </c>
      <c r="C11" s="34" t="inlineStr">
        <is>
          <t>2028</t>
        </is>
      </c>
      <c r="D11" s="34" t="inlineStr">
        <is>
          <t>2029</t>
        </is>
      </c>
      <c r="E11" s="34" t="inlineStr">
        <is>
          <t>2030</t>
        </is>
      </c>
      <c r="F11" s="34" t="inlineStr">
        <is>
          <t>2031</t>
        </is>
      </c>
      <c r="G11" s="34" t="inlineStr">
        <is>
          <t>2032</t>
        </is>
      </c>
      <c r="H11" s="34" t="inlineStr">
        <is>
          <t>2033</t>
        </is>
      </c>
      <c r="I11" s="34" t="inlineStr">
        <is>
          <t>2034</t>
        </is>
      </c>
      <c r="J11" s="34" t="inlineStr">
        <is>
          <t>2035</t>
        </is>
      </c>
      <c r="K11" s="35" t="inlineStr">
        <is>
          <t>Notes</t>
        </is>
      </c>
    </row>
    <row r="12" ht="15" customHeight="1" s="3">
      <c r="A12" s="25" t="inlineStr">
        <is>
          <t>CNC machines (avg operating)</t>
        </is>
      </c>
      <c r="B12" s="36" t="n">
        <v>5</v>
      </c>
      <c r="C12" s="36" t="n">
        <v>5</v>
      </c>
      <c r="D12" s="36" t="n">
        <v>12</v>
      </c>
      <c r="E12" s="36" t="n">
        <v>17</v>
      </c>
      <c r="F12" s="36" t="n">
        <v>20</v>
      </c>
      <c r="G12" s="36" t="n">
        <v>20</v>
      </c>
      <c r="H12" s="36" t="n">
        <v>22</v>
      </c>
      <c r="I12" s="36" t="n">
        <v>24</v>
      </c>
      <c r="J12" s="36" t="n">
        <v>25</v>
      </c>
      <c r="K12" s="18" t="inlineStr">
        <is>
          <t>REV6 §2.2 — average operating CNC per period</t>
        </is>
      </c>
    </row>
    <row r="13" ht="15" customHeight="1" s="3">
      <c r="A13" s="25" t="inlineStr">
        <is>
          <t>Utilization (%)</t>
        </is>
      </c>
      <c r="B13" s="210" t="n">
        <v>0.2</v>
      </c>
      <c r="C13" s="210" t="n">
        <v>0.375</v>
      </c>
      <c r="D13" s="210" t="n">
        <v>0.425</v>
      </c>
      <c r="E13" s="210" t="n">
        <v>0.475</v>
      </c>
      <c r="F13" s="210" t="n">
        <v>0.525</v>
      </c>
      <c r="G13" s="210" t="n">
        <v>0.575</v>
      </c>
      <c r="H13" s="210" t="n">
        <v>0.6</v>
      </c>
      <c r="I13" s="210" t="n">
        <v>0.625</v>
      </c>
      <c r="J13" s="210" t="n">
        <v>0.65</v>
      </c>
      <c r="K13" s="18" t="inlineStr">
        <is>
          <t>REV6 §2.2 — ramp from 20% to 65%</t>
        </is>
      </c>
    </row>
    <row r="14" ht="15" customHeight="1" s="3">
      <c r="A14" s="17" t="inlineStr">
        <is>
          <t>Operating months in period</t>
        </is>
      </c>
      <c r="B14" s="36" t="n">
        <v>5</v>
      </c>
      <c r="C14" s="36" t="n">
        <v>12</v>
      </c>
      <c r="D14" s="36" t="n">
        <v>12</v>
      </c>
      <c r="E14" s="36" t="n">
        <v>12</v>
      </c>
      <c r="F14" s="36" t="n">
        <v>12</v>
      </c>
      <c r="G14" s="36" t="n">
        <v>12</v>
      </c>
      <c r="H14" s="36" t="n">
        <v>12</v>
      </c>
      <c r="I14" s="36" t="n">
        <v>12</v>
      </c>
      <c r="J14" s="36" t="n">
        <v>12</v>
      </c>
      <c r="K14" s="18" t="inlineStr">
        <is>
          <t>2027 H2: Aug–Dec (5 months). Full year thereafter.</t>
        </is>
      </c>
    </row>
    <row r="15" ht="15" customHeight="1" s="3">
      <c r="A15" s="17" t="inlineStr">
        <is>
          <t>Revenue per CNC (annualized, MNOK)</t>
        </is>
      </c>
      <c r="B15" s="211">
        <f>Assumptions!$C$7*B13*Assumptions!$C$8/1000000</f>
        <v/>
      </c>
      <c r="C15" s="211">
        <f>Assumptions!$C$7*C13*Assumptions!$C$8/1000000</f>
        <v/>
      </c>
      <c r="D15" s="211">
        <f>Assumptions!$C$7*D13*Assumptions!$C$8/1000000</f>
        <v/>
      </c>
      <c r="E15" s="211">
        <f>Assumptions!$C$7*E13*Assumptions!$C$8/1000000</f>
        <v/>
      </c>
      <c r="F15" s="211">
        <f>Assumptions!$C$7*F13*Assumptions!$C$8/1000000</f>
        <v/>
      </c>
      <c r="G15" s="211">
        <f>Assumptions!$C$7*G13*Assumptions!$C$8/1000000</f>
        <v/>
      </c>
      <c r="H15" s="211">
        <f>Assumptions!$C$7*H13*Assumptions!$C$8/1000000</f>
        <v/>
      </c>
      <c r="I15" s="211">
        <f>Assumptions!$C$7*I13*Assumptions!$C$8/1000000</f>
        <v/>
      </c>
      <c r="J15" s="211">
        <f>Assumptions!$C$7*J13*Assumptions!$C$8/1000000</f>
        <v/>
      </c>
      <c r="K15" s="18" t="inlineStr">
        <is>
          <t>Formula: theo_hours × util% × rate / 1M</t>
        </is>
      </c>
    </row>
    <row r="16" ht="15" customHeight="1" s="3">
      <c r="A16" s="17" t="inlineStr">
        <is>
          <t>Period adjustment (months/12)</t>
        </is>
      </c>
      <c r="B16" s="39">
        <f>B14/12</f>
        <v/>
      </c>
      <c r="C16" s="39">
        <f>C14/12</f>
        <v/>
      </c>
      <c r="D16" s="39">
        <f>D14/12</f>
        <v/>
      </c>
      <c r="E16" s="39">
        <f>E14/12</f>
        <v/>
      </c>
      <c r="F16" s="39">
        <f>F14/12</f>
        <v/>
      </c>
      <c r="G16" s="39">
        <f>G14/12</f>
        <v/>
      </c>
      <c r="H16" s="39">
        <f>H14/12</f>
        <v/>
      </c>
      <c r="I16" s="39">
        <f>I14/12</f>
        <v/>
      </c>
      <c r="J16" s="39">
        <f>J14/12</f>
        <v/>
      </c>
      <c r="K16" s="40" t="n"/>
    </row>
    <row r="17" ht="15" customHeight="1" s="3">
      <c r="A17" s="41" t="inlineStr">
        <is>
          <t>TOTAL REVENUE (MNOK)</t>
        </is>
      </c>
      <c r="B17" s="212">
        <f>B12*B15*B16</f>
        <v/>
      </c>
      <c r="C17" s="212">
        <f>C12*C15*C16</f>
        <v/>
      </c>
      <c r="D17" s="212">
        <f>D12*D15*D16</f>
        <v/>
      </c>
      <c r="E17" s="212">
        <f>E12*E15*E16</f>
        <v/>
      </c>
      <c r="F17" s="212">
        <f>F12*F15*F16</f>
        <v/>
      </c>
      <c r="G17" s="212">
        <f>G12*G15*G16</f>
        <v/>
      </c>
      <c r="H17" s="212">
        <f>H12*H15*H16</f>
        <v/>
      </c>
      <c r="I17" s="212">
        <f>I12*I15*I16</f>
        <v/>
      </c>
      <c r="J17" s="212">
        <f>J12*J15*J16</f>
        <v/>
      </c>
      <c r="K17" s="43" t="inlineStr">
        <is>
          <t>Formula: CNC_avg × rev_per_CNC × period_adj</t>
        </is>
      </c>
    </row>
    <row r="19" ht="15" customHeight="1" s="3">
      <c r="A19" s="16" t="inlineStr">
        <is>
          <t>Verification vs REV6 §2.2</t>
        </is>
      </c>
      <c r="B19" s="29" t="n"/>
      <c r="C19" s="29" t="n"/>
      <c r="D19" s="29" t="n"/>
      <c r="E19" s="29" t="n"/>
      <c r="F19" s="29" t="n"/>
      <c r="G19" s="29" t="n"/>
      <c r="H19" s="29" t="n"/>
      <c r="I19" s="29" t="n"/>
      <c r="J19" s="29" t="n"/>
    </row>
    <row r="20" ht="15" customHeight="1" s="3">
      <c r="A20" s="30" t="n"/>
      <c r="B20" s="34" t="inlineStr">
        <is>
          <t>2027 H2</t>
        </is>
      </c>
      <c r="C20" s="34" t="inlineStr">
        <is>
          <t>2028</t>
        </is>
      </c>
      <c r="D20" s="34" t="inlineStr">
        <is>
          <t>2029</t>
        </is>
      </c>
      <c r="E20" s="34" t="inlineStr">
        <is>
          <t>2030</t>
        </is>
      </c>
      <c r="F20" s="34" t="inlineStr">
        <is>
          <t>2031</t>
        </is>
      </c>
      <c r="G20" s="34" t="inlineStr">
        <is>
          <t>2032</t>
        </is>
      </c>
      <c r="H20" s="34" t="inlineStr">
        <is>
          <t>2033</t>
        </is>
      </c>
      <c r="I20" s="34" t="inlineStr">
        <is>
          <t>2034</t>
        </is>
      </c>
      <c r="J20" s="34" t="inlineStr">
        <is>
          <t>2035</t>
        </is>
      </c>
    </row>
    <row r="21" ht="15" customHeight="1" s="3">
      <c r="A21" s="17" t="inlineStr">
        <is>
          <t>REV6 target revenue (MNOK)</t>
        </is>
      </c>
      <c r="B21" s="213" t="n">
        <v>10.9</v>
      </c>
      <c r="C21" s="213" t="n">
        <v>49.3</v>
      </c>
      <c r="D21" s="213" t="n">
        <v>134</v>
      </c>
      <c r="E21" s="213" t="n">
        <v>212</v>
      </c>
      <c r="F21" s="213" t="n">
        <v>276</v>
      </c>
      <c r="G21" s="213" t="n">
        <v>302</v>
      </c>
      <c r="H21" s="213" t="n">
        <v>347</v>
      </c>
      <c r="I21" s="213" t="n">
        <v>394</v>
      </c>
      <c r="J21" s="213" t="n">
        <v>427</v>
      </c>
      <c r="K21" s="40" t="n"/>
    </row>
    <row r="22" ht="15" customHeight="1" s="3">
      <c r="A22" s="17" t="inlineStr">
        <is>
          <t>Model calculated revenue (MNOK)</t>
        </is>
      </c>
      <c r="B22" s="211">
        <f>B17</f>
        <v/>
      </c>
      <c r="C22" s="211">
        <f>C17</f>
        <v/>
      </c>
      <c r="D22" s="211">
        <f>D17</f>
        <v/>
      </c>
      <c r="E22" s="211">
        <f>E17</f>
        <v/>
      </c>
      <c r="F22" s="211">
        <f>F17</f>
        <v/>
      </c>
      <c r="G22" s="211">
        <f>G17</f>
        <v/>
      </c>
      <c r="H22" s="211">
        <f>H17</f>
        <v/>
      </c>
      <c r="I22" s="211">
        <f>I17</f>
        <v/>
      </c>
      <c r="J22" s="211">
        <f>J17</f>
        <v/>
      </c>
      <c r="K22" s="40" t="n"/>
    </row>
    <row r="23" ht="15" customHeight="1" s="3">
      <c r="A23" s="17" t="inlineStr">
        <is>
          <t>Difference (MNOK)</t>
        </is>
      </c>
      <c r="B23" s="214">
        <f>B22-B21</f>
        <v/>
      </c>
      <c r="C23" s="214">
        <f>C22-C21</f>
        <v/>
      </c>
      <c r="D23" s="214">
        <f>D22-D21</f>
        <v/>
      </c>
      <c r="E23" s="214">
        <f>E22-E21</f>
        <v/>
      </c>
      <c r="F23" s="214">
        <f>F22-F21</f>
        <v/>
      </c>
      <c r="G23" s="214">
        <f>G22-G21</f>
        <v/>
      </c>
      <c r="H23" s="214">
        <f>H22-H21</f>
        <v/>
      </c>
      <c r="I23" s="214">
        <f>I22-I21</f>
        <v/>
      </c>
      <c r="J23" s="214">
        <f>J22-J21</f>
        <v/>
      </c>
      <c r="K23" s="40" t="n"/>
    </row>
    <row r="24" ht="15" customHeight="1" s="3">
      <c r="A24" s="17" t="inlineStr">
        <is>
          <t>Difference (%)</t>
        </is>
      </c>
      <c r="B24" s="215">
        <f>IF(B21=0,0,B23/B21)</f>
        <v/>
      </c>
      <c r="C24" s="215">
        <f>IF(C21=0,0,C23/C21)</f>
        <v/>
      </c>
      <c r="D24" s="215">
        <f>IF(D21=0,0,D23/D21)</f>
        <v/>
      </c>
      <c r="E24" s="215">
        <f>IF(E21=0,0,E23/E21)</f>
        <v/>
      </c>
      <c r="F24" s="215">
        <f>IF(F21=0,0,F23/F21)</f>
        <v/>
      </c>
      <c r="G24" s="215">
        <f>IF(G21=0,0,G23/G21)</f>
        <v/>
      </c>
      <c r="H24" s="215">
        <f>IF(H21=0,0,H23/H21)</f>
        <v/>
      </c>
      <c r="I24" s="215">
        <f>IF(I21=0,0,I23/I21)</f>
        <v/>
      </c>
      <c r="J24" s="215">
        <f>IF(J21=0,0,J23/J21)</f>
        <v/>
      </c>
      <c r="K24" s="40" t="n"/>
    </row>
    <row r="26" ht="15" customHeight="1" s="3">
      <c r="A26" s="16" t="inlineStr">
        <is>
          <t>Revenue Split for Customer Program</t>
        </is>
      </c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</row>
    <row r="27" ht="15" customHeight="1" s="3">
      <c r="A27" s="30" t="n"/>
      <c r="B27" s="34" t="inlineStr">
        <is>
          <t>2027 H2</t>
        </is>
      </c>
      <c r="C27" s="34" t="inlineStr">
        <is>
          <t>2028</t>
        </is>
      </c>
      <c r="D27" s="34" t="inlineStr">
        <is>
          <t>2029</t>
        </is>
      </c>
      <c r="E27" s="34" t="inlineStr">
        <is>
          <t>2030</t>
        </is>
      </c>
      <c r="F27" s="34" t="inlineStr">
        <is>
          <t>2031</t>
        </is>
      </c>
      <c r="G27" s="34" t="inlineStr">
        <is>
          <t>2032</t>
        </is>
      </c>
      <c r="H27" s="34" t="inlineStr">
        <is>
          <t>2033</t>
        </is>
      </c>
      <c r="I27" s="34" t="inlineStr">
        <is>
          <t>2034</t>
        </is>
      </c>
      <c r="J27" s="34" t="inlineStr">
        <is>
          <t>2035</t>
        </is>
      </c>
    </row>
    <row r="28" ht="15" customHeight="1" s="3">
      <c r="A28" s="17" t="inlineStr">
        <is>
          <t>Revenue at 45% threshold (MNOK)</t>
        </is>
      </c>
      <c r="B28" s="211">
        <f>B12*Assumptions!$C$7*Assumptions!$C$9*Assumptions!$C$8*B16/1000000</f>
        <v/>
      </c>
      <c r="C28" s="211">
        <f>C12*Assumptions!$C$7*Assumptions!$C$9*Assumptions!$C$8*C16/1000000</f>
        <v/>
      </c>
      <c r="D28" s="211">
        <f>D12*Assumptions!$C$7*Assumptions!$C$9*Assumptions!$C$8*D16/1000000</f>
        <v/>
      </c>
      <c r="E28" s="211">
        <f>E12*Assumptions!$C$7*Assumptions!$C$9*Assumptions!$C$8*E16/1000000</f>
        <v/>
      </c>
      <c r="F28" s="211">
        <f>F12*Assumptions!$C$7*Assumptions!$C$9*Assumptions!$C$8*F16/1000000</f>
        <v/>
      </c>
      <c r="G28" s="211">
        <f>G12*Assumptions!$C$7*Assumptions!$C$9*Assumptions!$C$8*G16/1000000</f>
        <v/>
      </c>
      <c r="H28" s="211">
        <f>H12*Assumptions!$C$7*Assumptions!$C$9*Assumptions!$C$8*H16/1000000</f>
        <v/>
      </c>
      <c r="I28" s="211">
        <f>I12*Assumptions!$C$7*Assumptions!$C$9*Assumptions!$C$8*I16/1000000</f>
        <v/>
      </c>
      <c r="J28" s="211">
        <f>J12*Assumptions!$C$7*Assumptions!$C$9*Assumptions!$C$8*J16/1000000</f>
        <v/>
      </c>
      <c r="K28" s="18" t="inlineStr">
        <is>
          <t>Formula: CNC × hours × 45% × rate × adj / 1M</t>
        </is>
      </c>
    </row>
    <row r="29" ht="15" customHeight="1" s="3">
      <c r="A29" s="17" t="inlineStr">
        <is>
          <t>Revenue ABOVE threshold (MNOK)</t>
        </is>
      </c>
      <c r="B29" s="216">
        <f>MAX(0,B17-B28)</f>
        <v/>
      </c>
      <c r="C29" s="216">
        <f>MAX(0,C17-C28)</f>
        <v/>
      </c>
      <c r="D29" s="216">
        <f>MAX(0,D17-D28)</f>
        <v/>
      </c>
      <c r="E29" s="216">
        <f>MAX(0,E17-E28)</f>
        <v/>
      </c>
      <c r="F29" s="216">
        <f>MAX(0,F17-F28)</f>
        <v/>
      </c>
      <c r="G29" s="216">
        <f>MAX(0,G17-G28)</f>
        <v/>
      </c>
      <c r="H29" s="216">
        <f>MAX(0,H17-H28)</f>
        <v/>
      </c>
      <c r="I29" s="216">
        <f>MAX(0,I17-I28)</f>
        <v/>
      </c>
      <c r="J29" s="216">
        <f>MAX(0,J17-J28)</f>
        <v/>
      </c>
      <c r="K29" s="40" t="n"/>
    </row>
    <row r="30" ht="15" customHeight="1" s="3">
      <c r="A30" s="17" t="inlineStr">
        <is>
          <t>Variable cost % (maturity curve)</t>
        </is>
      </c>
      <c r="B30" s="217">
        <f>Assumptions!$C$15</f>
        <v/>
      </c>
      <c r="C30" s="217">
        <f>Assumptions!$C$15</f>
        <v/>
      </c>
      <c r="D30" s="217">
        <f>Assumptions!$C$16</f>
        <v/>
      </c>
      <c r="E30" s="217">
        <f>Assumptions!$C$17</f>
        <v/>
      </c>
      <c r="F30" s="217">
        <f>Assumptions!$C$18</f>
        <v/>
      </c>
      <c r="G30" s="217">
        <f>Assumptions!$C$19</f>
        <v/>
      </c>
      <c r="H30" s="217">
        <f>Assumptions!$C$19</f>
        <v/>
      </c>
      <c r="I30" s="217">
        <f>Assumptions!$C$19</f>
        <v/>
      </c>
      <c r="J30" s="217">
        <f>Assumptions!$C$19</f>
        <v/>
      </c>
      <c r="K30" s="18" t="inlineStr">
        <is>
          <t>REV6 §1.1b maturity curve</t>
        </is>
      </c>
    </row>
    <row r="31" ht="15" customHeight="1" s="3">
      <c r="A31" s="17" t="inlineStr">
        <is>
          <t>Marginal profit above threshold (MNOK)</t>
        </is>
      </c>
      <c r="B31" s="216">
        <f>B29*(1-B30)</f>
        <v/>
      </c>
      <c r="C31" s="216">
        <f>C29*(1-C30)</f>
        <v/>
      </c>
      <c r="D31" s="216">
        <f>D29*(1-D30)</f>
        <v/>
      </c>
      <c r="E31" s="216">
        <f>E29*(1-E30)</f>
        <v/>
      </c>
      <c r="F31" s="216">
        <f>F29*(1-F30)</f>
        <v/>
      </c>
      <c r="G31" s="216">
        <f>G29*(1-G30)</f>
        <v/>
      </c>
      <c r="H31" s="216">
        <f>H29*(1-H30)</f>
        <v/>
      </c>
      <c r="I31" s="216">
        <f>I29*(1-I30)</f>
        <v/>
      </c>
      <c r="J31" s="216">
        <f>J29*(1-J30)</f>
        <v/>
      </c>
      <c r="K31" s="40" t="n"/>
    </row>
    <row r="32" ht="15" customHeight="1" s="3">
      <c r="A32" s="25" t="inlineStr">
        <is>
          <t>Customer Program (50/50 share, MNOK)</t>
        </is>
      </c>
      <c r="B32" s="218">
        <f>IF(B13&gt;Assumptions!$C$9,B31*Assumptions!$C$10,0)</f>
        <v/>
      </c>
      <c r="C32" s="218">
        <f>IF(C13&gt;Assumptions!$C$9,C31*Assumptions!$C$10,0)</f>
        <v/>
      </c>
      <c r="D32" s="218">
        <f>IF(D13&gt;Assumptions!$C$9,D31*Assumptions!$C$10,0)</f>
        <v/>
      </c>
      <c r="E32" s="218">
        <f>IF(E13&gt;Assumptions!$C$9,E31*Assumptions!$C$10,0)</f>
        <v/>
      </c>
      <c r="F32" s="218">
        <f>IF(F13&gt;Assumptions!$C$9,F31*Assumptions!$C$10,0)</f>
        <v/>
      </c>
      <c r="G32" s="218">
        <f>IF(G13&gt;Assumptions!$C$9,G31*Assumptions!$C$10,0)</f>
        <v/>
      </c>
      <c r="H32" s="218">
        <f>IF(H13&gt;Assumptions!$C$9,H31*Assumptions!$C$10,0)</f>
        <v/>
      </c>
      <c r="I32" s="218">
        <f>IF(I13&gt;Assumptions!$C$9,I31*Assumptions!$C$10,0)</f>
        <v/>
      </c>
      <c r="J32" s="218">
        <f>IF(J13&gt;Assumptions!$C$9,J31*Assumptions!$C$10,0)</f>
        <v/>
      </c>
      <c r="K32" s="18" t="inlineStr">
        <is>
          <t>Only when util &gt; 45%, strategic customers only</t>
        </is>
      </c>
    </row>
    <row r="33" ht="15" customHeight="1" s="3">
      <c r="A33" s="17" t="inlineStr">
        <is>
          <t>REV6 Customer Program target (MNOK)</t>
        </is>
      </c>
      <c r="B33" s="213" t="n">
        <v>0</v>
      </c>
      <c r="C33" s="213" t="n">
        <v>0</v>
      </c>
      <c r="D33" s="213" t="n">
        <v>0</v>
      </c>
      <c r="E33" s="213" t="n">
        <v>0</v>
      </c>
      <c r="F33" s="213" t="n">
        <v>16.4</v>
      </c>
      <c r="G33" s="213" t="n">
        <v>27.3</v>
      </c>
      <c r="H33" s="213" t="n">
        <v>42</v>
      </c>
      <c r="I33" s="213" t="n">
        <v>57.6</v>
      </c>
      <c r="J33" s="213" t="n">
        <v>72</v>
      </c>
      <c r="K33" s="40" t="n"/>
    </row>
    <row r="35" ht="15" customHeight="1" s="3">
      <c r="A35" s="16" t="inlineStr">
        <is>
          <t>Cumulative Revenue</t>
        </is>
      </c>
      <c r="B35" s="29" t="n"/>
      <c r="C35" s="29" t="n"/>
      <c r="D35" s="29" t="n"/>
      <c r="E35" s="29" t="n"/>
      <c r="F35" s="29" t="n"/>
      <c r="G35" s="29" t="n"/>
      <c r="H35" s="29" t="n"/>
      <c r="I35" s="29" t="n"/>
      <c r="J35" s="29" t="n"/>
    </row>
    <row r="36" ht="15" customHeight="1" s="3">
      <c r="A36" s="50" t="inlineStr">
        <is>
          <t>Cumulative revenue (MNOK)</t>
        </is>
      </c>
      <c r="B36" s="219">
        <f>B17</f>
        <v/>
      </c>
      <c r="C36" s="219">
        <f>B36+C17</f>
        <v/>
      </c>
      <c r="D36" s="219">
        <f>C36+D17</f>
        <v/>
      </c>
      <c r="E36" s="219">
        <f>D36+E17</f>
        <v/>
      </c>
      <c r="F36" s="219">
        <f>E36+F17</f>
        <v/>
      </c>
      <c r="G36" s="219">
        <f>F36+G17</f>
        <v/>
      </c>
      <c r="H36" s="219">
        <f>G36+H17</f>
        <v/>
      </c>
      <c r="I36" s="219">
        <f>H36+I17</f>
        <v/>
      </c>
      <c r="J36" s="219">
        <f>I36+J17</f>
        <v/>
      </c>
      <c r="K36" s="52" t="n"/>
    </row>
    <row r="38" ht="15" customHeight="1" s="3">
      <c r="A38" s="16" t="inlineStr">
        <is>
          <t>Revenue per CNC Analysis</t>
        </is>
      </c>
      <c r="B38" s="29" t="n"/>
      <c r="C38" s="29" t="n"/>
      <c r="D38" s="29" t="n"/>
      <c r="E38" s="29" t="n"/>
      <c r="F38" s="29" t="n"/>
      <c r="G38" s="29" t="n"/>
      <c r="H38" s="29" t="n"/>
      <c r="I38" s="29" t="n"/>
      <c r="J38" s="29" t="n"/>
    </row>
    <row r="39" ht="15" customHeight="1" s="3">
      <c r="B39" s="34" t="inlineStr">
        <is>
          <t>2027 H2</t>
        </is>
      </c>
      <c r="C39" s="34" t="inlineStr">
        <is>
          <t>2028</t>
        </is>
      </c>
      <c r="D39" s="34" t="inlineStr">
        <is>
          <t>2029</t>
        </is>
      </c>
      <c r="E39" s="34" t="inlineStr">
        <is>
          <t>2030</t>
        </is>
      </c>
      <c r="F39" s="34" t="inlineStr">
        <is>
          <t>2031</t>
        </is>
      </c>
      <c r="G39" s="34" t="inlineStr">
        <is>
          <t>2032</t>
        </is>
      </c>
      <c r="H39" s="34" t="inlineStr">
        <is>
          <t>2033</t>
        </is>
      </c>
      <c r="I39" s="34" t="inlineStr">
        <is>
          <t>2034</t>
        </is>
      </c>
      <c r="J39" s="34" t="inlineStr">
        <is>
          <t>2035</t>
        </is>
      </c>
    </row>
    <row r="40" ht="15" customHeight="1" s="3">
      <c r="A40" s="17" t="inlineStr">
        <is>
          <t>Revenue per CNC (period, MNOK)</t>
        </is>
      </c>
      <c r="B40" s="53">
        <f>IF(B12=0,0,B17/B12)</f>
        <v/>
      </c>
      <c r="C40" s="53">
        <f>IF(C12=0,0,C17/C12)</f>
        <v/>
      </c>
      <c r="D40" s="53">
        <f>IF(D12=0,0,D17/D12)</f>
        <v/>
      </c>
      <c r="E40" s="53">
        <f>IF(E12=0,0,E17/E12)</f>
        <v/>
      </c>
      <c r="F40" s="53">
        <f>IF(F12=0,0,F17/F12)</f>
        <v/>
      </c>
      <c r="G40" s="53">
        <f>IF(G12=0,0,G17/G12)</f>
        <v/>
      </c>
      <c r="H40" s="53">
        <f>IF(H12=0,0,H17/H12)</f>
        <v/>
      </c>
      <c r="I40" s="53">
        <f>IF(I12=0,0,I17/I12)</f>
        <v/>
      </c>
      <c r="J40" s="53">
        <f>IF(J12=0,0,J17/J12)</f>
        <v/>
      </c>
      <c r="K40" s="40" t="n"/>
    </row>
    <row r="41" ht="15" customHeight="1" s="3">
      <c r="A41" s="17" t="inlineStr">
        <is>
          <t>Productive hours per CNC (period)</t>
        </is>
      </c>
      <c r="B41" s="54">
        <f>Assumptions!$C$7*B13*B16</f>
        <v/>
      </c>
      <c r="C41" s="54">
        <f>Assumptions!$C$7*C13*C16</f>
        <v/>
      </c>
      <c r="D41" s="54">
        <f>Assumptions!$C$7*D13*D16</f>
        <v/>
      </c>
      <c r="E41" s="54">
        <f>Assumptions!$C$7*E13*E16</f>
        <v/>
      </c>
      <c r="F41" s="54">
        <f>Assumptions!$C$7*F13*F16</f>
        <v/>
      </c>
      <c r="G41" s="54">
        <f>Assumptions!$C$7*G13*G16</f>
        <v/>
      </c>
      <c r="H41" s="54">
        <f>Assumptions!$C$7*H13*H16</f>
        <v/>
      </c>
      <c r="I41" s="54">
        <f>Assumptions!$C$7*I13*I16</f>
        <v/>
      </c>
      <c r="J41" s="54">
        <f>Assumptions!$C$7*J13*J16</f>
        <v/>
      </c>
      <c r="K41" s="40" t="n"/>
    </row>
    <row r="42" ht="15" customHeight="1" s="3">
      <c r="A42" s="17" t="inlineStr">
        <is>
          <t>Effective hourly rate (NOK)</t>
        </is>
      </c>
      <c r="B42" s="54">
        <f>Assumptions!$C$8</f>
        <v/>
      </c>
      <c r="C42" s="54">
        <f>Assumptions!$C$8</f>
        <v/>
      </c>
      <c r="D42" s="54">
        <f>Assumptions!$C$8</f>
        <v/>
      </c>
      <c r="E42" s="54">
        <f>Assumptions!$C$8</f>
        <v/>
      </c>
      <c r="F42" s="54">
        <f>Assumptions!$C$8</f>
        <v/>
      </c>
      <c r="G42" s="54">
        <f>Assumptions!$C$8</f>
        <v/>
      </c>
      <c r="H42" s="54">
        <f>Assumptions!$C$8</f>
        <v/>
      </c>
      <c r="I42" s="54">
        <f>Assumptions!$C$8</f>
        <v/>
      </c>
      <c r="J42" s="54">
        <f>Assumptions!$C$8</f>
        <v/>
      </c>
      <c r="K42" s="18" t="inlineStr">
        <is>
          <t>Constant 3,000 NOK — defence/O&amp;G upside not modeled</t>
        </is>
      </c>
    </row>
    <row r="44" ht="15" customHeight="1" s="3">
      <c r="A44" s="16" t="inlineStr">
        <is>
          <t>Notes</t>
        </is>
      </c>
      <c r="B44" s="29" t="n"/>
      <c r="C44" s="29" t="n"/>
      <c r="D44" s="29" t="n"/>
      <c r="E44" s="29" t="n"/>
      <c r="F44" s="29" t="n"/>
      <c r="G44" s="29" t="n"/>
      <c r="H44" s="29" t="n"/>
      <c r="I44" s="29" t="n"/>
      <c r="J44" s="29" t="n"/>
    </row>
    <row r="45" ht="15" customHeight="1" s="3">
      <c r="A45" s="14" t="inlineStr">
        <is>
          <t>• 2027 H2: Production starts August 2027. 5 months of operations (Aug–Dec).</t>
        </is>
      </c>
    </row>
    <row r="46" ht="15" customHeight="1" s="3">
      <c r="A46" s="14" t="inlineStr">
        <is>
          <t>• Utilization ramps conservatively from 20% (startup) to 65% (steady state by 2035).</t>
        </is>
      </c>
    </row>
    <row r="47" ht="15" customHeight="1" s="3">
      <c r="A47" s="14" t="inlineStr">
        <is>
          <t>• Customer Program applies fleet-wide in model (conservative). In practice, per-customer → ~20 MNOK less sharing.</t>
        </is>
      </c>
    </row>
    <row r="48" ht="15" customHeight="1" s="3">
      <c r="A48" s="14" t="inlineStr">
        <is>
          <t>• Hourly rate of 3,000 NOK is floor. Defence/O&amp;G premiums represent unmodeled upside.</t>
        </is>
      </c>
    </row>
    <row r="49" ht="15" customHeight="1" s="3">
      <c r="A49" s="14" t="inlineStr">
        <is>
          <t>• Serie A tranches are customer-driven. Deployment may accelerate or decelerate based on order book.</t>
        </is>
      </c>
    </row>
    <row r="50" ht="15" customHeight="1" s="3">
      <c r="A50" s="14" t="inlineStr">
        <is>
          <t>• REV6 §3.5: Realistic Customer Program ~20–25 MNOK/yr vs modeled ~42 MNOK → +22 MNOK unmodeled upside at steady state.</t>
        </is>
      </c>
    </row>
    <row r="51" ht="15" customHeight="1" s="3">
      <c r="A51" s="14" t="inlineStr">
        <is>
          <t>• NOTE: Customer Program formula follows REV6 §3.4 exactly. Minor differences vs §2.2 table are due to:</t>
        </is>
      </c>
    </row>
    <row r="52" ht="15" customHeight="1" s="3">
      <c r="A52" s="14" t="inlineStr">
        <is>
          <t xml:space="preserve">  (a) 2030: Model triggers at 47.5% &gt; 45%, REV6 table shows 0 — likely deferred activation during ramp-up.</t>
        </is>
      </c>
    </row>
    <row r="53" ht="15" customHeight="1" s="3">
      <c r="A53" s="14" t="inlineStr">
        <is>
          <t xml:space="preserve">  (b) Later years: REV6 §3.5 notes fleet-wide model overestimates vs per-customer reality by ~20–25 MNOK/yr.</t>
        </is>
      </c>
    </row>
    <row r="54" ht="15" customHeight="1" s="3">
      <c r="A54" s="14" t="inlineStr">
        <is>
          <t xml:space="preserve">  (c) P&amp;L sheet will reconcile to REV6 §2.2 exact values. This sheet shows formula-derived figures.</t>
        </is>
      </c>
    </row>
  </sheetData>
  <mergeCells count="12">
    <mergeCell ref="A47:J47"/>
    <mergeCell ref="A1:J1"/>
    <mergeCell ref="A46:J46"/>
    <mergeCell ref="A45:J45"/>
    <mergeCell ref="A53:J53"/>
    <mergeCell ref="A50:J50"/>
    <mergeCell ref="A48:J48"/>
    <mergeCell ref="A2:J2"/>
    <mergeCell ref="A52:J52"/>
    <mergeCell ref="A49:J49"/>
    <mergeCell ref="A54:J54"/>
    <mergeCell ref="A51:J5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CC0000"/>
    <outlinePr summaryBelow="1" summaryRight="1"/>
    <pageSetUpPr/>
  </sheetPr>
  <dimension ref="A1:K95"/>
  <sheetViews>
    <sheetView zoomScaleNormal="100" workbookViewId="0">
      <selection activeCell="A1" sqref="A1"/>
    </sheetView>
  </sheetViews>
  <sheetFormatPr baseColWidth="10" defaultColWidth="8.7109375" defaultRowHeight="15"/>
  <cols>
    <col width="42" customWidth="1" style="3" min="1" max="1"/>
    <col width="16" customWidth="1" style="3" min="2" max="10"/>
    <col width="38" customWidth="1" style="3" min="11" max="11"/>
  </cols>
  <sheetData>
    <row r="1" ht="31.5" customHeight="1" s="3">
      <c r="A1" s="12" t="inlineStr">
        <is>
          <t>AURELIAN MANUFACTURING — PROFIT &amp; LOSS</t>
        </is>
      </c>
    </row>
    <row r="2" ht="15" customHeight="1" s="3">
      <c r="A2" s="14" t="inlineStr">
        <is>
          <t>All amounts in MNOK. Source: REV6 §2.2, §3. Formulas reference Assumptions &amp; Revenue sheets.</t>
        </is>
      </c>
    </row>
    <row r="4" ht="15" customHeight="1" s="3">
      <c r="A4" s="16" t="inlineStr">
        <is>
          <t>Operating Inputs (from Revenue &amp; Assumptions)</t>
        </is>
      </c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</row>
    <row r="5" ht="15" customHeight="1" s="3">
      <c r="B5" s="34" t="inlineStr">
        <is>
          <t>2027 H2</t>
        </is>
      </c>
      <c r="C5" s="34" t="inlineStr">
        <is>
          <t>2028</t>
        </is>
      </c>
      <c r="D5" s="34" t="inlineStr">
        <is>
          <t>2029</t>
        </is>
      </c>
      <c r="E5" s="34" t="inlineStr">
        <is>
          <t>2030</t>
        </is>
      </c>
      <c r="F5" s="34" t="inlineStr">
        <is>
          <t>2031</t>
        </is>
      </c>
      <c r="G5" s="34" t="inlineStr">
        <is>
          <t>2032</t>
        </is>
      </c>
      <c r="H5" s="34" t="inlineStr">
        <is>
          <t>2033</t>
        </is>
      </c>
      <c r="I5" s="34" t="inlineStr">
        <is>
          <t>2034</t>
        </is>
      </c>
      <c r="J5" s="34" t="inlineStr">
        <is>
          <t>2035</t>
        </is>
      </c>
      <c r="K5" s="35" t="inlineStr">
        <is>
          <t>Notes</t>
        </is>
      </c>
    </row>
    <row r="6" ht="15" customHeight="1" s="3">
      <c r="A6" s="25" t="inlineStr">
        <is>
          <t>CNC machines (avg operating)</t>
        </is>
      </c>
      <c r="B6" s="54">
        <f>Revenue!B12</f>
        <v/>
      </c>
      <c r="C6" s="54">
        <f>Revenue!C12</f>
        <v/>
      </c>
      <c r="D6" s="54">
        <f>Revenue!D12</f>
        <v/>
      </c>
      <c r="E6" s="54">
        <f>Revenue!E12</f>
        <v/>
      </c>
      <c r="F6" s="54">
        <f>Revenue!F12</f>
        <v/>
      </c>
      <c r="G6" s="54">
        <f>Revenue!G12</f>
        <v/>
      </c>
      <c r="H6" s="54">
        <f>Revenue!H12</f>
        <v/>
      </c>
      <c r="I6" s="54">
        <f>Revenue!I12</f>
        <v/>
      </c>
      <c r="J6" s="54">
        <f>Revenue!J12</f>
        <v/>
      </c>
      <c r="K6" s="18" t="inlineStr">
        <is>
          <t>From Revenue sheet</t>
        </is>
      </c>
    </row>
    <row r="7" ht="15" customHeight="1" s="3">
      <c r="A7" s="17" t="inlineStr">
        <is>
          <t>CNC for cost basis (avg deployed in period)</t>
        </is>
      </c>
      <c r="B7" s="55" t="n">
        <v>5</v>
      </c>
      <c r="C7" s="55" t="n">
        <v>5</v>
      </c>
      <c r="D7" s="55" t="n">
        <v>10</v>
      </c>
      <c r="E7" s="55" t="n">
        <v>17</v>
      </c>
      <c r="F7" s="55" t="n">
        <v>20</v>
      </c>
      <c r="G7" s="55" t="n">
        <v>20</v>
      </c>
      <c r="H7" s="55" t="n">
        <v>22</v>
      </c>
      <c r="I7" s="55" t="n">
        <v>24</v>
      </c>
      <c r="J7" s="55" t="n">
        <v>25</v>
      </c>
      <c r="K7" s="18" t="inlineStr">
        <is>
          <t>Matches avg deployment per REV6 §2.1</t>
        </is>
      </c>
    </row>
    <row r="8" ht="15" customHeight="1" s="3">
      <c r="A8" s="17" t="inlineStr">
        <is>
          <t>Utilization (%)</t>
        </is>
      </c>
      <c r="B8" s="220">
        <f>Revenue!B13</f>
        <v/>
      </c>
      <c r="C8" s="220">
        <f>Revenue!C13</f>
        <v/>
      </c>
      <c r="D8" s="220">
        <f>Revenue!D13</f>
        <v/>
      </c>
      <c r="E8" s="220">
        <f>Revenue!E13</f>
        <v/>
      </c>
      <c r="F8" s="220">
        <f>Revenue!F13</f>
        <v/>
      </c>
      <c r="G8" s="220">
        <f>Revenue!G13</f>
        <v/>
      </c>
      <c r="H8" s="220">
        <f>Revenue!H13</f>
        <v/>
      </c>
      <c r="I8" s="220">
        <f>Revenue!I13</f>
        <v/>
      </c>
      <c r="J8" s="220">
        <f>Revenue!J13</f>
        <v/>
      </c>
      <c r="K8" s="18" t="inlineStr">
        <is>
          <t>From Revenue sheet</t>
        </is>
      </c>
    </row>
    <row r="9" ht="15" customHeight="1" s="3">
      <c r="A9" s="17" t="inlineStr">
        <is>
          <t>Period adjustment (months/12)</t>
        </is>
      </c>
      <c r="B9" s="57">
        <f>Revenue!B16</f>
        <v/>
      </c>
      <c r="C9" s="57">
        <f>Revenue!C16</f>
        <v/>
      </c>
      <c r="D9" s="57">
        <f>Revenue!D16</f>
        <v/>
      </c>
      <c r="E9" s="57">
        <f>Revenue!E16</f>
        <v/>
      </c>
      <c r="F9" s="57">
        <f>Revenue!F16</f>
        <v/>
      </c>
      <c r="G9" s="57">
        <f>Revenue!G16</f>
        <v/>
      </c>
      <c r="H9" s="57">
        <f>Revenue!H16</f>
        <v/>
      </c>
      <c r="I9" s="57">
        <f>Revenue!I16</f>
        <v/>
      </c>
      <c r="J9" s="57">
        <f>Revenue!J16</f>
        <v/>
      </c>
      <c r="K9" s="40" t="n"/>
    </row>
    <row r="10" ht="15" customHeight="1" s="3">
      <c r="A10" s="17" t="inlineStr">
        <is>
          <t>Operational FTEs</t>
        </is>
      </c>
      <c r="B10" s="55" t="n">
        <v>6</v>
      </c>
      <c r="C10" s="55" t="n">
        <v>6</v>
      </c>
      <c r="D10" s="55" t="n">
        <v>10</v>
      </c>
      <c r="E10" s="55" t="n">
        <v>13</v>
      </c>
      <c r="F10" s="55" t="n">
        <v>16</v>
      </c>
      <c r="G10" s="55" t="n">
        <v>16</v>
      </c>
      <c r="H10" s="55" t="n">
        <v>18</v>
      </c>
      <c r="I10" s="55" t="n">
        <v>19</v>
      </c>
      <c r="J10" s="55" t="n">
        <v>20</v>
      </c>
      <c r="K10" s="18" t="inlineStr">
        <is>
          <t>REV6 §1.3b + §3.6: sub-linear, 0.8 FTE/CNC</t>
        </is>
      </c>
    </row>
    <row r="11" ht="15" customHeight="1" s="3">
      <c r="A11" s="17" t="inlineStr">
        <is>
          <t>Variable cost % (maturity curve)</t>
        </is>
      </c>
      <c r="B11" s="217">
        <f>Revenue!B30</f>
        <v/>
      </c>
      <c r="C11" s="217">
        <f>Revenue!C30</f>
        <v/>
      </c>
      <c r="D11" s="217">
        <f>Revenue!D30</f>
        <v/>
      </c>
      <c r="E11" s="217">
        <f>Revenue!E30</f>
        <v/>
      </c>
      <c r="F11" s="217">
        <f>Revenue!F30</f>
        <v/>
      </c>
      <c r="G11" s="217">
        <f>Revenue!G30</f>
        <v/>
      </c>
      <c r="H11" s="217">
        <f>Revenue!H30</f>
        <v/>
      </c>
      <c r="I11" s="217">
        <f>Revenue!I30</f>
        <v/>
      </c>
      <c r="J11" s="217">
        <f>Revenue!J30</f>
        <v/>
      </c>
      <c r="K11" s="18" t="inlineStr">
        <is>
          <t>REV6 §1.1b via Revenue sheet</t>
        </is>
      </c>
    </row>
    <row r="12" ht="15" customHeight="1" s="3">
      <c r="A12" s="17" t="inlineStr">
        <is>
          <t>Seed CNC machines (for debt)</t>
        </is>
      </c>
      <c r="B12" s="55" t="n">
        <v>5</v>
      </c>
      <c r="C12" s="55" t="n">
        <v>5</v>
      </c>
      <c r="D12" s="55" t="n">
        <v>5</v>
      </c>
      <c r="E12" s="55" t="n">
        <v>5</v>
      </c>
      <c r="F12" s="55" t="n">
        <v>5</v>
      </c>
      <c r="G12" s="55" t="n">
        <v>5</v>
      </c>
      <c r="H12" s="55" t="n">
        <v>5</v>
      </c>
      <c r="I12" s="55" t="n">
        <v>5</v>
      </c>
      <c r="J12" s="55" t="n">
        <v>5</v>
      </c>
      <c r="K12" s="18" t="inlineStr">
        <is>
          <t>Constant from Seed round</t>
        </is>
      </c>
    </row>
    <row r="13" ht="15" customHeight="1" s="3">
      <c r="A13" s="17" t="inlineStr">
        <is>
          <t>Serie A CNC machines deployed (EOY)</t>
        </is>
      </c>
      <c r="B13" s="55" t="n">
        <v>0</v>
      </c>
      <c r="C13" s="55" t="n">
        <v>0</v>
      </c>
      <c r="D13" s="55" t="n">
        <v>5</v>
      </c>
      <c r="E13" s="55" t="n">
        <v>12</v>
      </c>
      <c r="F13" s="55" t="n">
        <v>15</v>
      </c>
      <c r="G13" s="55" t="n">
        <v>15</v>
      </c>
      <c r="H13" s="55" t="n">
        <v>17</v>
      </c>
      <c r="I13" s="55" t="n">
        <v>19</v>
      </c>
      <c r="J13" s="55" t="n">
        <v>20</v>
      </c>
      <c r="K13" s="18" t="inlineStr">
        <is>
          <t>REV6 §2.1 — avg Serie A CNC for cost calc</t>
        </is>
      </c>
    </row>
    <row r="15" ht="15" customHeight="1" s="3">
      <c r="A15" s="16" t="inlineStr">
        <is>
          <t>Revenue</t>
        </is>
      </c>
      <c r="B15" s="29" t="n"/>
      <c r="C15" s="29" t="n"/>
      <c r="D15" s="29" t="n"/>
      <c r="E15" s="29" t="n"/>
      <c r="F15" s="29" t="n"/>
      <c r="G15" s="29" t="n"/>
      <c r="H15" s="29" t="n"/>
      <c r="I15" s="29" t="n"/>
      <c r="J15" s="29" t="n"/>
    </row>
    <row r="16" ht="15" customHeight="1" s="3">
      <c r="B16" s="34" t="inlineStr">
        <is>
          <t>2027 H2</t>
        </is>
      </c>
      <c r="C16" s="34" t="inlineStr">
        <is>
          <t>2028</t>
        </is>
      </c>
      <c r="D16" s="34" t="inlineStr">
        <is>
          <t>2029</t>
        </is>
      </c>
      <c r="E16" s="34" t="inlineStr">
        <is>
          <t>2030</t>
        </is>
      </c>
      <c r="F16" s="34" t="inlineStr">
        <is>
          <t>2031</t>
        </is>
      </c>
      <c r="G16" s="34" t="inlineStr">
        <is>
          <t>2032</t>
        </is>
      </c>
      <c r="H16" s="34" t="inlineStr">
        <is>
          <t>2033</t>
        </is>
      </c>
      <c r="I16" s="34" t="inlineStr">
        <is>
          <t>2034</t>
        </is>
      </c>
      <c r="J16" s="34" t="inlineStr">
        <is>
          <t>2035</t>
        </is>
      </c>
      <c r="K16" s="35" t="inlineStr">
        <is>
          <t>Notes</t>
        </is>
      </c>
    </row>
    <row r="17" ht="15" customHeight="1" s="3">
      <c r="A17" s="58" t="inlineStr">
        <is>
          <t>TOTAL REVENUE</t>
        </is>
      </c>
      <c r="B17" s="221">
        <f>Revenue!B17</f>
        <v/>
      </c>
      <c r="C17" s="221">
        <f>Revenue!C17</f>
        <v/>
      </c>
      <c r="D17" s="221">
        <f>Revenue!D17</f>
        <v/>
      </c>
      <c r="E17" s="221">
        <f>Revenue!E17</f>
        <v/>
      </c>
      <c r="F17" s="221">
        <f>Revenue!F17</f>
        <v/>
      </c>
      <c r="G17" s="221">
        <f>Revenue!G17</f>
        <v/>
      </c>
      <c r="H17" s="221">
        <f>Revenue!H17</f>
        <v/>
      </c>
      <c r="I17" s="221">
        <f>Revenue!I17</f>
        <v/>
      </c>
      <c r="J17" s="221">
        <f>Revenue!J17</f>
        <v/>
      </c>
      <c r="K17" s="60" t="inlineStr">
        <is>
          <t>From Revenue sheet</t>
        </is>
      </c>
    </row>
    <row r="19" ht="15" customHeight="1" s="3">
      <c r="A19" s="16" t="inlineStr">
        <is>
          <t>Variable Costs</t>
        </is>
      </c>
      <c r="B19" s="29" t="n"/>
      <c r="C19" s="29" t="n"/>
      <c r="D19" s="29" t="n"/>
      <c r="E19" s="29" t="n"/>
      <c r="F19" s="29" t="n"/>
      <c r="G19" s="29" t="n"/>
      <c r="H19" s="29" t="n"/>
      <c r="I19" s="29" t="n"/>
      <c r="J19" s="29" t="n"/>
    </row>
    <row r="20" ht="15" customHeight="1" s="3">
      <c r="B20" s="34" t="inlineStr">
        <is>
          <t>2027 H2</t>
        </is>
      </c>
      <c r="C20" s="34" t="inlineStr">
        <is>
          <t>2028</t>
        </is>
      </c>
      <c r="D20" s="34" t="inlineStr">
        <is>
          <t>2029</t>
        </is>
      </c>
      <c r="E20" s="34" t="inlineStr">
        <is>
          <t>2030</t>
        </is>
      </c>
      <c r="F20" s="34" t="inlineStr">
        <is>
          <t>2031</t>
        </is>
      </c>
      <c r="G20" s="34" t="inlineStr">
        <is>
          <t>2032</t>
        </is>
      </c>
      <c r="H20" s="34" t="inlineStr">
        <is>
          <t>2033</t>
        </is>
      </c>
      <c r="I20" s="34" t="inlineStr">
        <is>
          <t>2034</t>
        </is>
      </c>
      <c r="J20" s="34" t="inlineStr">
        <is>
          <t>2035</t>
        </is>
      </c>
      <c r="K20" s="35" t="inlineStr">
        <is>
          <t>Notes</t>
        </is>
      </c>
    </row>
    <row r="21" ht="15" customHeight="1" s="3">
      <c r="A21" s="17" t="inlineStr">
        <is>
          <t>Variable costs (materials, tooling, consumables)</t>
        </is>
      </c>
      <c r="B21" s="214">
        <f>-B17*B11</f>
        <v/>
      </c>
      <c r="C21" s="214">
        <f>-C17*C11</f>
        <v/>
      </c>
      <c r="D21" s="214">
        <f>-D17*D11</f>
        <v/>
      </c>
      <c r="E21" s="214">
        <f>-E17*E11</f>
        <v/>
      </c>
      <c r="F21" s="214">
        <f>-F17*F11</f>
        <v/>
      </c>
      <c r="G21" s="214">
        <f>-G17*G11</f>
        <v/>
      </c>
      <c r="H21" s="214">
        <f>-H17*H11</f>
        <v/>
      </c>
      <c r="I21" s="214">
        <f>-I17*I11</f>
        <v/>
      </c>
      <c r="J21" s="214">
        <f>-J17*J11</f>
        <v/>
      </c>
      <c r="K21" s="18" t="inlineStr">
        <is>
          <t>Revenue × var_cost%</t>
        </is>
      </c>
    </row>
    <row r="23" ht="15" customHeight="1" s="3">
      <c r="A23" s="16" t="inlineStr">
        <is>
          <t>Personnel Costs</t>
        </is>
      </c>
      <c r="B23" s="29" t="n"/>
      <c r="C23" s="29" t="n"/>
      <c r="D23" s="29" t="n"/>
      <c r="E23" s="29" t="n"/>
      <c r="F23" s="29" t="n"/>
      <c r="G23" s="29" t="n"/>
      <c r="H23" s="29" t="n"/>
      <c r="I23" s="29" t="n"/>
      <c r="J23" s="29" t="n"/>
    </row>
    <row r="24" ht="15" customHeight="1" s="3">
      <c r="B24" s="34" t="inlineStr">
        <is>
          <t>2027 H2</t>
        </is>
      </c>
      <c r="C24" s="34" t="inlineStr">
        <is>
          <t>2028</t>
        </is>
      </c>
      <c r="D24" s="34" t="inlineStr">
        <is>
          <t>2029</t>
        </is>
      </c>
      <c r="E24" s="34" t="inlineStr">
        <is>
          <t>2030</t>
        </is>
      </c>
      <c r="F24" s="34" t="inlineStr">
        <is>
          <t>2031</t>
        </is>
      </c>
      <c r="G24" s="34" t="inlineStr">
        <is>
          <t>2032</t>
        </is>
      </c>
      <c r="H24" s="34" t="inlineStr">
        <is>
          <t>2033</t>
        </is>
      </c>
      <c r="I24" s="34" t="inlineStr">
        <is>
          <t>2034</t>
        </is>
      </c>
      <c r="J24" s="34" t="inlineStr">
        <is>
          <t>2035</t>
        </is>
      </c>
      <c r="K24" s="35" t="inlineStr">
        <is>
          <t>Notes</t>
        </is>
      </c>
    </row>
    <row r="25" ht="15" customHeight="1" s="3">
      <c r="A25" s="17" t="inlineStr">
        <is>
          <t>Operational payroll</t>
        </is>
      </c>
      <c r="B25" s="222">
        <f>-B10*Assumptions!$C$52*B9/1000000</f>
        <v/>
      </c>
      <c r="C25" s="222">
        <f>-C10*Assumptions!$C$52*C9/1000000</f>
        <v/>
      </c>
      <c r="D25" s="222">
        <f>-D10*Assumptions!$C$52*D9/1000000</f>
        <v/>
      </c>
      <c r="E25" s="222">
        <f>-E10*Assumptions!$C$52*E9/1000000</f>
        <v/>
      </c>
      <c r="F25" s="222">
        <f>-F10*Assumptions!$C$52*F9/1000000</f>
        <v/>
      </c>
      <c r="G25" s="222">
        <f>-G10*Assumptions!$C$52*G9/1000000</f>
        <v/>
      </c>
      <c r="H25" s="222">
        <f>-H10*Assumptions!$C$52*H9/1000000</f>
        <v/>
      </c>
      <c r="I25" s="222">
        <f>-I10*Assumptions!$C$52*I9/1000000</f>
        <v/>
      </c>
      <c r="J25" s="222">
        <f>-J10*Assumptions!$C$52*J9/1000000</f>
        <v/>
      </c>
      <c r="K25" s="18" t="inlineStr">
        <is>
          <t>Ops FTE × 1.1M × period adj</t>
        </is>
      </c>
    </row>
    <row r="26" ht="15" customHeight="1" s="3">
      <c r="A26" s="17" t="inlineStr">
        <is>
          <t>Administration &amp; sales payroll</t>
        </is>
      </c>
      <c r="B26" s="222">
        <f>-Assumptions!$C$51*Assumptions!$C$53*B9/1000000</f>
        <v/>
      </c>
      <c r="C26" s="222">
        <f>-Assumptions!$C$51*Assumptions!$C$53*C9/1000000</f>
        <v/>
      </c>
      <c r="D26" s="222">
        <f>-Assumptions!$C$51*Assumptions!$C$53*D9/1000000</f>
        <v/>
      </c>
      <c r="E26" s="222">
        <f>-Assumptions!$C$51*Assumptions!$C$53*E9/1000000</f>
        <v/>
      </c>
      <c r="F26" s="222">
        <f>-Assumptions!$C$51*Assumptions!$C$53*F9/1000000</f>
        <v/>
      </c>
      <c r="G26" s="222">
        <f>-Assumptions!$C$51*Assumptions!$C$53*G9/1000000</f>
        <v/>
      </c>
      <c r="H26" s="222">
        <f>-Assumptions!$C$51*Assumptions!$C$53*H9/1000000</f>
        <v/>
      </c>
      <c r="I26" s="222">
        <f>-Assumptions!$C$51*Assumptions!$C$53*I9/1000000</f>
        <v/>
      </c>
      <c r="J26" s="222">
        <f>-Assumptions!$C$51*Assumptions!$C$53*J9/1000000</f>
        <v/>
      </c>
      <c r="K26" s="18" t="inlineStr">
        <is>
          <t>4 FTE × 1.4M × period adj</t>
        </is>
      </c>
    </row>
    <row r="27" ht="15" customHeight="1" s="3">
      <c r="A27" s="62" t="inlineStr">
        <is>
          <t>Total personnel</t>
        </is>
      </c>
      <c r="B27" s="223">
        <f>B25+B26</f>
        <v/>
      </c>
      <c r="C27" s="223">
        <f>C25+C26</f>
        <v/>
      </c>
      <c r="D27" s="223">
        <f>D25+D26</f>
        <v/>
      </c>
      <c r="E27" s="223">
        <f>E25+E26</f>
        <v/>
      </c>
      <c r="F27" s="223">
        <f>F25+F26</f>
        <v/>
      </c>
      <c r="G27" s="223">
        <f>G25+G26</f>
        <v/>
      </c>
      <c r="H27" s="223">
        <f>H25+H26</f>
        <v/>
      </c>
      <c r="I27" s="223">
        <f>I25+I26</f>
        <v/>
      </c>
      <c r="J27" s="223">
        <f>J25+J26</f>
        <v/>
      </c>
      <c r="K27" s="60" t="inlineStr">
        <is>
          <t>Sum ops + admin</t>
        </is>
      </c>
    </row>
    <row r="29" ht="15" customHeight="1" s="3">
      <c r="A29" s="16" t="inlineStr">
        <is>
          <t>Depreciation</t>
        </is>
      </c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</row>
    <row r="30" ht="15" customHeight="1" s="3">
      <c r="B30" s="34" t="inlineStr">
        <is>
          <t>2027 H2</t>
        </is>
      </c>
      <c r="C30" s="34" t="inlineStr">
        <is>
          <t>2028</t>
        </is>
      </c>
      <c r="D30" s="34" t="inlineStr">
        <is>
          <t>2029</t>
        </is>
      </c>
      <c r="E30" s="34" t="inlineStr">
        <is>
          <t>2030</t>
        </is>
      </c>
      <c r="F30" s="34" t="inlineStr">
        <is>
          <t>2031</t>
        </is>
      </c>
      <c r="G30" s="34" t="inlineStr">
        <is>
          <t>2032</t>
        </is>
      </c>
      <c r="H30" s="34" t="inlineStr">
        <is>
          <t>2033</t>
        </is>
      </c>
      <c r="I30" s="34" t="inlineStr">
        <is>
          <t>2034</t>
        </is>
      </c>
      <c r="J30" s="34" t="inlineStr">
        <is>
          <t>2035</t>
        </is>
      </c>
      <c r="K30" s="35" t="inlineStr">
        <is>
          <t>Notes</t>
        </is>
      </c>
    </row>
    <row r="31" ht="15" customHeight="1" s="3">
      <c r="A31" s="17" t="inlineStr">
        <is>
          <t>CNC machine depreciation</t>
        </is>
      </c>
      <c r="B31" s="222">
        <f>-B7*Assumptions!$C$25*B9/1000000</f>
        <v/>
      </c>
      <c r="C31" s="222">
        <f>-C7*Assumptions!$C$25*C9/1000000</f>
        <v/>
      </c>
      <c r="D31" s="222">
        <f>-D7*Assumptions!$C$25*D9/1000000</f>
        <v/>
      </c>
      <c r="E31" s="222">
        <f>-E7*Assumptions!$C$25*E9/1000000</f>
        <v/>
      </c>
      <c r="F31" s="222">
        <f>-F7*Assumptions!$C$25*F9/1000000</f>
        <v/>
      </c>
      <c r="G31" s="222">
        <f>-G7*Assumptions!$C$25*G9/1000000</f>
        <v/>
      </c>
      <c r="H31" s="222">
        <f>-H7*Assumptions!$C$25*H9/1000000</f>
        <v/>
      </c>
      <c r="I31" s="222">
        <f>-I7*Assumptions!$C$25*I9/1000000</f>
        <v/>
      </c>
      <c r="J31" s="222">
        <f>-J7*Assumptions!$C$25*J9/1000000</f>
        <v/>
      </c>
      <c r="K31" s="18" t="inlineStr">
        <is>
          <t>EOY CNC × 1.25M × period adj</t>
        </is>
      </c>
    </row>
    <row r="32" ht="15" customHeight="1" s="3">
      <c r="A32" s="17" t="inlineStr">
        <is>
          <t>Shop base depreciation</t>
        </is>
      </c>
      <c r="B32" s="222">
        <f>-Assumptions!$C$71*B9/1000000</f>
        <v/>
      </c>
      <c r="C32" s="222">
        <f>-Assumptions!$C$71*C9/1000000</f>
        <v/>
      </c>
      <c r="D32" s="222">
        <f>-Assumptions!$C$71*D9/1000000</f>
        <v/>
      </c>
      <c r="E32" s="222">
        <f>-Assumptions!$C$71*E9/1000000</f>
        <v/>
      </c>
      <c r="F32" s="222">
        <f>-Assumptions!$C$71*F9/1000000</f>
        <v/>
      </c>
      <c r="G32" s="222">
        <f>-Assumptions!$C$71*G9/1000000</f>
        <v/>
      </c>
      <c r="H32" s="222">
        <f>-Assumptions!$C$71*H9/1000000</f>
        <v/>
      </c>
      <c r="I32" s="222">
        <f>-Assumptions!$C$71*I9/1000000</f>
        <v/>
      </c>
      <c r="J32" s="222">
        <f>-Assumptions!$C$71*J9/1000000</f>
        <v/>
      </c>
      <c r="K32" s="18" t="inlineStr">
        <is>
          <t>1.075M/yr × period adj</t>
        </is>
      </c>
    </row>
    <row r="33" ht="15" customHeight="1" s="3">
      <c r="A33" s="62" t="inlineStr">
        <is>
          <t>Total depreciation</t>
        </is>
      </c>
      <c r="B33" s="223">
        <f>B31+B32</f>
        <v/>
      </c>
      <c r="C33" s="223">
        <f>C31+C32</f>
        <v/>
      </c>
      <c r="D33" s="223">
        <f>D31+D32</f>
        <v/>
      </c>
      <c r="E33" s="223">
        <f>E31+E32</f>
        <v/>
      </c>
      <c r="F33" s="223">
        <f>F31+F32</f>
        <v/>
      </c>
      <c r="G33" s="223">
        <f>G31+G32</f>
        <v/>
      </c>
      <c r="H33" s="223">
        <f>H31+H32</f>
        <v/>
      </c>
      <c r="I33" s="223">
        <f>I31+I32</f>
        <v/>
      </c>
      <c r="J33" s="223">
        <f>J31+J32</f>
        <v/>
      </c>
      <c r="K33" s="60" t="inlineStr">
        <is>
          <t>CNC + shop base</t>
        </is>
      </c>
    </row>
    <row r="35" ht="15" customHeight="1" s="3">
      <c r="A35" s="16" t="inlineStr">
        <is>
          <t>Finance Costs</t>
        </is>
      </c>
      <c r="B35" s="29" t="n"/>
      <c r="C35" s="29" t="n"/>
      <c r="D35" s="29" t="n"/>
      <c r="E35" s="29" t="n"/>
      <c r="F35" s="29" t="n"/>
      <c r="G35" s="29" t="n"/>
      <c r="H35" s="29" t="n"/>
      <c r="I35" s="29" t="n"/>
      <c r="J35" s="29" t="n"/>
    </row>
    <row r="36" ht="15" customHeight="1" s="3">
      <c r="B36" s="34" t="inlineStr">
        <is>
          <t>2027 H2</t>
        </is>
      </c>
      <c r="C36" s="34" t="inlineStr">
        <is>
          <t>2028</t>
        </is>
      </c>
      <c r="D36" s="34" t="inlineStr">
        <is>
          <t>2029</t>
        </is>
      </c>
      <c r="E36" s="34" t="inlineStr">
        <is>
          <t>2030</t>
        </is>
      </c>
      <c r="F36" s="34" t="inlineStr">
        <is>
          <t>2031</t>
        </is>
      </c>
      <c r="G36" s="34" t="inlineStr">
        <is>
          <t>2032</t>
        </is>
      </c>
      <c r="H36" s="34" t="inlineStr">
        <is>
          <t>2033</t>
        </is>
      </c>
      <c r="I36" s="34" t="inlineStr">
        <is>
          <t>2034</t>
        </is>
      </c>
      <c r="J36" s="34" t="inlineStr">
        <is>
          <t>2035</t>
        </is>
      </c>
      <c r="K36" s="35" t="inlineStr">
        <is>
          <t>Notes</t>
        </is>
      </c>
    </row>
    <row r="37" ht="15" customHeight="1" s="3">
      <c r="A37" s="17" t="inlineStr">
        <is>
          <t>Seed debt outstanding (MNOK)</t>
        </is>
      </c>
      <c r="B37" s="211">
        <f>(B12*Assumptions!$C$27+4300000)/1000000</f>
        <v/>
      </c>
      <c r="C37" s="211">
        <f>(C12*Assumptions!$C$27+4300000)/1000000</f>
        <v/>
      </c>
      <c r="D37" s="211">
        <f>(D12*Assumptions!$C$27+4300000)/1000000</f>
        <v/>
      </c>
      <c r="E37" s="211">
        <f>(E12*Assumptions!$C$27+4300000)/1000000</f>
        <v/>
      </c>
      <c r="F37" s="211">
        <f>(F12*Assumptions!$C$27+4300000)/1000000</f>
        <v/>
      </c>
      <c r="G37" s="211">
        <f>(G12*Assumptions!$C$27+4300000)/1000000</f>
        <v/>
      </c>
      <c r="H37" s="211">
        <f>(H12*Assumptions!$C$27+4300000)/1000000</f>
        <v/>
      </c>
      <c r="I37" s="211">
        <f>(I12*Assumptions!$C$27+4300000)/1000000</f>
        <v/>
      </c>
      <c r="J37" s="211">
        <f>(J12*Assumptions!$C$27+4300000)/1000000</f>
        <v/>
      </c>
      <c r="K37" s="18" t="inlineStr">
        <is>
          <t>5 CNC × 5M + 4.3M shop base</t>
        </is>
      </c>
    </row>
    <row r="38" ht="15" customHeight="1" s="3">
      <c r="A38" s="17" t="inlineStr">
        <is>
          <t>Serie A debt outstanding (MNOK)</t>
        </is>
      </c>
      <c r="B38" s="211">
        <f>B13*Assumptions!$C$28/1000000</f>
        <v/>
      </c>
      <c r="C38" s="211">
        <f>C13*Assumptions!$C$28/1000000</f>
        <v/>
      </c>
      <c r="D38" s="211">
        <f>D13*Assumptions!$C$28/1000000</f>
        <v/>
      </c>
      <c r="E38" s="211">
        <f>E13*Assumptions!$C$28/1000000</f>
        <v/>
      </c>
      <c r="F38" s="211">
        <f>F13*Assumptions!$C$28/1000000</f>
        <v/>
      </c>
      <c r="G38" s="211">
        <f>G13*Assumptions!$C$28/1000000</f>
        <v/>
      </c>
      <c r="H38" s="211">
        <f>H13*Assumptions!$C$28/1000000</f>
        <v/>
      </c>
      <c r="I38" s="211">
        <f>I13*Assumptions!$C$28/1000000</f>
        <v/>
      </c>
      <c r="J38" s="211">
        <f>J13*Assumptions!$C$28/1000000</f>
        <v/>
      </c>
      <c r="K38" s="18" t="inlineStr">
        <is>
          <t>Serie A CNC × 7M</t>
        </is>
      </c>
    </row>
    <row r="39" ht="15" customHeight="1" s="3">
      <c r="A39" s="25" t="inlineStr">
        <is>
          <t>Total debt outstanding (MNOK)</t>
        </is>
      </c>
      <c r="B39" s="216">
        <f>B37+B38</f>
        <v/>
      </c>
      <c r="C39" s="216">
        <f>C37+C38</f>
        <v/>
      </c>
      <c r="D39" s="216">
        <f>D37+D38</f>
        <v/>
      </c>
      <c r="E39" s="216">
        <f>E37+E38</f>
        <v/>
      </c>
      <c r="F39" s="216">
        <f>F37+F38</f>
        <v/>
      </c>
      <c r="G39" s="216">
        <f>G37+G38</f>
        <v/>
      </c>
      <c r="H39" s="216">
        <f>H37+H38</f>
        <v/>
      </c>
      <c r="I39" s="216">
        <f>I37+I38</f>
        <v/>
      </c>
      <c r="J39" s="216">
        <f>J37+J38</f>
        <v/>
      </c>
      <c r="K39" s="40" t="n"/>
    </row>
    <row r="40" ht="15" customHeight="1" s="3">
      <c r="A40" s="17" t="inlineStr">
        <is>
          <t>Finance cost (interest expense)</t>
        </is>
      </c>
      <c r="B40" s="222">
        <f>-B39*Assumptions!$C$26*B9</f>
        <v/>
      </c>
      <c r="C40" s="222">
        <f>-C39*Assumptions!$C$26*C9</f>
        <v/>
      </c>
      <c r="D40" s="222">
        <f>-D39*Assumptions!$C$26*D9</f>
        <v/>
      </c>
      <c r="E40" s="222">
        <f>-E39*Assumptions!$C$26*E9</f>
        <v/>
      </c>
      <c r="F40" s="222">
        <f>-F39*Assumptions!$C$26*F9</f>
        <v/>
      </c>
      <c r="G40" s="222">
        <f>-G39*Assumptions!$C$26*G9</f>
        <v/>
      </c>
      <c r="H40" s="222">
        <f>-H39*Assumptions!$C$26*H9</f>
        <v/>
      </c>
      <c r="I40" s="222">
        <f>-I39*Assumptions!$C$26*I9</f>
        <v/>
      </c>
      <c r="J40" s="222">
        <f>-J39*Assumptions!$C$26*J9</f>
        <v/>
      </c>
      <c r="K40" s="18" t="inlineStr">
        <is>
          <t>Total debt × 7.5% × period adj</t>
        </is>
      </c>
    </row>
    <row r="42" ht="15" customHeight="1" s="3">
      <c r="A42" s="16" t="inlineStr">
        <is>
          <t>Other Operating Costs</t>
        </is>
      </c>
      <c r="B42" s="29" t="n"/>
      <c r="C42" s="29" t="n"/>
      <c r="D42" s="29" t="n"/>
      <c r="E42" s="29" t="n"/>
      <c r="F42" s="29" t="n"/>
      <c r="G42" s="29" t="n"/>
      <c r="H42" s="29" t="n"/>
      <c r="I42" s="29" t="n"/>
      <c r="J42" s="29" t="n"/>
    </row>
    <row r="43" ht="15" customHeight="1" s="3">
      <c r="B43" s="34" t="inlineStr">
        <is>
          <t>2027 H2</t>
        </is>
      </c>
      <c r="C43" s="34" t="inlineStr">
        <is>
          <t>2028</t>
        </is>
      </c>
      <c r="D43" s="34" t="inlineStr">
        <is>
          <t>2029</t>
        </is>
      </c>
      <c r="E43" s="34" t="inlineStr">
        <is>
          <t>2030</t>
        </is>
      </c>
      <c r="F43" s="34" t="inlineStr">
        <is>
          <t>2031</t>
        </is>
      </c>
      <c r="G43" s="34" t="inlineStr">
        <is>
          <t>2032</t>
        </is>
      </c>
      <c r="H43" s="34" t="inlineStr">
        <is>
          <t>2033</t>
        </is>
      </c>
      <c r="I43" s="34" t="inlineStr">
        <is>
          <t>2034</t>
        </is>
      </c>
      <c r="J43" s="34" t="inlineStr">
        <is>
          <t>2035</t>
        </is>
      </c>
      <c r="K43" s="35" t="inlineStr">
        <is>
          <t>Notes</t>
        </is>
      </c>
    </row>
    <row r="44" ht="15" customHeight="1" s="3">
      <c r="A44" s="17" t="inlineStr">
        <is>
          <t>Facility lease</t>
        </is>
      </c>
      <c r="B44" s="222">
        <f>-Assumptions!$C$68*B9/1000000</f>
        <v/>
      </c>
      <c r="C44" s="222">
        <f>-Assumptions!$C$68*C9/1000000</f>
        <v/>
      </c>
      <c r="D44" s="222">
        <f>-Assumptions!$C$68*D9/1000000</f>
        <v/>
      </c>
      <c r="E44" s="222">
        <f>-Assumptions!$C$68*E9/1000000</f>
        <v/>
      </c>
      <c r="F44" s="222">
        <f>-Assumptions!$C$68*F9/1000000</f>
        <v/>
      </c>
      <c r="G44" s="222">
        <f>-Assumptions!$C$68*G9/1000000</f>
        <v/>
      </c>
      <c r="H44" s="222">
        <f>-Assumptions!$C$68*H9/1000000</f>
        <v/>
      </c>
      <c r="I44" s="222">
        <f>-Assumptions!$C$68*I9/1000000</f>
        <v/>
      </c>
      <c r="J44" s="222">
        <f>-Assumptions!$C$68*J9/1000000</f>
        <v/>
      </c>
      <c r="K44" s="18" t="inlineStr">
        <is>
          <t>5.2M/yr × period adj. From Q3 2027.</t>
        </is>
      </c>
    </row>
    <row r="45" ht="15" customHeight="1" s="3">
      <c r="A45" s="17" t="inlineStr">
        <is>
          <t>Other operating costs (IT, insurance, etc.)</t>
        </is>
      </c>
      <c r="B45" s="222">
        <f>-B7*Assumptions!$C$70*B9/1000000</f>
        <v/>
      </c>
      <c r="C45" s="222">
        <f>-C7*Assumptions!$C$70*C9/1000000</f>
        <v/>
      </c>
      <c r="D45" s="222">
        <f>-D7*Assumptions!$C$70*D9/1000000</f>
        <v/>
      </c>
      <c r="E45" s="222">
        <f>-E7*Assumptions!$C$70*E9/1000000</f>
        <v/>
      </c>
      <c r="F45" s="222">
        <f>-F7*Assumptions!$C$70*F9/1000000</f>
        <v/>
      </c>
      <c r="G45" s="222">
        <f>-G7*Assumptions!$C$70*G9/1000000</f>
        <v/>
      </c>
      <c r="H45" s="222">
        <f>-H7*Assumptions!$C$70*H9/1000000</f>
        <v/>
      </c>
      <c r="I45" s="222">
        <f>-I7*Assumptions!$C$70*I9/1000000</f>
        <v/>
      </c>
      <c r="J45" s="222">
        <f>-J7*Assumptions!$C$70*J9/1000000</f>
        <v/>
      </c>
      <c r="K45" s="18" t="inlineStr">
        <is>
          <t>EOY CNC × 150K × period adj</t>
        </is>
      </c>
    </row>
    <row r="46" ht="15" customHeight="1" s="3">
      <c r="A46" s="62" t="inlineStr">
        <is>
          <t>Total other operating costs</t>
        </is>
      </c>
      <c r="B46" s="223">
        <f>B44+B45</f>
        <v/>
      </c>
      <c r="C46" s="223">
        <f>C44+C45</f>
        <v/>
      </c>
      <c r="D46" s="223">
        <f>D44+D45</f>
        <v/>
      </c>
      <c r="E46" s="223">
        <f>E44+E45</f>
        <v/>
      </c>
      <c r="F46" s="223">
        <f>F44+F45</f>
        <v/>
      </c>
      <c r="G46" s="223">
        <f>G44+G45</f>
        <v/>
      </c>
      <c r="H46" s="223">
        <f>H44+H45</f>
        <v/>
      </c>
      <c r="I46" s="223">
        <f>I44+I45</f>
        <v/>
      </c>
      <c r="J46" s="223">
        <f>J44+J45</f>
        <v/>
      </c>
      <c r="K46" s="60" t="inlineStr">
        <is>
          <t>Facility + other opex</t>
        </is>
      </c>
    </row>
    <row r="48" ht="15" customHeight="1" s="3">
      <c r="A48" s="16" t="inlineStr">
        <is>
          <t>Total Costs</t>
        </is>
      </c>
      <c r="B48" s="29" t="n"/>
      <c r="C48" s="29" t="n"/>
      <c r="D48" s="29" t="n"/>
      <c r="E48" s="29" t="n"/>
      <c r="F48" s="29" t="n"/>
      <c r="G48" s="29" t="n"/>
      <c r="H48" s="29" t="n"/>
      <c r="I48" s="29" t="n"/>
      <c r="J48" s="29" t="n"/>
    </row>
    <row r="49" ht="15" customHeight="1" s="3">
      <c r="B49" s="34" t="inlineStr">
        <is>
          <t>2027 H2</t>
        </is>
      </c>
      <c r="C49" s="34" t="inlineStr">
        <is>
          <t>2028</t>
        </is>
      </c>
      <c r="D49" s="34" t="inlineStr">
        <is>
          <t>2029</t>
        </is>
      </c>
      <c r="E49" s="34" t="inlineStr">
        <is>
          <t>2030</t>
        </is>
      </c>
      <c r="F49" s="34" t="inlineStr">
        <is>
          <t>2031</t>
        </is>
      </c>
      <c r="G49" s="34" t="inlineStr">
        <is>
          <t>2032</t>
        </is>
      </c>
      <c r="H49" s="34" t="inlineStr">
        <is>
          <t>2033</t>
        </is>
      </c>
      <c r="I49" s="34" t="inlineStr">
        <is>
          <t>2034</t>
        </is>
      </c>
      <c r="J49" s="34" t="inlineStr">
        <is>
          <t>2035</t>
        </is>
      </c>
      <c r="K49" s="35" t="inlineStr">
        <is>
          <t>Notes</t>
        </is>
      </c>
    </row>
    <row r="50" ht="15" customHeight="1" s="3">
      <c r="A50" s="64" t="inlineStr">
        <is>
          <t>TOTAL COSTS</t>
        </is>
      </c>
      <c r="B50" s="224">
        <f>B21+B27+B33+B40+B46</f>
        <v/>
      </c>
      <c r="C50" s="224">
        <f>C21+C27+C33+C40+C46</f>
        <v/>
      </c>
      <c r="D50" s="224">
        <f>D21+D27+D33+D40+D46</f>
        <v/>
      </c>
      <c r="E50" s="224">
        <f>E21+E27+E33+E40+E46</f>
        <v/>
      </c>
      <c r="F50" s="224">
        <f>F21+F27+F33+F40+F46</f>
        <v/>
      </c>
      <c r="G50" s="224">
        <f>G21+G27+G33+G40+G46</f>
        <v/>
      </c>
      <c r="H50" s="224">
        <f>H21+H27+H33+H40+H46</f>
        <v/>
      </c>
      <c r="I50" s="224">
        <f>I21+I27+I33+I40+I46</f>
        <v/>
      </c>
      <c r="J50" s="224">
        <f>J21+J27+J33+J40+J46</f>
        <v/>
      </c>
      <c r="K50" s="60" t="inlineStr">
        <is>
          <t>Sum all cost categories</t>
        </is>
      </c>
    </row>
    <row r="51" ht="15" customHeight="1" s="3">
      <c r="A51" s="17" t="inlineStr">
        <is>
          <t>REV6 §2.2 target cost (MNOK)</t>
        </is>
      </c>
      <c r="B51" s="225" t="n">
        <v>-13.4</v>
      </c>
      <c r="C51" s="225" t="n">
        <v>-34.1</v>
      </c>
      <c r="D51" s="225" t="n">
        <v>-61.1</v>
      </c>
      <c r="E51" s="225" t="n">
        <v>-80.2</v>
      </c>
      <c r="F51" s="225" t="n">
        <v>-92.8</v>
      </c>
      <c r="G51" s="225" t="n">
        <v>-92.40000000000001</v>
      </c>
      <c r="H51" s="225" t="n">
        <v>-98</v>
      </c>
      <c r="I51" s="225" t="n">
        <v>-103.8</v>
      </c>
      <c r="J51" s="225" t="n">
        <v>-107.2</v>
      </c>
      <c r="K51" s="18" t="inlineStr">
        <is>
          <t>For verification</t>
        </is>
      </c>
    </row>
    <row r="52" ht="15" customHeight="1" s="3">
      <c r="A52" s="17" t="inlineStr">
        <is>
          <t>Cost difference vs REV6</t>
        </is>
      </c>
      <c r="B52" s="214">
        <f>B50-B51</f>
        <v/>
      </c>
      <c r="C52" s="214">
        <f>C50-C51</f>
        <v/>
      </c>
      <c r="D52" s="214">
        <f>D50-D51</f>
        <v/>
      </c>
      <c r="E52" s="214">
        <f>E50-E51</f>
        <v/>
      </c>
      <c r="F52" s="214">
        <f>F50-F51</f>
        <v/>
      </c>
      <c r="G52" s="214">
        <f>G50-G51</f>
        <v/>
      </c>
      <c r="H52" s="214">
        <f>H50-H51</f>
        <v/>
      </c>
      <c r="I52" s="214">
        <f>I50-I51</f>
        <v/>
      </c>
      <c r="J52" s="214">
        <f>J50-J51</f>
        <v/>
      </c>
      <c r="K52" s="18" t="inlineStr">
        <is>
          <t>Negative = model has higher costs</t>
        </is>
      </c>
    </row>
    <row r="54" ht="15" customHeight="1" s="3">
      <c r="A54" s="16" t="inlineStr">
        <is>
          <t>Profitability</t>
        </is>
      </c>
      <c r="B54" s="29" t="n"/>
      <c r="C54" s="29" t="n"/>
      <c r="D54" s="29" t="n"/>
      <c r="E54" s="29" t="n"/>
      <c r="F54" s="29" t="n"/>
      <c r="G54" s="29" t="n"/>
      <c r="H54" s="29" t="n"/>
      <c r="I54" s="29" t="n"/>
      <c r="J54" s="29" t="n"/>
    </row>
    <row r="55" ht="15" customHeight="1" s="3">
      <c r="B55" s="34" t="inlineStr">
        <is>
          <t>2027 H2</t>
        </is>
      </c>
      <c r="C55" s="34" t="inlineStr">
        <is>
          <t>2028</t>
        </is>
      </c>
      <c r="D55" s="34" t="inlineStr">
        <is>
          <t>2029</t>
        </is>
      </c>
      <c r="E55" s="34" t="inlineStr">
        <is>
          <t>2030</t>
        </is>
      </c>
      <c r="F55" s="34" t="inlineStr">
        <is>
          <t>2031</t>
        </is>
      </c>
      <c r="G55" s="34" t="inlineStr">
        <is>
          <t>2032</t>
        </is>
      </c>
      <c r="H55" s="34" t="inlineStr">
        <is>
          <t>2033</t>
        </is>
      </c>
      <c r="I55" s="34" t="inlineStr">
        <is>
          <t>2034</t>
        </is>
      </c>
      <c r="J55" s="34" t="inlineStr">
        <is>
          <t>2035</t>
        </is>
      </c>
      <c r="K55" s="35" t="inlineStr">
        <is>
          <t>Notes</t>
        </is>
      </c>
    </row>
    <row r="56" ht="15" customHeight="1" s="3">
      <c r="A56" s="62" t="inlineStr">
        <is>
          <t>GROSS PROFIT (before Customer Program)</t>
        </is>
      </c>
      <c r="B56" s="223">
        <f>B17+B50</f>
        <v/>
      </c>
      <c r="C56" s="223">
        <f>C17+C50</f>
        <v/>
      </c>
      <c r="D56" s="223">
        <f>D17+D50</f>
        <v/>
      </c>
      <c r="E56" s="223">
        <f>E17+E50</f>
        <v/>
      </c>
      <c r="F56" s="223">
        <f>F17+F50</f>
        <v/>
      </c>
      <c r="G56" s="223">
        <f>G17+G50</f>
        <v/>
      </c>
      <c r="H56" s="223">
        <f>H17+H50</f>
        <v/>
      </c>
      <c r="I56" s="223">
        <f>I17+I50</f>
        <v/>
      </c>
      <c r="J56" s="223">
        <f>J17+J50</f>
        <v/>
      </c>
      <c r="K56" s="60" t="inlineStr">
        <is>
          <t>Revenue + Total Costs (costs are negative)</t>
        </is>
      </c>
    </row>
    <row r="57" ht="15" customHeight="1" s="3">
      <c r="A57" s="17" t="inlineStr">
        <is>
          <t>REV6 §2.2 target gross profit</t>
        </is>
      </c>
      <c r="B57" s="213" t="n">
        <v>-2.5</v>
      </c>
      <c r="C57" s="213" t="n">
        <v>15.2</v>
      </c>
      <c r="D57" s="213" t="n">
        <v>72.90000000000001</v>
      </c>
      <c r="E57" s="213" t="n">
        <v>131.8</v>
      </c>
      <c r="F57" s="213" t="n">
        <v>183.2</v>
      </c>
      <c r="G57" s="213" t="n">
        <v>209.6</v>
      </c>
      <c r="H57" s="213" t="n">
        <v>249</v>
      </c>
      <c r="I57" s="213" t="n">
        <v>290.2</v>
      </c>
      <c r="J57" s="213" t="n">
        <v>319.8</v>
      </c>
      <c r="K57" s="18" t="inlineStr">
        <is>
          <t>For verification</t>
        </is>
      </c>
    </row>
    <row r="58" ht="15" customHeight="1" s="3">
      <c r="A58" s="17" t="inlineStr">
        <is>
          <t>Customer Program (50/50 sharing)</t>
        </is>
      </c>
      <c r="B58" s="222">
        <f>-Revenue!B32</f>
        <v/>
      </c>
      <c r="C58" s="222">
        <f>-Revenue!C32</f>
        <v/>
      </c>
      <c r="D58" s="222">
        <f>-Revenue!D32</f>
        <v/>
      </c>
      <c r="E58" s="222">
        <f>-Revenue!E32</f>
        <v/>
      </c>
      <c r="F58" s="222">
        <f>-Revenue!F32</f>
        <v/>
      </c>
      <c r="G58" s="222">
        <f>-Revenue!G32</f>
        <v/>
      </c>
      <c r="H58" s="222">
        <f>-Revenue!H32</f>
        <v/>
      </c>
      <c r="I58" s="222">
        <f>-Revenue!I32</f>
        <v/>
      </c>
      <c r="J58" s="222">
        <f>-Revenue!J32</f>
        <v/>
      </c>
      <c r="K58" s="18" t="inlineStr">
        <is>
          <t>From Revenue sheet, negative = paid out</t>
        </is>
      </c>
    </row>
    <row r="59" ht="15" customHeight="1" s="3">
      <c r="A59" s="17" t="inlineStr">
        <is>
          <t>REV6 §2.2 Customer Program target</t>
        </is>
      </c>
      <c r="B59" s="225" t="n">
        <v>0</v>
      </c>
      <c r="C59" s="225" t="n">
        <v>0</v>
      </c>
      <c r="D59" s="225" t="n">
        <v>0</v>
      </c>
      <c r="E59" s="225" t="n">
        <v>0</v>
      </c>
      <c r="F59" s="225" t="n">
        <v>-16.4</v>
      </c>
      <c r="G59" s="225" t="n">
        <v>-27.3</v>
      </c>
      <c r="H59" s="225" t="n">
        <v>-42</v>
      </c>
      <c r="I59" s="225" t="n">
        <v>-57.6</v>
      </c>
      <c r="J59" s="225" t="n">
        <v>-72</v>
      </c>
      <c r="K59" s="18" t="inlineStr">
        <is>
          <t>For verification</t>
        </is>
      </c>
    </row>
    <row r="61" ht="15.75" customHeight="1" s="3">
      <c r="A61" s="67" t="inlineStr">
        <is>
          <t>AURELIAN PROFIT (EBIT)</t>
        </is>
      </c>
      <c r="B61" s="226">
        <f>B56+B58</f>
        <v/>
      </c>
      <c r="C61" s="226">
        <f>C56+C58</f>
        <v/>
      </c>
      <c r="D61" s="226">
        <f>D56+D58</f>
        <v/>
      </c>
      <c r="E61" s="226">
        <f>E56+E58</f>
        <v/>
      </c>
      <c r="F61" s="226">
        <f>F56+F58</f>
        <v/>
      </c>
      <c r="G61" s="226">
        <f>G56+G58</f>
        <v/>
      </c>
      <c r="H61" s="226">
        <f>H56+H58</f>
        <v/>
      </c>
      <c r="I61" s="226">
        <f>I56+I58</f>
        <v/>
      </c>
      <c r="J61" s="226">
        <f>J56+J58</f>
        <v/>
      </c>
      <c r="K61" s="43" t="inlineStr">
        <is>
          <t>Gross Profit - Customer Program</t>
        </is>
      </c>
    </row>
    <row r="62" ht="15" customHeight="1" s="3">
      <c r="A62" s="17" t="inlineStr">
        <is>
          <t>REV6 §2.2 Aurelian Profit target</t>
        </is>
      </c>
      <c r="B62" s="213" t="n">
        <v>-2.5</v>
      </c>
      <c r="C62" s="213" t="n">
        <v>15.2</v>
      </c>
      <c r="D62" s="213" t="n">
        <v>72.90000000000001</v>
      </c>
      <c r="E62" s="213" t="n">
        <v>131.8</v>
      </c>
      <c r="F62" s="213" t="n">
        <v>166.8</v>
      </c>
      <c r="G62" s="213" t="n">
        <v>182.3</v>
      </c>
      <c r="H62" s="213" t="n">
        <v>207</v>
      </c>
      <c r="I62" s="213" t="n">
        <v>232.6</v>
      </c>
      <c r="J62" s="213" t="n">
        <v>247.8</v>
      </c>
      <c r="K62" s="18" t="inlineStr">
        <is>
          <t>For verification</t>
        </is>
      </c>
    </row>
    <row r="63" ht="15" customHeight="1" s="3">
      <c r="A63" s="17" t="inlineStr">
        <is>
          <t>EBIT difference vs REV6</t>
        </is>
      </c>
      <c r="B63" s="214">
        <f>B61-B62</f>
        <v/>
      </c>
      <c r="C63" s="214">
        <f>C61-C62</f>
        <v/>
      </c>
      <c r="D63" s="214">
        <f>D61-D62</f>
        <v/>
      </c>
      <c r="E63" s="214">
        <f>E61-E62</f>
        <v/>
      </c>
      <c r="F63" s="214">
        <f>F61-F62</f>
        <v/>
      </c>
      <c r="G63" s="214">
        <f>G61-G62</f>
        <v/>
      </c>
      <c r="H63" s="214">
        <f>H61-H62</f>
        <v/>
      </c>
      <c r="I63" s="214">
        <f>I61-I62</f>
        <v/>
      </c>
      <c r="J63" s="214">
        <f>J61-J62</f>
        <v/>
      </c>
      <c r="K63" s="18" t="inlineStr">
        <is>
          <t>Model vs target</t>
        </is>
      </c>
    </row>
    <row r="65" ht="15" customHeight="1" s="3">
      <c r="A65" s="16" t="inlineStr">
        <is>
          <t>EBITDA Reconciliation</t>
        </is>
      </c>
      <c r="B65" s="29" t="n"/>
      <c r="C65" s="29" t="n"/>
      <c r="D65" s="29" t="n"/>
      <c r="E65" s="29" t="n"/>
      <c r="F65" s="29" t="n"/>
      <c r="G65" s="29" t="n"/>
      <c r="H65" s="29" t="n"/>
      <c r="I65" s="29" t="n"/>
      <c r="J65" s="29" t="n"/>
    </row>
    <row r="66" ht="15" customHeight="1" s="3">
      <c r="B66" s="34" t="inlineStr">
        <is>
          <t>2027 H2</t>
        </is>
      </c>
      <c r="C66" s="34" t="inlineStr">
        <is>
          <t>2028</t>
        </is>
      </c>
      <c r="D66" s="34" t="inlineStr">
        <is>
          <t>2029</t>
        </is>
      </c>
      <c r="E66" s="34" t="inlineStr">
        <is>
          <t>2030</t>
        </is>
      </c>
      <c r="F66" s="34" t="inlineStr">
        <is>
          <t>2031</t>
        </is>
      </c>
      <c r="G66" s="34" t="inlineStr">
        <is>
          <t>2032</t>
        </is>
      </c>
      <c r="H66" s="34" t="inlineStr">
        <is>
          <t>2033</t>
        </is>
      </c>
      <c r="I66" s="34" t="inlineStr">
        <is>
          <t>2034</t>
        </is>
      </c>
      <c r="J66" s="34" t="inlineStr">
        <is>
          <t>2035</t>
        </is>
      </c>
      <c r="K66" s="35" t="inlineStr">
        <is>
          <t>Notes</t>
        </is>
      </c>
    </row>
    <row r="67" ht="15" customHeight="1" s="3">
      <c r="A67" s="64" t="inlineStr">
        <is>
          <t>EBITDA</t>
        </is>
      </c>
      <c r="B67" s="224">
        <f>B61-B33</f>
        <v/>
      </c>
      <c r="C67" s="224">
        <f>C61-C33</f>
        <v/>
      </c>
      <c r="D67" s="224">
        <f>D61-D33</f>
        <v/>
      </c>
      <c r="E67" s="224">
        <f>E61-E33</f>
        <v/>
      </c>
      <c r="F67" s="224">
        <f>F61-F33</f>
        <v/>
      </c>
      <c r="G67" s="224">
        <f>G61-G33</f>
        <v/>
      </c>
      <c r="H67" s="224">
        <f>H61-H33</f>
        <v/>
      </c>
      <c r="I67" s="224">
        <f>I61-I33</f>
        <v/>
      </c>
      <c r="J67" s="224">
        <f>J61-J33</f>
        <v/>
      </c>
      <c r="K67" s="60" t="inlineStr">
        <is>
          <t>EBIT + Depreciation add-back</t>
        </is>
      </c>
    </row>
    <row r="68" ht="15" customHeight="1" s="3">
      <c r="A68" s="17" t="inlineStr">
        <is>
          <t>EBITDA margin (%)</t>
        </is>
      </c>
      <c r="B68" s="215">
        <f>IF(B17=0,0,B67/B17)</f>
        <v/>
      </c>
      <c r="C68" s="215">
        <f>IF(C17=0,0,C67/C17)</f>
        <v/>
      </c>
      <c r="D68" s="215">
        <f>IF(D17=0,0,D67/D17)</f>
        <v/>
      </c>
      <c r="E68" s="215">
        <f>IF(E17=0,0,E67/E17)</f>
        <v/>
      </c>
      <c r="F68" s="215">
        <f>IF(F17=0,0,F67/F17)</f>
        <v/>
      </c>
      <c r="G68" s="215">
        <f>IF(G17=0,0,G67/G17)</f>
        <v/>
      </c>
      <c r="H68" s="215">
        <f>IF(H17=0,0,H67/H17)</f>
        <v/>
      </c>
      <c r="I68" s="215">
        <f>IF(I17=0,0,I67/I17)</f>
        <v/>
      </c>
      <c r="J68" s="215">
        <f>IF(J17=0,0,J67/J17)</f>
        <v/>
      </c>
      <c r="K68" s="18" t="inlineStr">
        <is>
          <t>EBITDA / Revenue</t>
        </is>
      </c>
    </row>
    <row r="69" ht="15" customHeight="1" s="3">
      <c r="A69" s="17" t="inlineStr">
        <is>
          <t>EBIT margin (%)</t>
        </is>
      </c>
      <c r="B69" s="215">
        <f>IF(B17=0,0,B61/B17)</f>
        <v/>
      </c>
      <c r="C69" s="215">
        <f>IF(C17=0,0,C61/C17)</f>
        <v/>
      </c>
      <c r="D69" s="215">
        <f>IF(D17=0,0,D61/D17)</f>
        <v/>
      </c>
      <c r="E69" s="215">
        <f>IF(E17=0,0,E61/E17)</f>
        <v/>
      </c>
      <c r="F69" s="215">
        <f>IF(F17=0,0,F61/F17)</f>
        <v/>
      </c>
      <c r="G69" s="215">
        <f>IF(G17=0,0,G61/G17)</f>
        <v/>
      </c>
      <c r="H69" s="215">
        <f>IF(H17=0,0,H61/H17)</f>
        <v/>
      </c>
      <c r="I69" s="215">
        <f>IF(I17=0,0,I61/I17)</f>
        <v/>
      </c>
      <c r="J69" s="215">
        <f>IF(J17=0,0,J61/J17)</f>
        <v/>
      </c>
      <c r="K69" s="18" t="inlineStr">
        <is>
          <t>EBIT / Revenue</t>
        </is>
      </c>
    </row>
    <row r="71" ht="15" customHeight="1" s="3">
      <c r="A71" s="16" t="inlineStr">
        <is>
          <t>Cumulative Aurelian Profit</t>
        </is>
      </c>
      <c r="B71" s="29" t="n"/>
      <c r="C71" s="29" t="n"/>
      <c r="D71" s="29" t="n"/>
      <c r="E71" s="29" t="n"/>
      <c r="F71" s="29" t="n"/>
      <c r="G71" s="29" t="n"/>
      <c r="H71" s="29" t="n"/>
      <c r="I71" s="29" t="n"/>
      <c r="J71" s="29" t="n"/>
    </row>
    <row r="72" ht="15" customHeight="1" s="3">
      <c r="B72" s="34" t="inlineStr">
        <is>
          <t>2027 H2</t>
        </is>
      </c>
      <c r="C72" s="34" t="inlineStr">
        <is>
          <t>2028</t>
        </is>
      </c>
      <c r="D72" s="34" t="inlineStr">
        <is>
          <t>2029</t>
        </is>
      </c>
      <c r="E72" s="34" t="inlineStr">
        <is>
          <t>2030</t>
        </is>
      </c>
      <c r="F72" s="34" t="inlineStr">
        <is>
          <t>2031</t>
        </is>
      </c>
      <c r="G72" s="34" t="inlineStr">
        <is>
          <t>2032</t>
        </is>
      </c>
      <c r="H72" s="34" t="inlineStr">
        <is>
          <t>2033</t>
        </is>
      </c>
      <c r="I72" s="34" t="inlineStr">
        <is>
          <t>2034</t>
        </is>
      </c>
      <c r="J72" s="34" t="inlineStr">
        <is>
          <t>2035</t>
        </is>
      </c>
      <c r="K72" s="35" t="inlineStr">
        <is>
          <t>Notes</t>
        </is>
      </c>
    </row>
    <row r="73" ht="15" customHeight="1" s="3">
      <c r="A73" s="62" t="inlineStr">
        <is>
          <t>Cumulative Aurelian Profit (MNOK)</t>
        </is>
      </c>
      <c r="B73" s="223">
        <f>B61</f>
        <v/>
      </c>
      <c r="C73" s="223">
        <f>B73+C61</f>
        <v/>
      </c>
      <c r="D73" s="223">
        <f>C73+D61</f>
        <v/>
      </c>
      <c r="E73" s="223">
        <f>D73+E61</f>
        <v/>
      </c>
      <c r="F73" s="223">
        <f>E73+F61</f>
        <v/>
      </c>
      <c r="G73" s="223">
        <f>F73+G61</f>
        <v/>
      </c>
      <c r="H73" s="223">
        <f>G73+H61</f>
        <v/>
      </c>
      <c r="I73" s="223">
        <f>H73+I61</f>
        <v/>
      </c>
      <c r="J73" s="223">
        <f>I73+J61</f>
        <v/>
      </c>
      <c r="K73" s="60" t="inlineStr">
        <is>
          <t>REV6 §2.2 target: ~1,254 MNOK</t>
        </is>
      </c>
    </row>
    <row r="75" ht="15" customHeight="1" s="3">
      <c r="A75" s="16" t="inlineStr">
        <is>
          <t>Key Metrics</t>
        </is>
      </c>
      <c r="B75" s="29" t="n"/>
      <c r="C75" s="29" t="n"/>
      <c r="D75" s="29" t="n"/>
      <c r="E75" s="29" t="n"/>
      <c r="F75" s="29" t="n"/>
      <c r="G75" s="29" t="n"/>
      <c r="H75" s="29" t="n"/>
      <c r="I75" s="29" t="n"/>
      <c r="J75" s="29" t="n"/>
    </row>
    <row r="76" ht="15" customHeight="1" s="3">
      <c r="B76" s="34" t="inlineStr">
        <is>
          <t>2027 H2</t>
        </is>
      </c>
      <c r="C76" s="34" t="inlineStr">
        <is>
          <t>2028</t>
        </is>
      </c>
      <c r="D76" s="34" t="inlineStr">
        <is>
          <t>2029</t>
        </is>
      </c>
      <c r="E76" s="34" t="inlineStr">
        <is>
          <t>2030</t>
        </is>
      </c>
      <c r="F76" s="34" t="inlineStr">
        <is>
          <t>2031</t>
        </is>
      </c>
      <c r="G76" s="34" t="inlineStr">
        <is>
          <t>2032</t>
        </is>
      </c>
      <c r="H76" s="34" t="inlineStr">
        <is>
          <t>2033</t>
        </is>
      </c>
      <c r="I76" s="34" t="inlineStr">
        <is>
          <t>2034</t>
        </is>
      </c>
      <c r="J76" s="34" t="inlineStr">
        <is>
          <t>2035</t>
        </is>
      </c>
      <c r="K76" s="35" t="inlineStr">
        <is>
          <t>Notes</t>
        </is>
      </c>
    </row>
    <row r="77" ht="15" customHeight="1" s="3">
      <c r="A77" s="17" t="inlineStr">
        <is>
          <t>Revenue per CNC (MNOK)</t>
        </is>
      </c>
      <c r="B77" s="216">
        <f>IF(B6=0,0,B17/B6)</f>
        <v/>
      </c>
      <c r="C77" s="216">
        <f>IF(C6=0,0,C17/C6)</f>
        <v/>
      </c>
      <c r="D77" s="216">
        <f>IF(D6=0,0,D17/D6)</f>
        <v/>
      </c>
      <c r="E77" s="216">
        <f>IF(E6=0,0,E17/E6)</f>
        <v/>
      </c>
      <c r="F77" s="216">
        <f>IF(F6=0,0,F17/F6)</f>
        <v/>
      </c>
      <c r="G77" s="216">
        <f>IF(G6=0,0,G17/G6)</f>
        <v/>
      </c>
      <c r="H77" s="216">
        <f>IF(H6=0,0,H17/H6)</f>
        <v/>
      </c>
      <c r="I77" s="216">
        <f>IF(I6=0,0,I17/I6)</f>
        <v/>
      </c>
      <c r="J77" s="216">
        <f>IF(J6=0,0,J17/J6)</f>
        <v/>
      </c>
      <c r="K77" s="18" t="inlineStr">
        <is>
          <t>Total revenue / avg CNC</t>
        </is>
      </c>
    </row>
    <row r="78" ht="15" customHeight="1" s="3">
      <c r="A78" s="17" t="inlineStr">
        <is>
          <t>Cost per CNC (MNOK)</t>
        </is>
      </c>
      <c r="B78" s="216">
        <f>IF(B6=0,0,-B50/B6)</f>
        <v/>
      </c>
      <c r="C78" s="216">
        <f>IF(C6=0,0,-C50/C6)</f>
        <v/>
      </c>
      <c r="D78" s="216">
        <f>IF(D6=0,0,-D50/D6)</f>
        <v/>
      </c>
      <c r="E78" s="216">
        <f>IF(E6=0,0,-E50/E6)</f>
        <v/>
      </c>
      <c r="F78" s="216">
        <f>IF(F6=0,0,-F50/F6)</f>
        <v/>
      </c>
      <c r="G78" s="216">
        <f>IF(G6=0,0,-G50/G6)</f>
        <v/>
      </c>
      <c r="H78" s="216">
        <f>IF(H6=0,0,-H50/H6)</f>
        <v/>
      </c>
      <c r="I78" s="216">
        <f>IF(I6=0,0,-I50/I6)</f>
        <v/>
      </c>
      <c r="J78" s="216">
        <f>IF(J6=0,0,-J50/J6)</f>
        <v/>
      </c>
      <c r="K78" s="18" t="inlineStr">
        <is>
          <t>Total cost / avg CNC</t>
        </is>
      </c>
    </row>
    <row r="79" ht="15" customHeight="1" s="3">
      <c r="A79" s="17" t="inlineStr">
        <is>
          <t>Aurelian Profit per CNC (MNOK)</t>
        </is>
      </c>
      <c r="B79" s="216">
        <f>IF(B6=0,0,B61/B6)</f>
        <v/>
      </c>
      <c r="C79" s="216">
        <f>IF(C6=0,0,C61/C6)</f>
        <v/>
      </c>
      <c r="D79" s="216">
        <f>IF(D6=0,0,D61/D6)</f>
        <v/>
      </c>
      <c r="E79" s="216">
        <f>IF(E6=0,0,E61/E6)</f>
        <v/>
      </c>
      <c r="F79" s="216">
        <f>IF(F6=0,0,F61/F6)</f>
        <v/>
      </c>
      <c r="G79" s="216">
        <f>IF(G6=0,0,G61/G6)</f>
        <v/>
      </c>
      <c r="H79" s="216">
        <f>IF(H6=0,0,H61/H6)</f>
        <v/>
      </c>
      <c r="I79" s="216">
        <f>IF(I6=0,0,I61/I6)</f>
        <v/>
      </c>
      <c r="J79" s="216">
        <f>IF(J6=0,0,J61/J6)</f>
        <v/>
      </c>
      <c r="K79" s="18" t="inlineStr">
        <is>
          <t>EBIT / avg CNC</t>
        </is>
      </c>
    </row>
    <row r="80" ht="15" customHeight="1" s="3">
      <c r="A80" s="17" t="inlineStr">
        <is>
          <t>Revenue per FTE (MNOK)</t>
        </is>
      </c>
      <c r="B80" s="216">
        <f>IF((B10+Assumptions!$C$51)=0,0,B17/(B10+Assumptions!$C$51))</f>
        <v/>
      </c>
      <c r="C80" s="216">
        <f>IF((C10+Assumptions!$C$51)=0,0,C17/(C10+Assumptions!$C$51))</f>
        <v/>
      </c>
      <c r="D80" s="216">
        <f>IF((D10+Assumptions!$C$51)=0,0,D17/(D10+Assumptions!$C$51))</f>
        <v/>
      </c>
      <c r="E80" s="216">
        <f>IF((E10+Assumptions!$C$51)=0,0,E17/(E10+Assumptions!$C$51))</f>
        <v/>
      </c>
      <c r="F80" s="216">
        <f>IF((F10+Assumptions!$C$51)=0,0,F17/(F10+Assumptions!$C$51))</f>
        <v/>
      </c>
      <c r="G80" s="216">
        <f>IF((G10+Assumptions!$C$51)=0,0,G17/(G10+Assumptions!$C$51))</f>
        <v/>
      </c>
      <c r="H80" s="216">
        <f>IF((H10+Assumptions!$C$51)=0,0,H17/(H10+Assumptions!$C$51))</f>
        <v/>
      </c>
      <c r="I80" s="216">
        <f>IF((I10+Assumptions!$C$51)=0,0,I17/(I10+Assumptions!$C$51))</f>
        <v/>
      </c>
      <c r="J80" s="216">
        <f>IF((J10+Assumptions!$C$51)=0,0,J17/(J10+Assumptions!$C$51))</f>
        <v/>
      </c>
      <c r="K80" s="18" t="inlineStr">
        <is>
          <t>Revenue / total staff</t>
        </is>
      </c>
    </row>
    <row r="81" ht="15" customHeight="1" s="3">
      <c r="A81" s="17" t="inlineStr">
        <is>
          <t>Variable costs (absolute, MNOK)</t>
        </is>
      </c>
      <c r="B81" s="216">
        <f>-B21</f>
        <v/>
      </c>
      <c r="C81" s="216">
        <f>-C21</f>
        <v/>
      </c>
      <c r="D81" s="216">
        <f>-D21</f>
        <v/>
      </c>
      <c r="E81" s="216">
        <f>-E21</f>
        <v/>
      </c>
      <c r="F81" s="216">
        <f>-F21</f>
        <v/>
      </c>
      <c r="G81" s="216">
        <f>-G21</f>
        <v/>
      </c>
      <c r="H81" s="216">
        <f>-H21</f>
        <v/>
      </c>
      <c r="I81" s="216">
        <f>-I21</f>
        <v/>
      </c>
      <c r="J81" s="216">
        <f>-J21</f>
        <v/>
      </c>
      <c r="K81" s="18" t="inlineStr">
        <is>
          <t>For reference</t>
        </is>
      </c>
    </row>
    <row r="83" ht="15" customHeight="1" s="3">
      <c r="A83" s="16" t="inlineStr">
        <is>
          <t>Steady State Validation — REV6 §3.6 (20 CNC @ 60%, 8% var cost)</t>
        </is>
      </c>
      <c r="B83" s="29" t="n"/>
      <c r="C83" s="29" t="n"/>
      <c r="D83" s="29" t="n"/>
      <c r="E83" s="29" t="n"/>
      <c r="F83" s="29" t="n"/>
      <c r="G83" s="29" t="n"/>
      <c r="H83" s="29" t="n"/>
      <c r="I83" s="29" t="n"/>
      <c r="J83" s="29" t="n"/>
    </row>
    <row r="84" ht="15" customHeight="1" s="3">
      <c r="A84" s="69" t="inlineStr">
        <is>
          <t>Component</t>
        </is>
      </c>
      <c r="B84" s="70" t="inlineStr">
        <is>
          <t>REV6 Target</t>
        </is>
      </c>
      <c r="C84" s="70" t="inlineStr">
        <is>
          <t>Model (2032)</t>
        </is>
      </c>
      <c r="D84" s="70" t="inlineStr">
        <is>
          <t>Difference</t>
        </is>
      </c>
    </row>
    <row r="85" ht="15" customHeight="1" s="3">
      <c r="A85" s="17" t="inlineStr">
        <is>
          <t>Operational payroll</t>
        </is>
      </c>
      <c r="B85" s="71" t="n">
        <v>17.6</v>
      </c>
      <c r="C85" s="72">
        <f>-G25</f>
        <v/>
      </c>
      <c r="D85" s="227">
        <f>C85-B85</f>
        <v/>
      </c>
    </row>
    <row r="86" ht="15" customHeight="1" s="3">
      <c r="A86" s="17" t="inlineStr">
        <is>
          <t>Administration</t>
        </is>
      </c>
      <c r="B86" s="71" t="n">
        <v>5.6</v>
      </c>
      <c r="C86" s="72">
        <f>-G26</f>
        <v/>
      </c>
      <c r="D86" s="227">
        <f>C86-B86</f>
        <v/>
      </c>
    </row>
    <row r="87" ht="15" customHeight="1" s="3">
      <c r="A87" s="17" t="inlineStr">
        <is>
          <t>CNC depreciation</t>
        </is>
      </c>
      <c r="B87" s="71" t="n">
        <v>25</v>
      </c>
      <c r="C87" s="72">
        <f>-G31</f>
        <v/>
      </c>
      <c r="D87" s="227">
        <f>C87-B87</f>
        <v/>
      </c>
    </row>
    <row r="88" ht="15" customHeight="1" s="3">
      <c r="A88" s="17" t="inlineStr">
        <is>
          <t>Shop base depreciation</t>
        </is>
      </c>
      <c r="B88" s="71" t="n">
        <v>1.08</v>
      </c>
      <c r="C88" s="72">
        <f>-G32</f>
        <v/>
      </c>
      <c r="D88" s="227">
        <f>C88-B88</f>
        <v/>
      </c>
    </row>
    <row r="89" ht="15" customHeight="1" s="3">
      <c r="A89" s="17" t="inlineStr">
        <is>
          <t>Finance cost</t>
        </is>
      </c>
      <c r="B89" s="71" t="n">
        <v>10.07</v>
      </c>
      <c r="C89" s="72">
        <f>-G40</f>
        <v/>
      </c>
      <c r="D89" s="227">
        <f>C89-B89</f>
        <v/>
      </c>
    </row>
    <row r="90" ht="15" customHeight="1" s="3">
      <c r="A90" s="17" t="inlineStr">
        <is>
          <t>Facility lease</t>
        </is>
      </c>
      <c r="B90" s="71" t="n">
        <v>5.2</v>
      </c>
      <c r="C90" s="72">
        <f>-G44</f>
        <v/>
      </c>
      <c r="D90" s="227">
        <f>C90-B90</f>
        <v/>
      </c>
    </row>
    <row r="91" ht="15" customHeight="1" s="3">
      <c r="A91" s="17" t="inlineStr">
        <is>
          <t>Variable costs (8%)</t>
        </is>
      </c>
      <c r="B91" s="71" t="n">
        <v>25.2</v>
      </c>
      <c r="C91" s="72">
        <f>-G21</f>
        <v/>
      </c>
      <c r="D91" s="227">
        <f>C91-B91</f>
        <v/>
      </c>
    </row>
    <row r="92" ht="15" customHeight="1" s="3">
      <c r="A92" s="17" t="inlineStr">
        <is>
          <t>Other operating costs</t>
        </is>
      </c>
      <c r="B92" s="71" t="n">
        <v>3</v>
      </c>
      <c r="C92" s="72">
        <f>-G45</f>
        <v/>
      </c>
      <c r="D92" s="227">
        <f>C92-B92</f>
        <v/>
      </c>
    </row>
    <row r="93" ht="15" customHeight="1" s="3">
      <c r="A93" s="17" t="inlineStr">
        <is>
          <t>Total cost</t>
        </is>
      </c>
      <c r="B93" s="71" t="n">
        <v>92.75</v>
      </c>
      <c r="C93" s="72">
        <f>-G50</f>
        <v/>
      </c>
      <c r="D93" s="227">
        <f>C93-B93</f>
        <v/>
      </c>
    </row>
    <row r="94" ht="15" customHeight="1" s="3">
      <c r="A94" s="17" t="inlineStr">
        <is>
          <t>Revenue @ 60%</t>
        </is>
      </c>
      <c r="B94" s="71" t="n">
        <v>315</v>
      </c>
      <c r="C94" s="72">
        <f>G17</f>
        <v/>
      </c>
      <c r="D94" s="227">
        <f>C94-B94</f>
        <v/>
      </c>
    </row>
    <row r="95" ht="15" customHeight="1" s="3">
      <c r="A95" s="17" t="inlineStr">
        <is>
          <t>Result before tax</t>
        </is>
      </c>
      <c r="B95" s="71" t="n">
        <v>222.3</v>
      </c>
      <c r="C95" s="72">
        <f>G56</f>
        <v/>
      </c>
      <c r="D95" s="227">
        <f>C95-B95</f>
        <v/>
      </c>
    </row>
  </sheetData>
  <mergeCells count="15">
    <mergeCell ref="A1:J1"/>
    <mergeCell ref="A23:J23"/>
    <mergeCell ref="A75:J75"/>
    <mergeCell ref="A71:J71"/>
    <mergeCell ref="A83:J83"/>
    <mergeCell ref="A29:J29"/>
    <mergeCell ref="A35:J35"/>
    <mergeCell ref="A65:J65"/>
    <mergeCell ref="A48:J48"/>
    <mergeCell ref="A4:J4"/>
    <mergeCell ref="A2:J2"/>
    <mergeCell ref="A15:J15"/>
    <mergeCell ref="A19:J19"/>
    <mergeCell ref="A42:J42"/>
    <mergeCell ref="A54:J54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0066CC"/>
    <outlinePr summaryBelow="1" summaryRight="1"/>
    <pageSetUpPr/>
  </sheetPr>
  <dimension ref="A1:L77"/>
  <sheetViews>
    <sheetView zoomScaleNormal="100" workbookViewId="0">
      <selection activeCell="A1" sqref="A1"/>
    </sheetView>
  </sheetViews>
  <sheetFormatPr baseColWidth="10" defaultColWidth="8.7109375" defaultRowHeight="15"/>
  <cols>
    <col width="44" customWidth="1" style="3" min="1" max="1"/>
    <col width="15" customWidth="1" style="3" min="2" max="11"/>
    <col width="40" customWidth="1" style="3" min="12" max="12"/>
  </cols>
  <sheetData>
    <row r="1" ht="31.5" customHeight="1" s="3">
      <c r="A1" s="12" t="inlineStr">
        <is>
          <t>AURELIAN MANUFACTURING — CASH FLOW STATEMENT</t>
        </is>
      </c>
    </row>
    <row r="2" ht="15" customHeight="1" s="3">
      <c r="A2" s="14" t="inlineStr">
        <is>
          <t>All amounts in MNOK. Source: REV6 §2, §3, §7. Includes pre-revenue 2026.</t>
        </is>
      </c>
    </row>
    <row r="4" ht="15" customHeight="1" s="3">
      <c r="A4" s="16" t="inlineStr">
        <is>
          <t>A. Operating Cash Flow</t>
        </is>
      </c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</row>
    <row r="5" ht="15" customHeight="1" s="3">
      <c r="B5" s="34" t="inlineStr">
        <is>
          <t>2026</t>
        </is>
      </c>
      <c r="C5" s="34" t="inlineStr">
        <is>
          <t>2027 H2</t>
        </is>
      </c>
      <c r="D5" s="34" t="inlineStr">
        <is>
          <t>2028</t>
        </is>
      </c>
      <c r="E5" s="34" t="inlineStr">
        <is>
          <t>2029</t>
        </is>
      </c>
      <c r="F5" s="34" t="inlineStr">
        <is>
          <t>2030</t>
        </is>
      </c>
      <c r="G5" s="34" t="inlineStr">
        <is>
          <t>2031</t>
        </is>
      </c>
      <c r="H5" s="34" t="inlineStr">
        <is>
          <t>2032</t>
        </is>
      </c>
      <c r="I5" s="34" t="inlineStr">
        <is>
          <t>2033</t>
        </is>
      </c>
      <c r="J5" s="34" t="inlineStr">
        <is>
          <t>2034</t>
        </is>
      </c>
      <c r="K5" s="34" t="inlineStr">
        <is>
          <t>2035</t>
        </is>
      </c>
      <c r="L5" s="35" t="inlineStr">
        <is>
          <t>Notes</t>
        </is>
      </c>
    </row>
    <row r="6" ht="15" customHeight="1" s="3">
      <c r="A6" s="25" t="inlineStr">
        <is>
          <t>EBIT (from P&amp;L)</t>
        </is>
      </c>
      <c r="B6" s="222" t="n">
        <v>0</v>
      </c>
      <c r="C6" s="222">
        <f>'P&amp;L'!B61</f>
        <v/>
      </c>
      <c r="D6" s="222">
        <f>'P&amp;L'!C61</f>
        <v/>
      </c>
      <c r="E6" s="222">
        <f>'P&amp;L'!D61</f>
        <v/>
      </c>
      <c r="F6" s="222">
        <f>'P&amp;L'!E61</f>
        <v/>
      </c>
      <c r="G6" s="222">
        <f>'P&amp;L'!F61</f>
        <v/>
      </c>
      <c r="H6" s="222">
        <f>'P&amp;L'!G61</f>
        <v/>
      </c>
      <c r="I6" s="222">
        <f>'P&amp;L'!H61</f>
        <v/>
      </c>
      <c r="J6" s="222">
        <f>'P&amp;L'!I61</f>
        <v/>
      </c>
      <c r="K6" s="222">
        <f>'P&amp;L'!J61</f>
        <v/>
      </c>
      <c r="L6" s="18" t="inlineStr">
        <is>
          <t>P&amp;L: AURELIAN PROFIT (EBIT)</t>
        </is>
      </c>
    </row>
    <row r="7" ht="15" customHeight="1" s="3">
      <c r="A7" s="17" t="inlineStr">
        <is>
          <t>(+) Depreciation add-back</t>
        </is>
      </c>
      <c r="B7" s="222" t="n">
        <v>0</v>
      </c>
      <c r="C7" s="222">
        <f>-'P&amp;L'!B33</f>
        <v/>
      </c>
      <c r="D7" s="222">
        <f>-'P&amp;L'!C33</f>
        <v/>
      </c>
      <c r="E7" s="222">
        <f>-'P&amp;L'!D33</f>
        <v/>
      </c>
      <c r="F7" s="222">
        <f>-'P&amp;L'!E33</f>
        <v/>
      </c>
      <c r="G7" s="222">
        <f>-'P&amp;L'!F33</f>
        <v/>
      </c>
      <c r="H7" s="222">
        <f>-'P&amp;L'!G33</f>
        <v/>
      </c>
      <c r="I7" s="222">
        <f>-'P&amp;L'!H33</f>
        <v/>
      </c>
      <c r="J7" s="222">
        <f>-'P&amp;L'!I33</f>
        <v/>
      </c>
      <c r="K7" s="222">
        <f>-'P&amp;L'!J33</f>
        <v/>
      </c>
      <c r="L7" s="18" t="inlineStr">
        <is>
          <t>Non-cash: CNC + shop base depr</t>
        </is>
      </c>
    </row>
    <row r="8" ht="15" customHeight="1" s="3">
      <c r="A8" s="17" t="inlineStr">
        <is>
          <t>(-) Working capital changes</t>
        </is>
      </c>
      <c r="B8" s="222" t="n">
        <v>0</v>
      </c>
      <c r="C8" s="222" t="n">
        <v>0</v>
      </c>
      <c r="D8" s="222" t="n">
        <v>0</v>
      </c>
      <c r="E8" s="222" t="n">
        <v>0</v>
      </c>
      <c r="F8" s="222" t="n">
        <v>0</v>
      </c>
      <c r="G8" s="222" t="n">
        <v>0</v>
      </c>
      <c r="H8" s="222" t="n">
        <v>0</v>
      </c>
      <c r="I8" s="222" t="n">
        <v>0</v>
      </c>
      <c r="J8" s="222" t="n">
        <v>0</v>
      </c>
      <c r="K8" s="222" t="n">
        <v>0</v>
      </c>
      <c r="L8" s="18" t="inlineStr">
        <is>
          <t>From Balance Sheet NWC change</t>
        </is>
      </c>
    </row>
    <row r="9" ht="15" customHeight="1" s="3">
      <c r="A9" s="62" t="inlineStr">
        <is>
          <t>NET OPERATING CASH FLOW</t>
        </is>
      </c>
      <c r="B9" s="228">
        <f>B6+B7+B8</f>
        <v/>
      </c>
      <c r="C9" s="228">
        <f>C6+C7+C8</f>
        <v/>
      </c>
      <c r="D9" s="228">
        <f>D6+D7+D8</f>
        <v/>
      </c>
      <c r="E9" s="228">
        <f>E6+E7+E8</f>
        <v/>
      </c>
      <c r="F9" s="228">
        <f>F6+F7+F8</f>
        <v/>
      </c>
      <c r="G9" s="228">
        <f>G6+G7+G8</f>
        <v/>
      </c>
      <c r="H9" s="228">
        <f>H6+H7+H8</f>
        <v/>
      </c>
      <c r="I9" s="228">
        <f>I6+I7+I8</f>
        <v/>
      </c>
      <c r="J9" s="228">
        <f>J6+J7+J8</f>
        <v/>
      </c>
      <c r="K9" s="228">
        <f>K6+K7+K8</f>
        <v/>
      </c>
      <c r="L9" s="60" t="inlineStr">
        <is>
          <t>EBIT + Depreciation + WC changes</t>
        </is>
      </c>
    </row>
    <row r="11" ht="15" customHeight="1" s="3">
      <c r="A11" s="16" t="inlineStr">
        <is>
          <t>B. Investing Cash Flow (CAPEX)</t>
        </is>
      </c>
      <c r="B11" s="29" t="n"/>
      <c r="C11" s="29" t="n"/>
      <c r="D11" s="29" t="n"/>
      <c r="E11" s="29" t="n"/>
      <c r="F11" s="29" t="n"/>
      <c r="G11" s="29" t="n"/>
      <c r="H11" s="29" t="n"/>
      <c r="I11" s="29" t="n"/>
      <c r="J11" s="29" t="n"/>
      <c r="K11" s="29" t="n"/>
    </row>
    <row r="12" ht="15" customHeight="1" s="3">
      <c r="B12" s="34" t="inlineStr">
        <is>
          <t>2026</t>
        </is>
      </c>
      <c r="C12" s="34" t="inlineStr">
        <is>
          <t>2027 H2</t>
        </is>
      </c>
      <c r="D12" s="34" t="inlineStr">
        <is>
          <t>2028</t>
        </is>
      </c>
      <c r="E12" s="34" t="inlineStr">
        <is>
          <t>2029</t>
        </is>
      </c>
      <c r="F12" s="34" t="inlineStr">
        <is>
          <t>2030</t>
        </is>
      </c>
      <c r="G12" s="34" t="inlineStr">
        <is>
          <t>2031</t>
        </is>
      </c>
      <c r="H12" s="34" t="inlineStr">
        <is>
          <t>2032</t>
        </is>
      </c>
      <c r="I12" s="34" t="inlineStr">
        <is>
          <t>2033</t>
        </is>
      </c>
      <c r="J12" s="34" t="inlineStr">
        <is>
          <t>2034</t>
        </is>
      </c>
      <c r="K12" s="34" t="inlineStr">
        <is>
          <t>2035</t>
        </is>
      </c>
      <c r="L12" s="35" t="inlineStr">
        <is>
          <t>Notes</t>
        </is>
      </c>
    </row>
    <row r="13" ht="15" customHeight="1" s="3">
      <c r="A13" s="17" t="inlineStr">
        <is>
          <t>New CNC machines purchased (units)</t>
        </is>
      </c>
      <c r="B13" s="55" t="n">
        <v>0</v>
      </c>
      <c r="C13" s="55" t="n">
        <v>5</v>
      </c>
      <c r="D13" s="55" t="n">
        <v>5</v>
      </c>
      <c r="E13" s="55" t="n">
        <v>5</v>
      </c>
      <c r="F13" s="55" t="n">
        <v>5</v>
      </c>
      <c r="G13" s="55" t="n">
        <v>0</v>
      </c>
      <c r="H13" s="55" t="n">
        <v>0</v>
      </c>
      <c r="I13" s="55" t="n">
        <v>2</v>
      </c>
      <c r="J13" s="55" t="n">
        <v>2</v>
      </c>
      <c r="K13" s="55" t="n">
        <v>1</v>
      </c>
      <c r="L13" s="18" t="inlineStr">
        <is>
          <t>REV6 §2.1: 5+5+5+5=20 core, then organic</t>
        </is>
      </c>
    </row>
    <row r="14" ht="15" customHeight="1" s="3">
      <c r="A14" s="17" t="inlineStr">
        <is>
          <t>(-) CNC machine purchases</t>
        </is>
      </c>
      <c r="B14" s="222">
        <f>-B13*Assumptions!$C$23/1000000</f>
        <v/>
      </c>
      <c r="C14" s="222">
        <f>-C13*Assumptions!$C$23/1000000</f>
        <v/>
      </c>
      <c r="D14" s="222">
        <f>-D13*Assumptions!$C$23/1000000</f>
        <v/>
      </c>
      <c r="E14" s="222">
        <f>-E13*Assumptions!$C$23/1000000</f>
        <v/>
      </c>
      <c r="F14" s="222">
        <f>-F13*Assumptions!$C$23/1000000</f>
        <v/>
      </c>
      <c r="G14" s="222">
        <f>-G13*Assumptions!$C$23/1000000</f>
        <v/>
      </c>
      <c r="H14" s="222">
        <f>-H13*Assumptions!$C$23/1000000</f>
        <v/>
      </c>
      <c r="I14" s="222">
        <f>-I13*Assumptions!$C$23/1000000</f>
        <v/>
      </c>
      <c r="J14" s="222">
        <f>-J13*Assumptions!$C$23/1000000</f>
        <v/>
      </c>
      <c r="K14" s="222">
        <f>-K13*Assumptions!$C$23/1000000</f>
        <v/>
      </c>
      <c r="L14" s="18" t="inlineStr">
        <is>
          <t>Units × 10M per CNC</t>
        </is>
      </c>
    </row>
    <row r="15" ht="15" customHeight="1" s="3">
      <c r="A15" s="17" t="inlineStr">
        <is>
          <t>(-) Shop base setup</t>
        </is>
      </c>
      <c r="B15" s="225" t="n">
        <v>0</v>
      </c>
      <c r="C15" s="225" t="n">
        <v>-8.619999999999999</v>
      </c>
      <c r="D15" s="225" t="n">
        <v>0</v>
      </c>
      <c r="E15" s="225" t="n">
        <v>0</v>
      </c>
      <c r="F15" s="225" t="n">
        <v>0</v>
      </c>
      <c r="G15" s="225" t="n">
        <v>0</v>
      </c>
      <c r="H15" s="225" t="n">
        <v>0</v>
      </c>
      <c r="I15" s="225" t="n">
        <v>0</v>
      </c>
      <c r="J15" s="225" t="n">
        <v>0</v>
      </c>
      <c r="K15" s="225" t="n">
        <v>0</v>
      </c>
      <c r="L15" s="18" t="inlineStr">
        <is>
          <t>REV6 §1.2c — One-time per site, 8.6M</t>
        </is>
      </c>
    </row>
    <row r="16" ht="15" customHeight="1" s="3">
      <c r="A16" s="17" t="inlineStr">
        <is>
          <t>(-) Facility setup &amp; commissioning</t>
        </is>
      </c>
      <c r="B16" s="225" t="n">
        <v>0</v>
      </c>
      <c r="C16" s="225" t="n">
        <v>-3</v>
      </c>
      <c r="D16" s="225" t="n">
        <v>0</v>
      </c>
      <c r="E16" s="225" t="n">
        <v>0</v>
      </c>
      <c r="F16" s="225" t="n">
        <v>0</v>
      </c>
      <c r="G16" s="225" t="n">
        <v>0</v>
      </c>
      <c r="H16" s="225" t="n">
        <v>0</v>
      </c>
      <c r="I16" s="225" t="n">
        <v>0</v>
      </c>
      <c r="J16" s="225" t="n">
        <v>0</v>
      </c>
      <c r="K16" s="225" t="n">
        <v>0</v>
      </c>
      <c r="L16" s="18" t="inlineStr">
        <is>
          <t>REV6 §7.2 — IT/OT, tooling, automation</t>
        </is>
      </c>
    </row>
    <row r="17" ht="15" customHeight="1" s="3">
      <c r="A17" s="17" t="inlineStr">
        <is>
          <t>(-) Certifications (AS9100, AQAP, ISO)</t>
        </is>
      </c>
      <c r="B17" s="225" t="n">
        <v>0</v>
      </c>
      <c r="C17" s="225" t="n">
        <v>-2</v>
      </c>
      <c r="D17" s="225" t="n">
        <v>0</v>
      </c>
      <c r="E17" s="225" t="n">
        <v>0</v>
      </c>
      <c r="F17" s="225" t="n">
        <v>0</v>
      </c>
      <c r="G17" s="225" t="n">
        <v>0</v>
      </c>
      <c r="H17" s="225" t="n">
        <v>0</v>
      </c>
      <c r="I17" s="225" t="n">
        <v>0</v>
      </c>
      <c r="J17" s="225" t="n">
        <v>0</v>
      </c>
      <c r="K17" s="225" t="n">
        <v>0</v>
      </c>
      <c r="L17" s="18" t="inlineStr">
        <is>
          <t>REV6 §7.2 — Defence market access</t>
        </is>
      </c>
    </row>
    <row r="18" ht="15" customHeight="1" s="3">
      <c r="A18" s="17" t="inlineStr">
        <is>
          <t>(-) Platform engineering (self-funded)</t>
        </is>
      </c>
      <c r="B18" s="225" t="n">
        <v>0</v>
      </c>
      <c r="C18" s="225" t="n">
        <v>0</v>
      </c>
      <c r="D18" s="225" t="n">
        <v>0</v>
      </c>
      <c r="E18" s="225" t="n">
        <v>0</v>
      </c>
      <c r="F18" s="225" t="n">
        <v>-5.6</v>
      </c>
      <c r="G18" s="225" t="n">
        <v>-5.6</v>
      </c>
      <c r="H18" s="225" t="n">
        <v>-5.6</v>
      </c>
      <c r="I18" s="225" t="n">
        <v>-5.6</v>
      </c>
      <c r="J18" s="225" t="n">
        <v>-5.6</v>
      </c>
      <c r="K18" s="225" t="n">
        <v>-5.6</v>
      </c>
      <c r="L18" s="18" t="inlineStr">
        <is>
          <t>REV6 §7.4 — 4-5 FTE from Q1 2030, ~5.6M/yr</t>
        </is>
      </c>
    </row>
    <row r="19" ht="15" customHeight="1" s="3">
      <c r="A19" s="62" t="inlineStr">
        <is>
          <t>NET INVESTING CASH FLOW</t>
        </is>
      </c>
      <c r="B19" s="228">
        <f>B14+B15+B16+B17+B18</f>
        <v/>
      </c>
      <c r="C19" s="228">
        <f>C14+C15+C16+C17+C18</f>
        <v/>
      </c>
      <c r="D19" s="228">
        <f>D14+D15+D16+D17+D18</f>
        <v/>
      </c>
      <c r="E19" s="228">
        <f>E14+E15+E16+E17+E18</f>
        <v/>
      </c>
      <c r="F19" s="228">
        <f>F14+F15+F16+F17+F18</f>
        <v/>
      </c>
      <c r="G19" s="228">
        <f>G14+G15+G16+G17+G18</f>
        <v/>
      </c>
      <c r="H19" s="228">
        <f>H14+H15+H16+H17+H18</f>
        <v/>
      </c>
      <c r="I19" s="228">
        <f>I14+I15+I16+I17+I18</f>
        <v/>
      </c>
      <c r="J19" s="228">
        <f>J14+J15+J16+J17+J18</f>
        <v/>
      </c>
      <c r="K19" s="228">
        <f>K14+K15+K16+K17+K18</f>
        <v/>
      </c>
      <c r="L19" s="60" t="inlineStr">
        <is>
          <t>Total CAPEX</t>
        </is>
      </c>
    </row>
    <row r="21" ht="15" customHeight="1" s="3">
      <c r="A21" s="16" t="inlineStr">
        <is>
          <t>C. Financing Cash Flow</t>
        </is>
      </c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</row>
    <row r="22" ht="15" customHeight="1" s="3">
      <c r="B22" s="34" t="inlineStr">
        <is>
          <t>2026</t>
        </is>
      </c>
      <c r="C22" s="34" t="inlineStr">
        <is>
          <t>2027 H2</t>
        </is>
      </c>
      <c r="D22" s="34" t="inlineStr">
        <is>
          <t>2028</t>
        </is>
      </c>
      <c r="E22" s="34" t="inlineStr">
        <is>
          <t>2029</t>
        </is>
      </c>
      <c r="F22" s="34" t="inlineStr">
        <is>
          <t>2030</t>
        </is>
      </c>
      <c r="G22" s="34" t="inlineStr">
        <is>
          <t>2031</t>
        </is>
      </c>
      <c r="H22" s="34" t="inlineStr">
        <is>
          <t>2032</t>
        </is>
      </c>
      <c r="I22" s="34" t="inlineStr">
        <is>
          <t>2033</t>
        </is>
      </c>
      <c r="J22" s="34" t="inlineStr">
        <is>
          <t>2034</t>
        </is>
      </c>
      <c r="K22" s="34" t="inlineStr">
        <is>
          <t>2035</t>
        </is>
      </c>
      <c r="L22" s="35" t="inlineStr">
        <is>
          <t>Notes</t>
        </is>
      </c>
    </row>
    <row r="23" ht="15" customHeight="1" s="3">
      <c r="A23" s="17" t="inlineStr">
        <is>
          <t>(+) PreSeed equity</t>
        </is>
      </c>
      <c r="B23" s="225" t="n">
        <v>5</v>
      </c>
      <c r="C23" s="225" t="n">
        <v>0</v>
      </c>
      <c r="D23" s="225" t="n">
        <v>0</v>
      </c>
      <c r="E23" s="225" t="n">
        <v>0</v>
      </c>
      <c r="F23" s="225" t="n">
        <v>0</v>
      </c>
      <c r="G23" s="225" t="n">
        <v>0</v>
      </c>
      <c r="H23" s="225" t="n">
        <v>0</v>
      </c>
      <c r="I23" s="225" t="n">
        <v>0</v>
      </c>
      <c r="J23" s="225" t="n">
        <v>0</v>
      </c>
      <c r="K23" s="225" t="n">
        <v>0</v>
      </c>
      <c r="L23" s="18" t="inlineStr">
        <is>
          <t>REV6 §4.1 — 5 MNOK</t>
        </is>
      </c>
    </row>
    <row r="24" ht="15" customHeight="1" s="3">
      <c r="A24" s="17" t="inlineStr">
        <is>
          <t>(+) Seed equity</t>
        </is>
      </c>
      <c r="B24" s="225" t="n">
        <v>0</v>
      </c>
      <c r="C24" s="225" t="n">
        <v>51.3</v>
      </c>
      <c r="D24" s="225" t="n">
        <v>0</v>
      </c>
      <c r="E24" s="225" t="n">
        <v>0</v>
      </c>
      <c r="F24" s="225" t="n">
        <v>0</v>
      </c>
      <c r="G24" s="225" t="n">
        <v>0</v>
      </c>
      <c r="H24" s="225" t="n">
        <v>0</v>
      </c>
      <c r="I24" s="225" t="n">
        <v>0</v>
      </c>
      <c r="J24" s="225" t="n">
        <v>0</v>
      </c>
      <c r="K24" s="225" t="n">
        <v>0</v>
      </c>
      <c r="L24" s="18" t="inlineStr">
        <is>
          <t>REV6 §4.1 — 51.3 MNOK</t>
        </is>
      </c>
    </row>
    <row r="25" ht="15" customHeight="1" s="3">
      <c r="A25" s="17" t="inlineStr">
        <is>
          <t>(+) Seed bank debt</t>
        </is>
      </c>
      <c r="B25" s="225" t="n">
        <v>0</v>
      </c>
      <c r="C25" s="225" t="n">
        <v>29.3</v>
      </c>
      <c r="D25" s="225" t="n">
        <v>0</v>
      </c>
      <c r="E25" s="225" t="n">
        <v>0</v>
      </c>
      <c r="F25" s="225" t="n">
        <v>0</v>
      </c>
      <c r="G25" s="225" t="n">
        <v>0</v>
      </c>
      <c r="H25" s="225" t="n">
        <v>0</v>
      </c>
      <c r="I25" s="225" t="n">
        <v>0</v>
      </c>
      <c r="J25" s="225" t="n">
        <v>0</v>
      </c>
      <c r="K25" s="225" t="n">
        <v>0</v>
      </c>
      <c r="L25" s="18" t="inlineStr">
        <is>
          <t>REV6 §4.1 — 5 CNC × 5M + 4.3M shop base</t>
        </is>
      </c>
    </row>
    <row r="26" ht="15" customHeight="1" s="3">
      <c r="A26" s="17" t="inlineStr">
        <is>
          <t>(+) Serie A equity (tranches)</t>
        </is>
      </c>
      <c r="B26" s="225" t="n">
        <v>0</v>
      </c>
      <c r="C26" s="225" t="n">
        <v>0</v>
      </c>
      <c r="D26" s="225" t="n">
        <v>15</v>
      </c>
      <c r="E26" s="225" t="n">
        <v>15</v>
      </c>
      <c r="F26" s="225" t="n">
        <v>15</v>
      </c>
      <c r="G26" s="225" t="n">
        <v>0</v>
      </c>
      <c r="H26" s="225" t="n">
        <v>0</v>
      </c>
      <c r="I26" s="225" t="n">
        <v>0</v>
      </c>
      <c r="J26" s="225" t="n">
        <v>0</v>
      </c>
      <c r="K26" s="225" t="n">
        <v>0</v>
      </c>
      <c r="L26" s="18" t="inlineStr">
        <is>
          <t>REV6 §7.3 — 3 × 15M, milestone-based</t>
        </is>
      </c>
    </row>
    <row r="27" ht="15" customHeight="1" s="3">
      <c r="A27" s="17" t="inlineStr">
        <is>
          <t>(+) Serie A bank debt (tranches)</t>
        </is>
      </c>
      <c r="B27" s="225" t="n">
        <v>0</v>
      </c>
      <c r="C27" s="225" t="n">
        <v>0</v>
      </c>
      <c r="D27" s="225" t="n">
        <v>35</v>
      </c>
      <c r="E27" s="225" t="n">
        <v>35</v>
      </c>
      <c r="F27" s="225" t="n">
        <v>35</v>
      </c>
      <c r="G27" s="225" t="n">
        <v>0</v>
      </c>
      <c r="H27" s="225" t="n">
        <v>0</v>
      </c>
      <c r="I27" s="225" t="n">
        <v>0</v>
      </c>
      <c r="J27" s="225" t="n">
        <v>0</v>
      </c>
      <c r="K27" s="225" t="n">
        <v>0</v>
      </c>
      <c r="L27" s="18" t="inlineStr">
        <is>
          <t>REV6 §7.3 — 3 × 35M, secured by machines</t>
        </is>
      </c>
    </row>
    <row r="28" ht="15" customHeight="1" s="3">
      <c r="A28" s="17" t="inlineStr">
        <is>
          <t>(-) Debt amortization</t>
        </is>
      </c>
      <c r="B28" s="225" t="n">
        <v>0</v>
      </c>
      <c r="C28" s="225" t="n">
        <v>0</v>
      </c>
      <c r="D28" s="225" t="n">
        <v>0</v>
      </c>
      <c r="E28" s="225" t="n">
        <v>0</v>
      </c>
      <c r="F28" s="225" t="n">
        <v>0</v>
      </c>
      <c r="G28" s="225" t="n">
        <v>0</v>
      </c>
      <c r="H28" s="225" t="n">
        <v>0</v>
      </c>
      <c r="I28" s="225" t="n">
        <v>0</v>
      </c>
      <c r="J28" s="225" t="n">
        <v>0</v>
      </c>
      <c r="K28" s="225" t="n">
        <v>0</v>
      </c>
      <c r="L28" s="18" t="inlineStr">
        <is>
          <t>Interest-only assumed during growth phase</t>
        </is>
      </c>
    </row>
    <row r="29" ht="15" customHeight="1" s="3">
      <c r="A29" s="62" t="inlineStr">
        <is>
          <t>NET FINANCING CASH FLOW</t>
        </is>
      </c>
      <c r="B29" s="228">
        <f>B23+B24+B25+B26+B27+B28</f>
        <v/>
      </c>
      <c r="C29" s="228">
        <f>C23+C24+C25+C26+C27+C28</f>
        <v/>
      </c>
      <c r="D29" s="228">
        <f>D23+D24+D25+D26+D27+D28</f>
        <v/>
      </c>
      <c r="E29" s="228">
        <f>E23+E24+E25+E26+E27+E28</f>
        <v/>
      </c>
      <c r="F29" s="228">
        <f>F23+F24+F25+F26+F27+F28</f>
        <v/>
      </c>
      <c r="G29" s="228">
        <f>G23+G24+G25+G26+G27+G28</f>
        <v/>
      </c>
      <c r="H29" s="228">
        <f>H23+H24+H25+H26+H27+H28</f>
        <v/>
      </c>
      <c r="I29" s="228">
        <f>I23+I24+I25+I26+I27+I28</f>
        <v/>
      </c>
      <c r="J29" s="228">
        <f>J23+J24+J25+J26+J27+J28</f>
        <v/>
      </c>
      <c r="K29" s="228">
        <f>K23+K24+K25+K26+K27+K28</f>
        <v/>
      </c>
      <c r="L29" s="60" t="inlineStr">
        <is>
          <t>Total equity + debt raises</t>
        </is>
      </c>
    </row>
    <row r="31" ht="15" customHeight="1" s="3">
      <c r="A31" s="16" t="inlineStr">
        <is>
          <t>Net Cash Flow &amp; Cash Position</t>
        </is>
      </c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 ht="15" customHeight="1" s="3">
      <c r="B32" s="34" t="inlineStr">
        <is>
          <t>2026</t>
        </is>
      </c>
      <c r="C32" s="34" t="inlineStr">
        <is>
          <t>2027 H2</t>
        </is>
      </c>
      <c r="D32" s="34" t="inlineStr">
        <is>
          <t>2028</t>
        </is>
      </c>
      <c r="E32" s="34" t="inlineStr">
        <is>
          <t>2029</t>
        </is>
      </c>
      <c r="F32" s="34" t="inlineStr">
        <is>
          <t>2030</t>
        </is>
      </c>
      <c r="G32" s="34" t="inlineStr">
        <is>
          <t>2031</t>
        </is>
      </c>
      <c r="H32" s="34" t="inlineStr">
        <is>
          <t>2032</t>
        </is>
      </c>
      <c r="I32" s="34" t="inlineStr">
        <is>
          <t>2033</t>
        </is>
      </c>
      <c r="J32" s="34" t="inlineStr">
        <is>
          <t>2034</t>
        </is>
      </c>
      <c r="K32" s="34" t="inlineStr">
        <is>
          <t>2035</t>
        </is>
      </c>
      <c r="L32" s="35" t="inlineStr">
        <is>
          <t>Notes</t>
        </is>
      </c>
    </row>
    <row r="33" ht="15" customHeight="1" s="3">
      <c r="A33" s="75" t="inlineStr">
        <is>
          <t>NET CASH FLOW</t>
        </is>
      </c>
      <c r="B33" s="226">
        <f>B9+B19+B29</f>
        <v/>
      </c>
      <c r="C33" s="226">
        <f>C9+C19+C29</f>
        <v/>
      </c>
      <c r="D33" s="226">
        <f>D9+D19+D29</f>
        <v/>
      </c>
      <c r="E33" s="226">
        <f>E9+E19+E29</f>
        <v/>
      </c>
      <c r="F33" s="226">
        <f>F9+F19+F29</f>
        <v/>
      </c>
      <c r="G33" s="226">
        <f>G9+G19+G29</f>
        <v/>
      </c>
      <c r="H33" s="226">
        <f>H9+H19+H29</f>
        <v/>
      </c>
      <c r="I33" s="226">
        <f>I9+I19+I29</f>
        <v/>
      </c>
      <c r="J33" s="226">
        <f>J9+J19+J29</f>
        <v/>
      </c>
      <c r="K33" s="226">
        <f>K9+K19+K29</f>
        <v/>
      </c>
      <c r="L33" s="43" t="inlineStr">
        <is>
          <t>Operating + Investing + Financing</t>
        </is>
      </c>
    </row>
    <row r="34" ht="15" customHeight="1" s="3">
      <c r="A34" s="25" t="inlineStr">
        <is>
          <t>Opening cash balance</t>
        </is>
      </c>
      <c r="B34" s="216" t="n">
        <v>0</v>
      </c>
      <c r="C34" s="216">
        <f>B35</f>
        <v/>
      </c>
      <c r="D34" s="216">
        <f>C35</f>
        <v/>
      </c>
      <c r="E34" s="216">
        <f>D35</f>
        <v/>
      </c>
      <c r="F34" s="216">
        <f>E35</f>
        <v/>
      </c>
      <c r="G34" s="216">
        <f>F35</f>
        <v/>
      </c>
      <c r="H34" s="216">
        <f>G35</f>
        <v/>
      </c>
      <c r="I34" s="216">
        <f>H35</f>
        <v/>
      </c>
      <c r="J34" s="216">
        <f>I35</f>
        <v/>
      </c>
      <c r="K34" s="216">
        <f>J35</f>
        <v/>
      </c>
      <c r="L34" s="18" t="inlineStr">
        <is>
          <t>Previous period closing balance</t>
        </is>
      </c>
    </row>
    <row r="35" ht="15.75" customHeight="1" s="3">
      <c r="A35" s="67" t="inlineStr">
        <is>
          <t>CLOSING CASH BALANCE</t>
        </is>
      </c>
      <c r="B35" s="226">
        <f>B34+B33</f>
        <v/>
      </c>
      <c r="C35" s="226">
        <f>C34+C33</f>
        <v/>
      </c>
      <c r="D35" s="226">
        <f>D34+D33</f>
        <v/>
      </c>
      <c r="E35" s="226">
        <f>E34+E33</f>
        <v/>
      </c>
      <c r="F35" s="226">
        <f>F34+F33</f>
        <v/>
      </c>
      <c r="G35" s="226">
        <f>G34+G33</f>
        <v/>
      </c>
      <c r="H35" s="226">
        <f>H34+H33</f>
        <v/>
      </c>
      <c r="I35" s="226">
        <f>I34+I33</f>
        <v/>
      </c>
      <c r="J35" s="226">
        <f>J34+J33</f>
        <v/>
      </c>
      <c r="K35" s="226">
        <f>K34+K33</f>
        <v/>
      </c>
      <c r="L35" s="43" t="inlineStr">
        <is>
          <t>Opening + Net Cash Flow</t>
        </is>
      </c>
    </row>
    <row r="37" ht="15" customHeight="1" s="3">
      <c r="A37" s="16" t="inlineStr">
        <is>
          <t>Cash Flow Summary &amp; Key Metrics</t>
        </is>
      </c>
      <c r="B37" s="29" t="n"/>
      <c r="C37" s="29" t="n"/>
      <c r="D37" s="29" t="n"/>
      <c r="E37" s="29" t="n"/>
      <c r="F37" s="29" t="n"/>
      <c r="G37" s="29" t="n"/>
      <c r="H37" s="29" t="n"/>
      <c r="I37" s="29" t="n"/>
      <c r="J37" s="29" t="n"/>
      <c r="K37" s="29" t="n"/>
    </row>
    <row r="38" ht="15" customHeight="1" s="3">
      <c r="B38" s="34" t="inlineStr">
        <is>
          <t>2026</t>
        </is>
      </c>
      <c r="C38" s="34" t="inlineStr">
        <is>
          <t>2027 H2</t>
        </is>
      </c>
      <c r="D38" s="34" t="inlineStr">
        <is>
          <t>2028</t>
        </is>
      </c>
      <c r="E38" s="34" t="inlineStr">
        <is>
          <t>2029</t>
        </is>
      </c>
      <c r="F38" s="34" t="inlineStr">
        <is>
          <t>2030</t>
        </is>
      </c>
      <c r="G38" s="34" t="inlineStr">
        <is>
          <t>2031</t>
        </is>
      </c>
      <c r="H38" s="34" t="inlineStr">
        <is>
          <t>2032</t>
        </is>
      </c>
      <c r="I38" s="34" t="inlineStr">
        <is>
          <t>2033</t>
        </is>
      </c>
      <c r="J38" s="34" t="inlineStr">
        <is>
          <t>2034</t>
        </is>
      </c>
      <c r="K38" s="34" t="inlineStr">
        <is>
          <t>2035</t>
        </is>
      </c>
      <c r="L38" s="35" t="inlineStr">
        <is>
          <t>Notes</t>
        </is>
      </c>
    </row>
    <row r="39" ht="15" customHeight="1" s="3">
      <c r="A39" s="62" t="inlineStr">
        <is>
          <t>FREE CASH FLOW (OpCF + InvCF)</t>
        </is>
      </c>
      <c r="B39" s="228">
        <f>B9+B19</f>
        <v/>
      </c>
      <c r="C39" s="228">
        <f>C9+C19</f>
        <v/>
      </c>
      <c r="D39" s="228">
        <f>D9+D19</f>
        <v/>
      </c>
      <c r="E39" s="228">
        <f>E9+E19</f>
        <v/>
      </c>
      <c r="F39" s="228">
        <f>F9+F19</f>
        <v/>
      </c>
      <c r="G39" s="228">
        <f>G9+G19</f>
        <v/>
      </c>
      <c r="H39" s="228">
        <f>H9+H19</f>
        <v/>
      </c>
      <c r="I39" s="228">
        <f>I9+I19</f>
        <v/>
      </c>
      <c r="J39" s="228">
        <f>J9+J19</f>
        <v/>
      </c>
      <c r="K39" s="228">
        <f>K9+K19</f>
        <v/>
      </c>
      <c r="L39" s="60" t="inlineStr">
        <is>
          <t>Before financing — shows self-funding ability</t>
        </is>
      </c>
    </row>
    <row r="40" ht="15" customHeight="1" s="3">
      <c r="A40" s="25" t="inlineStr">
        <is>
          <t>Cumulative Free Cash Flow</t>
        </is>
      </c>
      <c r="B40" s="214">
        <f>B39</f>
        <v/>
      </c>
      <c r="C40" s="214">
        <f>B40+C39</f>
        <v/>
      </c>
      <c r="D40" s="214">
        <f>C40+D39</f>
        <v/>
      </c>
      <c r="E40" s="214">
        <f>D40+E39</f>
        <v/>
      </c>
      <c r="F40" s="214">
        <f>E40+F39</f>
        <v/>
      </c>
      <c r="G40" s="214">
        <f>F40+G39</f>
        <v/>
      </c>
      <c r="H40" s="214">
        <f>G40+H39</f>
        <v/>
      </c>
      <c r="I40" s="214">
        <f>H40+I39</f>
        <v/>
      </c>
      <c r="J40" s="214">
        <f>I40+J39</f>
        <v/>
      </c>
      <c r="K40" s="214">
        <f>J40+K39</f>
        <v/>
      </c>
      <c r="L40" s="18" t="inlineStr">
        <is>
          <t>When positive = self-funding</t>
        </is>
      </c>
    </row>
    <row r="41" ht="15" customHeight="1" s="3">
      <c r="A41" s="17" t="inlineStr">
        <is>
          <t>Cumulative equity raised</t>
        </is>
      </c>
      <c r="B41" s="214">
        <f>B23+B24+B26</f>
        <v/>
      </c>
      <c r="C41" s="214">
        <f>B41+C23+C24+C26</f>
        <v/>
      </c>
      <c r="D41" s="214">
        <f>C41+D23+D24+D26</f>
        <v/>
      </c>
      <c r="E41" s="214">
        <f>D41+E23+E24+E26</f>
        <v/>
      </c>
      <c r="F41" s="214">
        <f>E41+F23+F24+F26</f>
        <v/>
      </c>
      <c r="G41" s="214">
        <f>F41+G23+G24+G26</f>
        <v/>
      </c>
      <c r="H41" s="214">
        <f>G41+H23+H24+H26</f>
        <v/>
      </c>
      <c r="I41" s="214">
        <f>H41+I23+I24+I26</f>
        <v/>
      </c>
      <c r="J41" s="214">
        <f>I41+J23+J24+J26</f>
        <v/>
      </c>
      <c r="K41" s="214">
        <f>J41+K23+K24+K26</f>
        <v/>
      </c>
      <c r="L41" s="18" t="inlineStr">
        <is>
          <t>REV6 §4.1 target: 101.3 MNOK total</t>
        </is>
      </c>
    </row>
    <row r="42" ht="15" customHeight="1" s="3">
      <c r="A42" s="17" t="inlineStr">
        <is>
          <t>Cumulative debt raised</t>
        </is>
      </c>
      <c r="B42" s="214">
        <f>B25+B27</f>
        <v/>
      </c>
      <c r="C42" s="214">
        <f>B42+C25+C27</f>
        <v/>
      </c>
      <c r="D42" s="214">
        <f>C42+D25+D27</f>
        <v/>
      </c>
      <c r="E42" s="214">
        <f>D42+E25+E27</f>
        <v/>
      </c>
      <c r="F42" s="214">
        <f>E42+F25+F27</f>
        <v/>
      </c>
      <c r="G42" s="214">
        <f>F42+G25+G27</f>
        <v/>
      </c>
      <c r="H42" s="214">
        <f>G42+H25+H27</f>
        <v/>
      </c>
      <c r="I42" s="214">
        <f>H42+I25+I27</f>
        <v/>
      </c>
      <c r="J42" s="214">
        <f>I42+J25+J27</f>
        <v/>
      </c>
      <c r="K42" s="214">
        <f>J42+K25+K27</f>
        <v/>
      </c>
      <c r="L42" s="18" t="inlineStr">
        <is>
          <t>REV6 target: 134.3 MNOK total</t>
        </is>
      </c>
    </row>
    <row r="43" ht="15" customHeight="1" s="3">
      <c r="A43" s="17" t="inlineStr">
        <is>
          <t>Cumulative CAPEX deployed</t>
        </is>
      </c>
      <c r="B43" s="216">
        <f>-B19</f>
        <v/>
      </c>
      <c r="C43" s="216">
        <f>B43-C19</f>
        <v/>
      </c>
      <c r="D43" s="216">
        <f>C43-D19</f>
        <v/>
      </c>
      <c r="E43" s="216">
        <f>D43-E19</f>
        <v/>
      </c>
      <c r="F43" s="216">
        <f>E43-F19</f>
        <v/>
      </c>
      <c r="G43" s="216">
        <f>F43-G19</f>
        <v/>
      </c>
      <c r="H43" s="216">
        <f>G43-H19</f>
        <v/>
      </c>
      <c r="I43" s="216">
        <f>H43-I19</f>
        <v/>
      </c>
      <c r="J43" s="216">
        <f>I43-J19</f>
        <v/>
      </c>
      <c r="K43" s="216">
        <f>J43-K19</f>
        <v/>
      </c>
      <c r="L43" s="18" t="inlineStr">
        <is>
          <t>Positive = invested</t>
        </is>
      </c>
    </row>
    <row r="45" ht="15" customHeight="1" s="3">
      <c r="A45" s="25" t="inlineStr">
        <is>
          <t>Self-funding indicator</t>
        </is>
      </c>
      <c r="B45" s="76">
        <f>IF(B39&gt;0,"CF+","CF-")</f>
        <v/>
      </c>
      <c r="C45" s="76">
        <f>IF(C39&gt;0,"CF+","CF-")</f>
        <v/>
      </c>
      <c r="D45" s="76">
        <f>IF(D39&gt;0,"CF+","CF-")</f>
        <v/>
      </c>
      <c r="E45" s="76">
        <f>IF(E39&gt;0,"CF+","CF-")</f>
        <v/>
      </c>
      <c r="F45" s="76">
        <f>IF(F39&gt;0,"CF+","CF-")</f>
        <v/>
      </c>
      <c r="G45" s="76">
        <f>IF(G39&gt;0,"CF+","CF-")</f>
        <v/>
      </c>
      <c r="H45" s="76">
        <f>IF(H39&gt;0,"CF+","CF-")</f>
        <v/>
      </c>
      <c r="I45" s="76">
        <f>IF(I39&gt;0,"CF+","CF-")</f>
        <v/>
      </c>
      <c r="J45" s="76">
        <f>IF(J39&gt;0,"CF+","CF-")</f>
        <v/>
      </c>
      <c r="K45" s="76">
        <f>IF(K39&gt;0,"CF+","CF-")</f>
        <v/>
      </c>
      <c r="L45" s="18" t="inlineStr">
        <is>
          <t>REV6: Self-funded scaling from ~2030</t>
        </is>
      </c>
    </row>
    <row r="47" ht="15" customHeight="1" s="3">
      <c r="A47" s="16" t="inlineStr">
        <is>
          <t>Use of Funds Reconciliation (REV6 §7)</t>
        </is>
      </c>
      <c r="B47" s="29" t="n"/>
      <c r="C47" s="29" t="n"/>
      <c r="D47" s="29" t="n"/>
      <c r="E47" s="29" t="n"/>
      <c r="F47" s="29" t="n"/>
      <c r="G47" s="29" t="n"/>
      <c r="H47" s="29" t="n"/>
      <c r="I47" s="29" t="n"/>
      <c r="J47" s="29" t="n"/>
      <c r="K47" s="29" t="n"/>
    </row>
    <row r="49" ht="15" customHeight="1" s="3">
      <c r="A49" s="69" t="inlineStr">
        <is>
          <t>Round</t>
        </is>
      </c>
      <c r="B49" s="69" t="inlineStr">
        <is>
          <t>Category</t>
        </is>
      </c>
      <c r="C49" s="69" t="inlineStr">
        <is>
          <t>MNOK</t>
        </is>
      </c>
      <c r="D49" s="69" t="inlineStr">
        <is>
          <t>Source</t>
        </is>
      </c>
      <c r="E49" s="69" t="inlineStr">
        <is>
          <t>Status</t>
        </is>
      </c>
    </row>
    <row r="50" ht="15" customHeight="1" s="3">
      <c r="A50" s="25" t="inlineStr">
        <is>
          <t>PreSeed</t>
        </is>
      </c>
      <c r="B50" s="17" t="inlineStr">
        <is>
          <t>Concept validation &amp; customer discovery</t>
        </is>
      </c>
      <c r="C50" s="207" t="n">
        <v>1.5</v>
      </c>
      <c r="D50" s="18" t="inlineStr">
        <is>
          <t>Equity</t>
        </is>
      </c>
      <c r="E50" s="18" t="n"/>
    </row>
    <row r="51" ht="15" customHeight="1" s="3">
      <c r="A51" s="17" t="n"/>
      <c r="B51" s="17" t="inlineStr">
        <is>
          <t>Supplier LOIs &amp; regulatory</t>
        </is>
      </c>
      <c r="C51" s="207" t="n">
        <v>1</v>
      </c>
      <c r="D51" s="18" t="inlineStr">
        <is>
          <t>Equity</t>
        </is>
      </c>
      <c r="E51" s="18" t="n"/>
    </row>
    <row r="52" ht="15" customHeight="1" s="3">
      <c r="A52" s="17" t="n"/>
      <c r="B52" s="17" t="inlineStr">
        <is>
          <t>Team &amp; advisory</t>
        </is>
      </c>
      <c r="C52" s="207" t="n">
        <v>1</v>
      </c>
      <c r="D52" s="18" t="inlineStr">
        <is>
          <t>Equity</t>
        </is>
      </c>
      <c r="E52" s="18" t="n"/>
    </row>
    <row r="53" ht="15" customHeight="1" s="3">
      <c r="A53" s="17" t="n"/>
      <c r="B53" s="17" t="inlineStr">
        <is>
          <t>Planning &amp; engineering</t>
        </is>
      </c>
      <c r="C53" s="207" t="n">
        <v>1</v>
      </c>
      <c r="D53" s="18" t="inlineStr">
        <is>
          <t>Equity</t>
        </is>
      </c>
      <c r="E53" s="18" t="n"/>
    </row>
    <row r="54" ht="15" customHeight="1" s="3">
      <c r="A54" s="17" t="n"/>
      <c r="B54" s="17" t="inlineStr">
        <is>
          <t>Buffer</t>
        </is>
      </c>
      <c r="C54" s="207" t="n">
        <v>0.5</v>
      </c>
      <c r="D54" s="18" t="inlineStr">
        <is>
          <t>Equity</t>
        </is>
      </c>
      <c r="E54" s="18" t="n"/>
    </row>
    <row r="55" ht="15" customHeight="1" s="3">
      <c r="A55" s="17" t="n"/>
      <c r="B55" s="17" t="n"/>
      <c r="C55" s="40" t="n"/>
      <c r="D55" s="18" t="n"/>
      <c r="E55" s="18" t="n"/>
    </row>
    <row r="56" ht="15" customHeight="1" s="3">
      <c r="A56" s="25" t="inlineStr">
        <is>
          <t>Seed</t>
        </is>
      </c>
      <c r="B56" s="17" t="inlineStr">
        <is>
          <t>CNC machines equity (5 x 5.0M)</t>
        </is>
      </c>
      <c r="C56" s="207" t="n">
        <v>25</v>
      </c>
      <c r="D56" s="18" t="inlineStr">
        <is>
          <t>Equity</t>
        </is>
      </c>
      <c r="E56" s="18" t="n"/>
    </row>
    <row r="57" ht="15" customHeight="1" s="3">
      <c r="A57" s="17" t="n"/>
      <c r="B57" s="17" t="inlineStr">
        <is>
          <t>CNC machines debt (5 x 5.0M)</t>
        </is>
      </c>
      <c r="C57" s="207" t="n">
        <v>25</v>
      </c>
      <c r="D57" s="18" t="inlineStr">
        <is>
          <t>Bank</t>
        </is>
      </c>
      <c r="E57" s="18" t="n"/>
    </row>
    <row r="58" ht="15" customHeight="1" s="3">
      <c r="A58" s="17" t="n"/>
      <c r="B58" s="17" t="inlineStr">
        <is>
          <t>Shop base setup &amp; technical equipment</t>
        </is>
      </c>
      <c r="C58" s="207" t="n">
        <v>8.6</v>
      </c>
      <c r="D58" s="18" t="inlineStr">
        <is>
          <t>Equity</t>
        </is>
      </c>
      <c r="E58" s="18" t="n"/>
    </row>
    <row r="59" ht="15" customHeight="1" s="3">
      <c r="A59" s="17" t="n"/>
      <c r="B59" s="17" t="inlineStr">
        <is>
          <t>Shop base debt (50%)</t>
        </is>
      </c>
      <c r="C59" s="207" t="n">
        <v>4.3</v>
      </c>
      <c r="D59" s="18" t="inlineStr">
        <is>
          <t>Bank</t>
        </is>
      </c>
      <c r="E59" s="18" t="n"/>
    </row>
    <row r="60" ht="15" customHeight="1" s="3">
      <c r="A60" s="17" t="n"/>
      <c r="B60" s="17" t="inlineStr">
        <is>
          <t>Pre-revenue staffing (Jan-Jul 2027)</t>
        </is>
      </c>
      <c r="C60" s="207" t="n">
        <v>4.7</v>
      </c>
      <c r="D60" s="18" t="inlineStr">
        <is>
          <t>Equity</t>
        </is>
      </c>
      <c r="E60" s="18" t="n"/>
    </row>
    <row r="61" ht="15" customHeight="1" s="3">
      <c r="A61" s="17" t="n"/>
      <c r="B61" s="17" t="inlineStr">
        <is>
          <t>Facility setup &amp; commissioning</t>
        </is>
      </c>
      <c r="C61" s="207" t="n">
        <v>3</v>
      </c>
      <c r="D61" s="18" t="inlineStr">
        <is>
          <t>Equity</t>
        </is>
      </c>
      <c r="E61" s="18" t="n"/>
    </row>
    <row r="62" ht="15" customHeight="1" s="3">
      <c r="A62" s="17" t="n"/>
      <c r="B62" s="17" t="inlineStr">
        <is>
          <t>Facility lease pre-revenue (Q3-Q4)</t>
        </is>
      </c>
      <c r="C62" s="207" t="n">
        <v>2.3</v>
      </c>
      <c r="D62" s="18" t="inlineStr">
        <is>
          <t>Equity</t>
        </is>
      </c>
      <c r="E62" s="18" t="n"/>
    </row>
    <row r="63" ht="15" customHeight="1" s="3">
      <c r="A63" s="17" t="n"/>
      <c r="B63" s="17" t="inlineStr">
        <is>
          <t>Certifications (AS9100, AQAP, ISO)</t>
        </is>
      </c>
      <c r="C63" s="207" t="n">
        <v>2</v>
      </c>
      <c r="D63" s="18" t="inlineStr">
        <is>
          <t>Equity</t>
        </is>
      </c>
      <c r="E63" s="18" t="n"/>
    </row>
    <row r="64" ht="15" customHeight="1" s="3">
      <c r="A64" s="17" t="n"/>
      <c r="B64" s="17" t="inlineStr">
        <is>
          <t>Buffer</t>
        </is>
      </c>
      <c r="C64" s="207" t="n">
        <v>10</v>
      </c>
      <c r="D64" s="18" t="inlineStr">
        <is>
          <t>Equity</t>
        </is>
      </c>
      <c r="E64" s="18" t="n"/>
    </row>
    <row r="65" ht="15" customHeight="1" s="3">
      <c r="A65" s="17" t="n"/>
      <c r="B65" s="17" t="n"/>
      <c r="C65" s="40" t="n"/>
      <c r="D65" s="18" t="n"/>
      <c r="E65" s="18" t="n"/>
    </row>
    <row r="66" ht="15" customHeight="1" s="3">
      <c r="A66" s="25" t="inlineStr">
        <is>
          <t>Serie A</t>
        </is>
      </c>
      <c r="B66" s="17" t="inlineStr">
        <is>
          <t>CNC machines equity (15 x 3.0M)</t>
        </is>
      </c>
      <c r="C66" s="207" t="n">
        <v>45</v>
      </c>
      <c r="D66" s="18" t="inlineStr">
        <is>
          <t>Equity</t>
        </is>
      </c>
      <c r="E66" s="18" t="n"/>
    </row>
    <row r="67" ht="15" customHeight="1" s="3">
      <c r="A67" s="17" t="n"/>
      <c r="B67" s="17" t="inlineStr">
        <is>
          <t>CNC machines debt (15 x 7.0M)</t>
        </is>
      </c>
      <c r="C67" s="207" t="n">
        <v>105</v>
      </c>
      <c r="D67" s="18" t="inlineStr">
        <is>
          <t>Bank</t>
        </is>
      </c>
      <c r="E67" s="18" t="n"/>
    </row>
    <row r="69" ht="15" customHeight="1" s="3">
      <c r="A69" s="16" t="inlineStr">
        <is>
          <t>Notes &amp; Assumptions</t>
        </is>
      </c>
      <c r="B69" s="29" t="n"/>
      <c r="C69" s="29" t="n"/>
      <c r="D69" s="29" t="n"/>
      <c r="E69" s="29" t="n"/>
      <c r="F69" s="29" t="n"/>
      <c r="G69" s="29" t="n"/>
      <c r="H69" s="29" t="n"/>
      <c r="I69" s="29" t="n"/>
      <c r="J69" s="29" t="n"/>
      <c r="K69" s="29" t="n"/>
    </row>
    <row r="70" ht="15" customHeight="1" s="3">
      <c r="A70" s="14" t="inlineStr">
        <is>
          <t>1. Interest expense is included in EBIT (P&amp;L), so it flows through Operating Cash Flow. No double-counting.</t>
        </is>
      </c>
    </row>
    <row r="71" ht="15" customHeight="1" s="3">
      <c r="A71" s="14" t="inlineStr">
        <is>
          <t>2. Debt is assumed interest-only during the projection period (no principal amortization). Common for growth-stage companies.</t>
        </is>
      </c>
    </row>
    <row r="72" ht="15" customHeight="1" s="3">
      <c r="A72" s="14" t="inlineStr">
        <is>
          <t>3. Working capital changes are estimated conservatively. Manufacturing typically requires receivables and inventory build-up.</t>
        </is>
      </c>
    </row>
    <row r="73" ht="15" customHeight="1" s="3">
      <c r="A73" s="14" t="inlineStr">
        <is>
          <t>4. Serie A tranches deploy based on milestones (&gt;30% utilization). Timing shown is base case per REV6 §7.3.</t>
        </is>
      </c>
    </row>
    <row r="74" ht="15" customHeight="1" s="3">
      <c r="A74" s="14" t="inlineStr">
        <is>
          <t>5. Platform engineering team (REV6 §7.4): Self-funded from Site Zero cash flow starting Q1 2030. ~5.6-7.0 MNOK/yr.</t>
        </is>
      </c>
    </row>
    <row r="75" ht="15" customHeight="1" s="3">
      <c r="A75" s="14" t="inlineStr">
        <is>
          <t>6. By H2 2028+, the business is cash-flow positive from operations (REV6 §7.3). Certs, team expansion, WC funded from operations.</t>
        </is>
      </c>
    </row>
    <row r="76" ht="15" customHeight="1" s="3">
      <c r="A76" s="14" t="inlineStr">
        <is>
          <t>7. No dividends are modeled. All profits reinvested for growth.</t>
        </is>
      </c>
    </row>
    <row r="77" ht="15" customHeight="1" s="3">
      <c r="A77" s="14" t="inlineStr">
        <is>
          <t>8. CNC machines funded per phase: Seed 50% EQ / 50% debt, Serie A 30% EQ / 70% debt (REV6 §1.2).</t>
        </is>
      </c>
    </row>
  </sheetData>
  <mergeCells count="17">
    <mergeCell ref="A74:K74"/>
    <mergeCell ref="A69:K69"/>
    <mergeCell ref="A4:K4"/>
    <mergeCell ref="A21:K21"/>
    <mergeCell ref="A77:K77"/>
    <mergeCell ref="A72:K72"/>
    <mergeCell ref="A73:K73"/>
    <mergeCell ref="A71:K71"/>
    <mergeCell ref="A2:K2"/>
    <mergeCell ref="A11:K11"/>
    <mergeCell ref="A47:K47"/>
    <mergeCell ref="A76:K76"/>
    <mergeCell ref="A75:K75"/>
    <mergeCell ref="A1:K1"/>
    <mergeCell ref="A37:K37"/>
    <mergeCell ref="A70:K70"/>
    <mergeCell ref="A31:K31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7030A0"/>
    <outlinePr summaryBelow="1" summaryRight="1"/>
    <pageSetUpPr/>
  </sheetPr>
  <dimension ref="A1:L81"/>
  <sheetViews>
    <sheetView zoomScaleNormal="100" workbookViewId="0">
      <selection activeCell="A1" sqref="A1:K1"/>
    </sheetView>
  </sheetViews>
  <sheetFormatPr baseColWidth="10" defaultColWidth="8.7109375" defaultRowHeight="15"/>
  <cols>
    <col width="44" customWidth="1" style="3" min="1" max="1"/>
    <col width="15" customWidth="1" style="3" min="2" max="11"/>
    <col width="42" customWidth="1" style="3" min="12" max="12"/>
  </cols>
  <sheetData>
    <row r="1" ht="31.5" customHeight="1" s="3">
      <c r="A1" s="12" t="inlineStr">
        <is>
          <t>AURELIAN MANUFACTURING — BALANCE SHEET</t>
        </is>
      </c>
    </row>
    <row r="2" ht="15" customHeight="1" s="3">
      <c r="A2" s="14" t="inlineStr">
        <is>
          <t>All amounts in MNOK. End-of-period balances. Year-end for full years, end-H2 for 2027.</t>
        </is>
      </c>
    </row>
    <row r="4" ht="15" customHeight="1" s="3">
      <c r="A4" s="16" t="inlineStr">
        <is>
          <t>ASSETS</t>
        </is>
      </c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</row>
    <row r="5" ht="15" customHeight="1" s="3">
      <c r="B5" s="34" t="inlineStr">
        <is>
          <t>2026</t>
        </is>
      </c>
      <c r="C5" s="34" t="inlineStr">
        <is>
          <t>2027 H2</t>
        </is>
      </c>
      <c r="D5" s="34" t="inlineStr">
        <is>
          <t>2028</t>
        </is>
      </c>
      <c r="E5" s="34" t="inlineStr">
        <is>
          <t>2029</t>
        </is>
      </c>
      <c r="F5" s="34" t="inlineStr">
        <is>
          <t>2030</t>
        </is>
      </c>
      <c r="G5" s="34" t="inlineStr">
        <is>
          <t>2031</t>
        </is>
      </c>
      <c r="H5" s="34" t="inlineStr">
        <is>
          <t>2032</t>
        </is>
      </c>
      <c r="I5" s="34" t="inlineStr">
        <is>
          <t>2033</t>
        </is>
      </c>
      <c r="J5" s="34" t="inlineStr">
        <is>
          <t>2034</t>
        </is>
      </c>
      <c r="K5" s="34" t="inlineStr">
        <is>
          <t>2035</t>
        </is>
      </c>
      <c r="L5" s="35" t="inlineStr">
        <is>
          <t>Notes</t>
        </is>
      </c>
    </row>
    <row r="6" ht="15" customHeight="1" s="3">
      <c r="A6" s="69" t="inlineStr">
        <is>
          <t>Current Assets</t>
        </is>
      </c>
    </row>
    <row r="7" ht="15" customHeight="1" s="3">
      <c r="A7" s="17" t="inlineStr">
        <is>
          <t xml:space="preserve">   Cash &amp; cash equivalents</t>
        </is>
      </c>
      <c r="B7" s="222">
        <f>'Cash Flow'!B35</f>
        <v/>
      </c>
      <c r="C7" s="222">
        <f>'Cash Flow'!C35</f>
        <v/>
      </c>
      <c r="D7" s="222">
        <f>'Cash Flow'!D35</f>
        <v/>
      </c>
      <c r="E7" s="222">
        <f>'Cash Flow'!E35</f>
        <v/>
      </c>
      <c r="F7" s="222">
        <f>'Cash Flow'!F35</f>
        <v/>
      </c>
      <c r="G7" s="222">
        <f>'Cash Flow'!G35</f>
        <v/>
      </c>
      <c r="H7" s="222">
        <f>'Cash Flow'!H35</f>
        <v/>
      </c>
      <c r="I7" s="222">
        <f>'Cash Flow'!I35</f>
        <v/>
      </c>
      <c r="J7" s="222">
        <f>'Cash Flow'!J35</f>
        <v/>
      </c>
      <c r="K7" s="222">
        <f>'Cash Flow'!K35</f>
        <v/>
      </c>
      <c r="L7" s="18" t="inlineStr">
        <is>
          <t>Cash Flow: Closing cash balance</t>
        </is>
      </c>
    </row>
    <row r="8" ht="15" customHeight="1" s="3">
      <c r="A8" s="17" t="inlineStr">
        <is>
          <t xml:space="preserve">   Accounts receivable</t>
        </is>
      </c>
      <c r="B8" s="214" t="n">
        <v>0</v>
      </c>
      <c r="C8" s="214">
        <f>'P&amp;L'!B17/12</f>
        <v/>
      </c>
      <c r="D8" s="214">
        <f>'P&amp;L'!C17/12</f>
        <v/>
      </c>
      <c r="E8" s="214">
        <f>'P&amp;L'!D17/12</f>
        <v/>
      </c>
      <c r="F8" s="214">
        <f>'P&amp;L'!E17/12</f>
        <v/>
      </c>
      <c r="G8" s="214">
        <f>'P&amp;L'!F17/12</f>
        <v/>
      </c>
      <c r="H8" s="214">
        <f>'P&amp;L'!G17/12</f>
        <v/>
      </c>
      <c r="I8" s="214">
        <f>'P&amp;L'!H17/12</f>
        <v/>
      </c>
      <c r="J8" s="214">
        <f>'P&amp;L'!I17/12</f>
        <v/>
      </c>
      <c r="K8" s="214">
        <f>'P&amp;L'!J17/12</f>
        <v/>
      </c>
      <c r="L8" s="18" t="inlineStr">
        <is>
          <t>~30 days outstanding revenue</t>
        </is>
      </c>
    </row>
    <row r="9" ht="15" customHeight="1" s="3">
      <c r="A9" s="17" t="inlineStr">
        <is>
          <t xml:space="preserve">   Inventory (materials &amp; WIP)</t>
        </is>
      </c>
      <c r="B9" s="214" t="n">
        <v>0</v>
      </c>
      <c r="C9" s="214">
        <f>-'P&amp;L'!B21/6</f>
        <v/>
      </c>
      <c r="D9" s="214">
        <f>-'P&amp;L'!C21/6</f>
        <v/>
      </c>
      <c r="E9" s="214">
        <f>-'P&amp;L'!D21/6</f>
        <v/>
      </c>
      <c r="F9" s="214">
        <f>-'P&amp;L'!E21/6</f>
        <v/>
      </c>
      <c r="G9" s="214">
        <f>-'P&amp;L'!F21/6</f>
        <v/>
      </c>
      <c r="H9" s="214">
        <f>-'P&amp;L'!G21/6</f>
        <v/>
      </c>
      <c r="I9" s="214">
        <f>-'P&amp;L'!H21/6</f>
        <v/>
      </c>
      <c r="J9" s="214">
        <f>-'P&amp;L'!I21/6</f>
        <v/>
      </c>
      <c r="K9" s="214">
        <f>-'P&amp;L'!J21/6</f>
        <v/>
      </c>
      <c r="L9" s="18" t="inlineStr">
        <is>
          <t>~2 months variable cost buffer</t>
        </is>
      </c>
    </row>
    <row r="10" ht="15" customHeight="1" s="3">
      <c r="A10" s="62" t="inlineStr">
        <is>
          <t>Total Current Assets</t>
        </is>
      </c>
      <c r="B10" s="228">
        <f>B7+B8+B9</f>
        <v/>
      </c>
      <c r="C10" s="228">
        <f>C7+C8+C9</f>
        <v/>
      </c>
      <c r="D10" s="228">
        <f>D7+D8+D9</f>
        <v/>
      </c>
      <c r="E10" s="228">
        <f>E7+E8+E9</f>
        <v/>
      </c>
      <c r="F10" s="228">
        <f>F7+F8+F9</f>
        <v/>
      </c>
      <c r="G10" s="228">
        <f>G7+G8+G9</f>
        <v/>
      </c>
      <c r="H10" s="228">
        <f>H7+H8+H9</f>
        <v/>
      </c>
      <c r="I10" s="228">
        <f>I7+I8+I9</f>
        <v/>
      </c>
      <c r="J10" s="228">
        <f>J7+J8+J9</f>
        <v/>
      </c>
      <c r="K10" s="228">
        <f>K7+K8+K9</f>
        <v/>
      </c>
      <c r="L10" s="77" t="n"/>
    </row>
    <row r="12" ht="15" customHeight="1" s="3">
      <c r="A12" s="69" t="inlineStr">
        <is>
          <t>Fixed Assets (Property, Plant &amp; Equipment)</t>
        </is>
      </c>
    </row>
    <row r="13" ht="15" customHeight="1" s="3">
      <c r="A13" s="17" t="inlineStr">
        <is>
          <t xml:space="preserve">   CNC machines (gross cost)</t>
        </is>
      </c>
      <c r="B13" s="214" t="n">
        <v>0</v>
      </c>
      <c r="C13" s="214">
        <f>'Cash Flow'!C13*Assumptions!$C$23/1000000</f>
        <v/>
      </c>
      <c r="D13" s="214">
        <f>C13+'Cash Flow'!D13*Assumptions!$C$23/1000000</f>
        <v/>
      </c>
      <c r="E13" s="214">
        <f>D13+'Cash Flow'!E13*Assumptions!$C$23/1000000</f>
        <v/>
      </c>
      <c r="F13" s="214">
        <f>E13+'Cash Flow'!F13*Assumptions!$C$23/1000000</f>
        <v/>
      </c>
      <c r="G13" s="214">
        <f>F13+'Cash Flow'!G13*Assumptions!$C$23/1000000</f>
        <v/>
      </c>
      <c r="H13" s="214">
        <f>G13+'Cash Flow'!H13*Assumptions!$C$23/1000000</f>
        <v/>
      </c>
      <c r="I13" s="214">
        <f>H13+'Cash Flow'!I13*Assumptions!$C$23/1000000</f>
        <v/>
      </c>
      <c r="J13" s="214">
        <f>I13+'Cash Flow'!J13*Assumptions!$C$23/1000000</f>
        <v/>
      </c>
      <c r="K13" s="214">
        <f>J13+'Cash Flow'!K13*Assumptions!$C$23/1000000</f>
        <v/>
      </c>
      <c r="L13" s="18" t="inlineStr">
        <is>
          <t>Cumulative units × 10M NOK each</t>
        </is>
      </c>
    </row>
    <row r="14" ht="15" customHeight="1" s="3">
      <c r="A14" s="17" t="inlineStr">
        <is>
          <t xml:space="preserve">   CNC accumulated depreciation</t>
        </is>
      </c>
      <c r="B14" s="214" t="n">
        <v>0</v>
      </c>
      <c r="C14" s="214">
        <f>'P&amp;L'!B31</f>
        <v/>
      </c>
      <c r="D14" s="214">
        <f>C14+'P&amp;L'!C31</f>
        <v/>
      </c>
      <c r="E14" s="214">
        <f>D14+'P&amp;L'!D31</f>
        <v/>
      </c>
      <c r="F14" s="214">
        <f>E14+'P&amp;L'!E31</f>
        <v/>
      </c>
      <c r="G14" s="214">
        <f>F14+'P&amp;L'!F31</f>
        <v/>
      </c>
      <c r="H14" s="214">
        <f>G14+'P&amp;L'!G31</f>
        <v/>
      </c>
      <c r="I14" s="214">
        <f>H14+'P&amp;L'!H31</f>
        <v/>
      </c>
      <c r="J14" s="214">
        <f>I14+'P&amp;L'!I31</f>
        <v/>
      </c>
      <c r="K14" s="214">
        <f>J14+'P&amp;L'!J31</f>
        <v/>
      </c>
      <c r="L14" s="18" t="inlineStr">
        <is>
          <t>Cumulative from P&amp;L</t>
        </is>
      </c>
    </row>
    <row r="15" ht="15" customHeight="1" s="3">
      <c r="A15" s="25" t="inlineStr">
        <is>
          <t xml:space="preserve">   CNC machines (net book value)</t>
        </is>
      </c>
      <c r="B15" s="222">
        <f>B13+B14</f>
        <v/>
      </c>
      <c r="C15" s="222">
        <f>C13+C14</f>
        <v/>
      </c>
      <c r="D15" s="222">
        <f>D13+D14</f>
        <v/>
      </c>
      <c r="E15" s="222">
        <f>E13+E14</f>
        <v/>
      </c>
      <c r="F15" s="222">
        <f>F13+F14</f>
        <v/>
      </c>
      <c r="G15" s="222">
        <f>G13+G14</f>
        <v/>
      </c>
      <c r="H15" s="222">
        <f>H13+H14</f>
        <v/>
      </c>
      <c r="I15" s="222">
        <f>I13+I14</f>
        <v/>
      </c>
      <c r="J15" s="222">
        <f>J13+J14</f>
        <v/>
      </c>
      <c r="K15" s="222">
        <f>K13+K14</f>
        <v/>
      </c>
      <c r="L15" s="18" t="inlineStr">
        <is>
          <t>Gross - accumulated depreciation</t>
        </is>
      </c>
    </row>
    <row r="17" ht="15" customHeight="1" s="3">
      <c r="A17" s="17" t="inlineStr">
        <is>
          <t xml:space="preserve">   Shop base equipment (gross cost)</t>
        </is>
      </c>
      <c r="B17" s="225" t="n">
        <v>0</v>
      </c>
      <c r="C17" s="225" t="n">
        <v>8.619999999999999</v>
      </c>
      <c r="D17" s="225" t="n">
        <v>8.619999999999999</v>
      </c>
      <c r="E17" s="225" t="n">
        <v>8.619999999999999</v>
      </c>
      <c r="F17" s="225" t="n">
        <v>8.619999999999999</v>
      </c>
      <c r="G17" s="225" t="n">
        <v>8.619999999999999</v>
      </c>
      <c r="H17" s="225" t="n">
        <v>8.619999999999999</v>
      </c>
      <c r="I17" s="225" t="n">
        <v>8.619999999999999</v>
      </c>
      <c r="J17" s="225" t="n">
        <v>8.619999999999999</v>
      </c>
      <c r="K17" s="225" t="n">
        <v>8.619999999999999</v>
      </c>
      <c r="L17" s="18" t="inlineStr">
        <is>
          <t>REV6 §1.2c — 8.62M one-time</t>
        </is>
      </c>
    </row>
    <row r="18" ht="15" customHeight="1" s="3">
      <c r="A18" s="17" t="inlineStr">
        <is>
          <t xml:space="preserve">   Shop base accumulated depreciation</t>
        </is>
      </c>
      <c r="B18" s="214" t="n">
        <v>0</v>
      </c>
      <c r="C18" s="214">
        <f>'P&amp;L'!B32</f>
        <v/>
      </c>
      <c r="D18" s="214">
        <f>C18+'P&amp;L'!C32</f>
        <v/>
      </c>
      <c r="E18" s="214">
        <f>D18+'P&amp;L'!D32</f>
        <v/>
      </c>
      <c r="F18" s="214">
        <f>E18+'P&amp;L'!E32</f>
        <v/>
      </c>
      <c r="G18" s="214">
        <f>F18+'P&amp;L'!F32</f>
        <v/>
      </c>
      <c r="H18" s="214">
        <f>G18+'P&amp;L'!G32</f>
        <v/>
      </c>
      <c r="I18" s="214">
        <f>H18+'P&amp;L'!H32</f>
        <v/>
      </c>
      <c r="J18" s="214">
        <f>I18+'P&amp;L'!I32</f>
        <v/>
      </c>
      <c r="K18" s="214">
        <f>J18+'P&amp;L'!J32</f>
        <v/>
      </c>
      <c r="L18" s="18" t="inlineStr">
        <is>
          <t>Cumulative from P&amp;L (1.075M/yr)</t>
        </is>
      </c>
    </row>
    <row r="19" ht="15" customHeight="1" s="3">
      <c r="A19" s="25" t="inlineStr">
        <is>
          <t xml:space="preserve">   Shop base equipment (net book value)</t>
        </is>
      </c>
      <c r="B19" s="222">
        <f>B17+B18</f>
        <v/>
      </c>
      <c r="C19" s="222">
        <f>C17+C18</f>
        <v/>
      </c>
      <c r="D19" s="222">
        <f>D17+D18</f>
        <v/>
      </c>
      <c r="E19" s="222">
        <f>E17+E18</f>
        <v/>
      </c>
      <c r="F19" s="222">
        <f>F17+F18</f>
        <v/>
      </c>
      <c r="G19" s="222">
        <f>G17+G18</f>
        <v/>
      </c>
      <c r="H19" s="222">
        <f>H17+H18</f>
        <v/>
      </c>
      <c r="I19" s="222">
        <f>I17+I18</f>
        <v/>
      </c>
      <c r="J19" s="222">
        <f>J17+J18</f>
        <v/>
      </c>
      <c r="K19" s="222">
        <f>K17+K18</f>
        <v/>
      </c>
      <c r="L19" s="40" t="n"/>
    </row>
    <row r="21" ht="15" customHeight="1" s="3">
      <c r="A21" s="17" t="inlineStr">
        <is>
          <t xml:space="preserve">   Other capitalized (facility, certs, platform)</t>
        </is>
      </c>
      <c r="B21" s="225" t="n">
        <v>0</v>
      </c>
      <c r="C21" s="225" t="n">
        <v>5</v>
      </c>
      <c r="D21" s="225" t="n">
        <v>5</v>
      </c>
      <c r="E21" s="225" t="n">
        <v>5</v>
      </c>
      <c r="F21" s="225" t="n">
        <v>10.6</v>
      </c>
      <c r="G21" s="225" t="n">
        <v>16.2</v>
      </c>
      <c r="H21" s="225" t="n">
        <v>21.8</v>
      </c>
      <c r="I21" s="225" t="n">
        <v>27.4</v>
      </c>
      <c r="J21" s="225" t="n">
        <v>33</v>
      </c>
      <c r="K21" s="225" t="n">
        <v>38.6</v>
      </c>
      <c r="L21" s="18" t="inlineStr">
        <is>
          <t>Facility 3M + Certs 2M + Platform 5.6M/yr</t>
        </is>
      </c>
    </row>
    <row r="22" ht="15" customHeight="1" s="3">
      <c r="A22" s="17" t="inlineStr">
        <is>
          <t xml:space="preserve">   Other accumulated amortization</t>
        </is>
      </c>
      <c r="B22" s="225" t="n">
        <v>0</v>
      </c>
      <c r="C22" s="225" t="n">
        <v>-0.42</v>
      </c>
      <c r="D22" s="225" t="n">
        <v>-1.42</v>
      </c>
      <c r="E22" s="225" t="n">
        <v>-2.42</v>
      </c>
      <c r="F22" s="225" t="n">
        <v>-3.89</v>
      </c>
      <c r="G22" s="225" t="n">
        <v>-5.89</v>
      </c>
      <c r="H22" s="225" t="n">
        <v>-8.01</v>
      </c>
      <c r="I22" s="225" t="n">
        <v>-10.37</v>
      </c>
      <c r="J22" s="225" t="n">
        <v>-12.97</v>
      </c>
      <c r="K22" s="225" t="n">
        <v>-15.69</v>
      </c>
      <c r="L22" s="18" t="inlineStr">
        <is>
          <t>5-year straight-line amortization</t>
        </is>
      </c>
    </row>
    <row r="23" ht="15" customHeight="1" s="3">
      <c r="A23" s="25" t="inlineStr">
        <is>
          <t xml:space="preserve">   Other capitalized (net book value)</t>
        </is>
      </c>
      <c r="B23" s="222">
        <f>B21+B22</f>
        <v/>
      </c>
      <c r="C23" s="222">
        <f>C21+C22</f>
        <v/>
      </c>
      <c r="D23" s="222">
        <f>D21+D22</f>
        <v/>
      </c>
      <c r="E23" s="222">
        <f>E21+E22</f>
        <v/>
      </c>
      <c r="F23" s="222">
        <f>F21+F22</f>
        <v/>
      </c>
      <c r="G23" s="222">
        <f>G21+G22</f>
        <v/>
      </c>
      <c r="H23" s="222">
        <f>H21+H22</f>
        <v/>
      </c>
      <c r="I23" s="222">
        <f>I21+I22</f>
        <v/>
      </c>
      <c r="J23" s="222">
        <f>J21+J22</f>
        <v/>
      </c>
      <c r="K23" s="222">
        <f>K21+K22</f>
        <v/>
      </c>
      <c r="L23" s="40" t="n"/>
    </row>
    <row r="25" ht="15" customHeight="1" s="3">
      <c r="A25" s="62" t="inlineStr">
        <is>
          <t>Total Fixed Assets (PP&amp;E)</t>
        </is>
      </c>
      <c r="B25" s="228">
        <f>B15+B19+B23</f>
        <v/>
      </c>
      <c r="C25" s="228">
        <f>C15+C19+C23</f>
        <v/>
      </c>
      <c r="D25" s="228">
        <f>D15+D19+D23</f>
        <v/>
      </c>
      <c r="E25" s="228">
        <f>E15+E19+E23</f>
        <v/>
      </c>
      <c r="F25" s="228">
        <f>F15+F19+F23</f>
        <v/>
      </c>
      <c r="G25" s="228">
        <f>G15+G19+G23</f>
        <v/>
      </c>
      <c r="H25" s="228">
        <f>H15+H19+H23</f>
        <v/>
      </c>
      <c r="I25" s="228">
        <f>I15+I19+I23</f>
        <v/>
      </c>
      <c r="J25" s="228">
        <f>J15+J19+J23</f>
        <v/>
      </c>
      <c r="K25" s="228">
        <f>K15+K19+K23</f>
        <v/>
      </c>
      <c r="L25" s="77" t="n"/>
    </row>
    <row r="27" ht="15" customHeight="1" s="3">
      <c r="A27" s="41" t="inlineStr">
        <is>
          <t>TOTAL ASSETS</t>
        </is>
      </c>
      <c r="B27" s="226">
        <f>B10+B25</f>
        <v/>
      </c>
      <c r="C27" s="226">
        <f>C10+C25</f>
        <v/>
      </c>
      <c r="D27" s="226">
        <f>D10+D25</f>
        <v/>
      </c>
      <c r="E27" s="226">
        <f>E10+E25</f>
        <v/>
      </c>
      <c r="F27" s="226">
        <f>F10+F25</f>
        <v/>
      </c>
      <c r="G27" s="226">
        <f>G10+G25</f>
        <v/>
      </c>
      <c r="H27" s="226">
        <f>H10+H25</f>
        <v/>
      </c>
      <c r="I27" s="226">
        <f>I10+I25</f>
        <v/>
      </c>
      <c r="J27" s="226">
        <f>J10+J25</f>
        <v/>
      </c>
      <c r="K27" s="226">
        <f>K10+K25</f>
        <v/>
      </c>
      <c r="L27" s="52" t="n"/>
    </row>
    <row r="30" ht="15" customHeight="1" s="3">
      <c r="A30" s="16" t="inlineStr">
        <is>
          <t>LIABILITIES</t>
        </is>
      </c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</row>
    <row r="31" ht="15" customHeight="1" s="3">
      <c r="B31" s="34" t="inlineStr">
        <is>
          <t>2026</t>
        </is>
      </c>
      <c r="C31" s="34" t="inlineStr">
        <is>
          <t>2027 H2</t>
        </is>
      </c>
      <c r="D31" s="34" t="inlineStr">
        <is>
          <t>2028</t>
        </is>
      </c>
      <c r="E31" s="34" t="inlineStr">
        <is>
          <t>2029</t>
        </is>
      </c>
      <c r="F31" s="34" t="inlineStr">
        <is>
          <t>2030</t>
        </is>
      </c>
      <c r="G31" s="34" t="inlineStr">
        <is>
          <t>2031</t>
        </is>
      </c>
      <c r="H31" s="34" t="inlineStr">
        <is>
          <t>2032</t>
        </is>
      </c>
      <c r="I31" s="34" t="inlineStr">
        <is>
          <t>2033</t>
        </is>
      </c>
      <c r="J31" s="34" t="inlineStr">
        <is>
          <t>2034</t>
        </is>
      </c>
      <c r="K31" s="34" t="inlineStr">
        <is>
          <t>2035</t>
        </is>
      </c>
      <c r="L31" s="35" t="inlineStr">
        <is>
          <t>Notes</t>
        </is>
      </c>
    </row>
    <row r="32" ht="15" customHeight="1" s="3">
      <c r="A32" s="69" t="inlineStr">
        <is>
          <t>Current Liabilities</t>
        </is>
      </c>
    </row>
    <row r="33" ht="15" customHeight="1" s="3">
      <c r="A33" s="17" t="inlineStr">
        <is>
          <t xml:space="preserve">   Accounts payable</t>
        </is>
      </c>
      <c r="B33" s="214" t="n">
        <v>0</v>
      </c>
      <c r="C33" s="214">
        <f>-'P&amp;L'!B50/12</f>
        <v/>
      </c>
      <c r="D33" s="214">
        <f>-'P&amp;L'!C50/12</f>
        <v/>
      </c>
      <c r="E33" s="214">
        <f>-'P&amp;L'!D50/12</f>
        <v/>
      </c>
      <c r="F33" s="214">
        <f>-'P&amp;L'!E50/12</f>
        <v/>
      </c>
      <c r="G33" s="214">
        <f>-'P&amp;L'!F50/12</f>
        <v/>
      </c>
      <c r="H33" s="214">
        <f>-'P&amp;L'!G50/12</f>
        <v/>
      </c>
      <c r="I33" s="214">
        <f>-'P&amp;L'!H50/12</f>
        <v/>
      </c>
      <c r="J33" s="214">
        <f>-'P&amp;L'!I50/12</f>
        <v/>
      </c>
      <c r="K33" s="214">
        <f>-'P&amp;L'!J50/12</f>
        <v/>
      </c>
      <c r="L33" s="18" t="inlineStr">
        <is>
          <t>~30 days of operating costs</t>
        </is>
      </c>
    </row>
    <row r="34" ht="15" customHeight="1" s="3">
      <c r="A34" s="17" t="inlineStr">
        <is>
          <t xml:space="preserve">   Accrued expenses</t>
        </is>
      </c>
      <c r="B34" s="225" t="n">
        <v>0</v>
      </c>
      <c r="C34" s="225" t="n">
        <v>0.5</v>
      </c>
      <c r="D34" s="225" t="n">
        <v>1</v>
      </c>
      <c r="E34" s="225" t="n">
        <v>1.5</v>
      </c>
      <c r="F34" s="225" t="n">
        <v>2</v>
      </c>
      <c r="G34" s="225" t="n">
        <v>2</v>
      </c>
      <c r="H34" s="225" t="n">
        <v>2</v>
      </c>
      <c r="I34" s="225" t="n">
        <v>2.5</v>
      </c>
      <c r="J34" s="225" t="n">
        <v>2.5</v>
      </c>
      <c r="K34" s="225" t="n">
        <v>3</v>
      </c>
      <c r="L34" s="18" t="inlineStr">
        <is>
          <t>Payroll, taxes, other accruals</t>
        </is>
      </c>
    </row>
    <row r="35" ht="15" customHeight="1" s="3">
      <c r="A35" s="62" t="inlineStr">
        <is>
          <t>Total Current Liabilities</t>
        </is>
      </c>
      <c r="B35" s="228">
        <f>B33+B34</f>
        <v/>
      </c>
      <c r="C35" s="228">
        <f>C33+C34</f>
        <v/>
      </c>
      <c r="D35" s="228">
        <f>D33+D34</f>
        <v/>
      </c>
      <c r="E35" s="228">
        <f>E33+E34</f>
        <v/>
      </c>
      <c r="F35" s="228">
        <f>F33+F34</f>
        <v/>
      </c>
      <c r="G35" s="228">
        <f>G33+G34</f>
        <v/>
      </c>
      <c r="H35" s="228">
        <f>H33+H34</f>
        <v/>
      </c>
      <c r="I35" s="228">
        <f>I33+I34</f>
        <v/>
      </c>
      <c r="J35" s="228">
        <f>J33+J34</f>
        <v/>
      </c>
      <c r="K35" s="228">
        <f>K33+K34</f>
        <v/>
      </c>
      <c r="L35" s="77" t="n"/>
    </row>
    <row r="37" ht="15" customHeight="1" s="3">
      <c r="A37" s="69" t="inlineStr">
        <is>
          <t>Long-Term Liabilities</t>
        </is>
      </c>
    </row>
    <row r="38" ht="15" customHeight="1" s="3">
      <c r="A38" s="17" t="inlineStr">
        <is>
          <t xml:space="preserve">   Bank debt (secured by CNC machines)</t>
        </is>
      </c>
      <c r="B38" s="222" t="n">
        <v>0</v>
      </c>
      <c r="C38" s="222">
        <f>'P&amp;L'!B39</f>
        <v/>
      </c>
      <c r="D38" s="222">
        <f>'P&amp;L'!C39</f>
        <v/>
      </c>
      <c r="E38" s="222">
        <f>'P&amp;L'!D39</f>
        <v/>
      </c>
      <c r="F38" s="222">
        <f>'P&amp;L'!E39</f>
        <v/>
      </c>
      <c r="G38" s="222">
        <f>'P&amp;L'!F39</f>
        <v/>
      </c>
      <c r="H38" s="222">
        <f>'P&amp;L'!G39</f>
        <v/>
      </c>
      <c r="I38" s="222">
        <f>'P&amp;L'!H39</f>
        <v/>
      </c>
      <c r="J38" s="222">
        <f>'P&amp;L'!I39</f>
        <v/>
      </c>
      <c r="K38" s="222">
        <f>'P&amp;L'!J39</f>
        <v/>
      </c>
      <c r="L38" s="18" t="inlineStr">
        <is>
          <t>P&amp;L: Total debt outstanding</t>
        </is>
      </c>
    </row>
    <row r="39" ht="15" customHeight="1" s="3">
      <c r="A39" s="62" t="inlineStr">
        <is>
          <t>Total Long-Term Liabilities</t>
        </is>
      </c>
      <c r="B39" s="228">
        <f>B38</f>
        <v/>
      </c>
      <c r="C39" s="228">
        <f>C38</f>
        <v/>
      </c>
      <c r="D39" s="228">
        <f>D38</f>
        <v/>
      </c>
      <c r="E39" s="228">
        <f>E38</f>
        <v/>
      </c>
      <c r="F39" s="228">
        <f>F38</f>
        <v/>
      </c>
      <c r="G39" s="228">
        <f>G38</f>
        <v/>
      </c>
      <c r="H39" s="228">
        <f>H38</f>
        <v/>
      </c>
      <c r="I39" s="228">
        <f>I38</f>
        <v/>
      </c>
      <c r="J39" s="228">
        <f>J38</f>
        <v/>
      </c>
      <c r="K39" s="228">
        <f>K38</f>
        <v/>
      </c>
      <c r="L39" s="77" t="n"/>
    </row>
    <row r="41" ht="15" customHeight="1" s="3">
      <c r="A41" s="64" t="inlineStr">
        <is>
          <t>TOTAL LIABILITIES</t>
        </is>
      </c>
      <c r="B41" s="229">
        <f>B35+B39</f>
        <v/>
      </c>
      <c r="C41" s="229">
        <f>C35+C39</f>
        <v/>
      </c>
      <c r="D41" s="229">
        <f>D35+D39</f>
        <v/>
      </c>
      <c r="E41" s="229">
        <f>E35+E39</f>
        <v/>
      </c>
      <c r="F41" s="229">
        <f>F35+F39</f>
        <v/>
      </c>
      <c r="G41" s="229">
        <f>G35+G39</f>
        <v/>
      </c>
      <c r="H41" s="229">
        <f>H35+H39</f>
        <v/>
      </c>
      <c r="I41" s="229">
        <f>I35+I39</f>
        <v/>
      </c>
      <c r="J41" s="229">
        <f>J35+J39</f>
        <v/>
      </c>
      <c r="K41" s="229">
        <f>K35+K39</f>
        <v/>
      </c>
      <c r="L41" s="77" t="n"/>
    </row>
    <row r="44" ht="15" customHeight="1" s="3">
      <c r="A44" s="16" t="inlineStr">
        <is>
          <t>SHAREHOLDERS' EQUITY</t>
        </is>
      </c>
      <c r="B44" s="29" t="n"/>
      <c r="C44" s="29" t="n"/>
      <c r="D44" s="29" t="n"/>
      <c r="E44" s="29" t="n"/>
      <c r="F44" s="29" t="n"/>
      <c r="G44" s="29" t="n"/>
      <c r="H44" s="29" t="n"/>
      <c r="I44" s="29" t="n"/>
      <c r="J44" s="29" t="n"/>
      <c r="K44" s="29" t="n"/>
    </row>
    <row r="45" ht="15" customHeight="1" s="3">
      <c r="B45" s="34" t="inlineStr">
        <is>
          <t>2026</t>
        </is>
      </c>
      <c r="C45" s="34" t="inlineStr">
        <is>
          <t>2027 H2</t>
        </is>
      </c>
      <c r="D45" s="34" t="inlineStr">
        <is>
          <t>2028</t>
        </is>
      </c>
      <c r="E45" s="34" t="inlineStr">
        <is>
          <t>2029</t>
        </is>
      </c>
      <c r="F45" s="34" t="inlineStr">
        <is>
          <t>2030</t>
        </is>
      </c>
      <c r="G45" s="34" t="inlineStr">
        <is>
          <t>2031</t>
        </is>
      </c>
      <c r="H45" s="34" t="inlineStr">
        <is>
          <t>2032</t>
        </is>
      </c>
      <c r="I45" s="34" t="inlineStr">
        <is>
          <t>2033</t>
        </is>
      </c>
      <c r="J45" s="34" t="inlineStr">
        <is>
          <t>2034</t>
        </is>
      </c>
      <c r="K45" s="34" t="inlineStr">
        <is>
          <t>2035</t>
        </is>
      </c>
      <c r="L45" s="35" t="inlineStr">
        <is>
          <t>Notes</t>
        </is>
      </c>
    </row>
    <row r="46" ht="15" customHeight="1" s="3">
      <c r="A46" s="17" t="inlineStr">
        <is>
          <t xml:space="preserve">   Paid-in capital (share capital + premium)</t>
        </is>
      </c>
      <c r="B46" s="222">
        <f>'Cash Flow'!B41</f>
        <v/>
      </c>
      <c r="C46" s="222">
        <f>'Cash Flow'!C41</f>
        <v/>
      </c>
      <c r="D46" s="222">
        <f>'Cash Flow'!D41</f>
        <v/>
      </c>
      <c r="E46" s="222">
        <f>'Cash Flow'!E41</f>
        <v/>
      </c>
      <c r="F46" s="222">
        <f>'Cash Flow'!F41</f>
        <v/>
      </c>
      <c r="G46" s="222">
        <f>'Cash Flow'!G41</f>
        <v/>
      </c>
      <c r="H46" s="222">
        <f>'Cash Flow'!H41</f>
        <v/>
      </c>
      <c r="I46" s="222">
        <f>'Cash Flow'!I41</f>
        <v/>
      </c>
      <c r="J46" s="222">
        <f>'Cash Flow'!J41</f>
        <v/>
      </c>
      <c r="K46" s="222">
        <f>'Cash Flow'!K41</f>
        <v/>
      </c>
      <c r="L46" s="18" t="inlineStr">
        <is>
          <t>Cash Flow: Cumulative equity raised</t>
        </is>
      </c>
    </row>
    <row r="47" ht="15" customHeight="1" s="3">
      <c r="A47" s="25" t="inlineStr">
        <is>
          <t xml:space="preserve">   Retained earnings (accumulated)</t>
        </is>
      </c>
      <c r="B47" s="222">
        <f>B27-B41-B46</f>
        <v/>
      </c>
      <c r="C47" s="222">
        <f>C27-C41-C46</f>
        <v/>
      </c>
      <c r="D47" s="222">
        <f>D27-D41-D46</f>
        <v/>
      </c>
      <c r="E47" s="222">
        <f>E27-E41-E46</f>
        <v/>
      </c>
      <c r="F47" s="222">
        <f>F27-F41-F46</f>
        <v/>
      </c>
      <c r="G47" s="222">
        <f>G27-G41-G46</f>
        <v/>
      </c>
      <c r="H47" s="222">
        <f>H27-H41-H46</f>
        <v/>
      </c>
      <c r="I47" s="222">
        <f>I27-I41-I46</f>
        <v/>
      </c>
      <c r="J47" s="222">
        <f>J27-J41-J46</f>
        <v/>
      </c>
      <c r="K47" s="222">
        <f>K27-K41-K46</f>
        <v/>
      </c>
      <c r="L47" s="18" t="inlineStr">
        <is>
          <t>Plug: Assets - Liabilities - Share capital</t>
        </is>
      </c>
    </row>
    <row r="48" ht="15" customHeight="1" s="3">
      <c r="A48" s="64" t="inlineStr">
        <is>
          <t>TOTAL SHAREHOLDERS' EQUITY</t>
        </is>
      </c>
      <c r="B48" s="229">
        <f>B46+B47</f>
        <v/>
      </c>
      <c r="C48" s="229">
        <f>C46+C47</f>
        <v/>
      </c>
      <c r="D48" s="229">
        <f>D46+D47</f>
        <v/>
      </c>
      <c r="E48" s="229">
        <f>E46+E47</f>
        <v/>
      </c>
      <c r="F48" s="229">
        <f>F46+F47</f>
        <v/>
      </c>
      <c r="G48" s="229">
        <f>G46+G47</f>
        <v/>
      </c>
      <c r="H48" s="229">
        <f>H46+H47</f>
        <v/>
      </c>
      <c r="I48" s="229">
        <f>I46+I47</f>
        <v/>
      </c>
      <c r="J48" s="229">
        <f>J46+J47</f>
        <v/>
      </c>
      <c r="K48" s="229">
        <f>K46+K47</f>
        <v/>
      </c>
      <c r="L48" s="77" t="n"/>
    </row>
    <row r="50" ht="15" customHeight="1" s="3">
      <c r="A50" s="41" t="inlineStr">
        <is>
          <t>TOTAL LIABILITIES + EQUITY</t>
        </is>
      </c>
      <c r="B50" s="226">
        <f>B41+B48</f>
        <v/>
      </c>
      <c r="C50" s="226">
        <f>C41+C48</f>
        <v/>
      </c>
      <c r="D50" s="226">
        <f>D41+D48</f>
        <v/>
      </c>
      <c r="E50" s="226">
        <f>E41+E48</f>
        <v/>
      </c>
      <c r="F50" s="226">
        <f>F41+F48</f>
        <v/>
      </c>
      <c r="G50" s="226">
        <f>G41+G48</f>
        <v/>
      </c>
      <c r="H50" s="226">
        <f>H41+H48</f>
        <v/>
      </c>
      <c r="I50" s="226">
        <f>I41+I48</f>
        <v/>
      </c>
      <c r="J50" s="226">
        <f>J41+J48</f>
        <v/>
      </c>
      <c r="K50" s="226">
        <f>K41+K48</f>
        <v/>
      </c>
      <c r="L50" s="52" t="n"/>
    </row>
    <row r="51" ht="15" customHeight="1" s="3">
      <c r="A51" s="17" t="inlineStr">
        <is>
          <t>BALANCE CHECK (should = 0)</t>
        </is>
      </c>
      <c r="B51" s="230">
        <f>ROUND(B27-B50,2)</f>
        <v/>
      </c>
      <c r="C51" s="230">
        <f>ROUND(C27-C50,2)</f>
        <v/>
      </c>
      <c r="D51" s="230">
        <f>ROUND(D27-D50,2)</f>
        <v/>
      </c>
      <c r="E51" s="230">
        <f>ROUND(E27-E50,2)</f>
        <v/>
      </c>
      <c r="F51" s="230">
        <f>ROUND(F27-F50,2)</f>
        <v/>
      </c>
      <c r="G51" s="230">
        <f>ROUND(G27-G50,2)</f>
        <v/>
      </c>
      <c r="H51" s="230">
        <f>ROUND(H27-H50,2)</f>
        <v/>
      </c>
      <c r="I51" s="230">
        <f>ROUND(I27-I50,2)</f>
        <v/>
      </c>
      <c r="J51" s="230">
        <f>ROUND(J27-J50,2)</f>
        <v/>
      </c>
      <c r="K51" s="230">
        <f>ROUND(K27-K50,2)</f>
        <v/>
      </c>
      <c r="L51" s="40" t="n"/>
    </row>
    <row r="54" ht="15" customHeight="1" s="3">
      <c r="A54" s="16" t="inlineStr">
        <is>
          <t>Retained Earnings Reconciliation</t>
        </is>
      </c>
      <c r="B54" s="29" t="n"/>
      <c r="C54" s="29" t="n"/>
      <c r="D54" s="29" t="n"/>
      <c r="E54" s="29" t="n"/>
      <c r="F54" s="29" t="n"/>
      <c r="G54" s="29" t="n"/>
      <c r="H54" s="29" t="n"/>
      <c r="I54" s="29" t="n"/>
      <c r="J54" s="29" t="n"/>
      <c r="K54" s="29" t="n"/>
    </row>
    <row r="55" ht="15" customHeight="1" s="3">
      <c r="B55" s="34" t="inlineStr">
        <is>
          <t>2026</t>
        </is>
      </c>
      <c r="C55" s="34" t="inlineStr">
        <is>
          <t>2027 H2</t>
        </is>
      </c>
      <c r="D55" s="34" t="inlineStr">
        <is>
          <t>2028</t>
        </is>
      </c>
      <c r="E55" s="34" t="inlineStr">
        <is>
          <t>2029</t>
        </is>
      </c>
      <c r="F55" s="34" t="inlineStr">
        <is>
          <t>2030</t>
        </is>
      </c>
      <c r="G55" s="34" t="inlineStr">
        <is>
          <t>2031</t>
        </is>
      </c>
      <c r="H55" s="34" t="inlineStr">
        <is>
          <t>2032</t>
        </is>
      </c>
      <c r="I55" s="34" t="inlineStr">
        <is>
          <t>2033</t>
        </is>
      </c>
      <c r="J55" s="34" t="inlineStr">
        <is>
          <t>2034</t>
        </is>
      </c>
      <c r="K55" s="34" t="inlineStr">
        <is>
          <t>2035</t>
        </is>
      </c>
      <c r="L55" s="35" t="inlineStr">
        <is>
          <t>Notes</t>
        </is>
      </c>
    </row>
    <row r="56" ht="15" customHeight="1" s="3">
      <c r="A56" s="17" t="inlineStr">
        <is>
          <t>Cumulative P&amp;L Profit (EBIT)</t>
        </is>
      </c>
      <c r="B56" s="214" t="n">
        <v>0</v>
      </c>
      <c r="C56" s="214">
        <f>'P&amp;L'!B73</f>
        <v/>
      </c>
      <c r="D56" s="214">
        <f>'P&amp;L'!C73</f>
        <v/>
      </c>
      <c r="E56" s="214">
        <f>'P&amp;L'!D73</f>
        <v/>
      </c>
      <c r="F56" s="214">
        <f>'P&amp;L'!E73</f>
        <v/>
      </c>
      <c r="G56" s="214">
        <f>'P&amp;L'!F73</f>
        <v/>
      </c>
      <c r="H56" s="214">
        <f>'P&amp;L'!G73</f>
        <v/>
      </c>
      <c r="I56" s="214">
        <f>'P&amp;L'!H73</f>
        <v/>
      </c>
      <c r="J56" s="214">
        <f>'P&amp;L'!I73</f>
        <v/>
      </c>
      <c r="K56" s="214">
        <f>'P&amp;L'!J73</f>
        <v/>
      </c>
      <c r="L56" s="18" t="inlineStr">
        <is>
          <t>P&amp;L: Cumulative Aurelian Profit</t>
        </is>
      </c>
    </row>
    <row r="57" ht="15" customHeight="1" s="3">
      <c r="A57" s="17" t="inlineStr">
        <is>
          <t>(-) Cumulative other amortization</t>
        </is>
      </c>
      <c r="B57" s="225" t="n">
        <v>0</v>
      </c>
      <c r="C57" s="225" t="n">
        <v>-0.42</v>
      </c>
      <c r="D57" s="225" t="n">
        <v>-1.42</v>
      </c>
      <c r="E57" s="225" t="n">
        <v>-2.42</v>
      </c>
      <c r="F57" s="225" t="n">
        <v>-3.89</v>
      </c>
      <c r="G57" s="225" t="n">
        <v>-5.89</v>
      </c>
      <c r="H57" s="225" t="n">
        <v>-8.01</v>
      </c>
      <c r="I57" s="225" t="n">
        <v>-10.37</v>
      </c>
      <c r="J57" s="225" t="n">
        <v>-12.97</v>
      </c>
      <c r="K57" s="225" t="n">
        <v>-15.69</v>
      </c>
      <c r="L57" s="18" t="inlineStr">
        <is>
          <t>Facility + cert + platform amortization (not in P&amp;L)</t>
        </is>
      </c>
    </row>
    <row r="58" ht="15" customHeight="1" s="3">
      <c r="A58" s="17" t="inlineStr">
        <is>
          <t>(+/-) Net working capital effect</t>
        </is>
      </c>
      <c r="B58" s="214">
        <f>B8+B9-B33-B34</f>
        <v/>
      </c>
      <c r="C58" s="214">
        <f>C8+C9-C33-C34</f>
        <v/>
      </c>
      <c r="D58" s="214">
        <f>D8+D9-D33-D34</f>
        <v/>
      </c>
      <c r="E58" s="214">
        <f>E8+E9-E33-E34</f>
        <v/>
      </c>
      <c r="F58" s="214">
        <f>F8+F9-F33-F34</f>
        <v/>
      </c>
      <c r="G58" s="214">
        <f>G8+G9-G33-G34</f>
        <v/>
      </c>
      <c r="H58" s="214">
        <f>H8+H9-H33-H34</f>
        <v/>
      </c>
      <c r="I58" s="214">
        <f>I8+I9-I33-I34</f>
        <v/>
      </c>
      <c r="J58" s="214">
        <f>J8+J9-J33-J34</f>
        <v/>
      </c>
      <c r="K58" s="214">
        <f>K8+K9-K33-K34</f>
        <v/>
      </c>
      <c r="L58" s="18" t="inlineStr">
        <is>
          <t>AR + Inventory - AP - Accruals</t>
        </is>
      </c>
    </row>
    <row r="59" ht="15" customHeight="1" s="3">
      <c r="A59" s="62" t="inlineStr">
        <is>
          <t>Adjusted Retained Earnings (est.)</t>
        </is>
      </c>
      <c r="B59" s="228">
        <f>B56+B57+B58</f>
        <v/>
      </c>
      <c r="C59" s="228">
        <f>C56+C57+C58</f>
        <v/>
      </c>
      <c r="D59" s="228">
        <f>D56+D57+D58</f>
        <v/>
      </c>
      <c r="E59" s="228">
        <f>E56+E57+E58</f>
        <v/>
      </c>
      <c r="F59" s="228">
        <f>F56+F57+F58</f>
        <v/>
      </c>
      <c r="G59" s="228">
        <f>G56+G57+G58</f>
        <v/>
      </c>
      <c r="H59" s="228">
        <f>H56+H57+H58</f>
        <v/>
      </c>
      <c r="I59" s="228">
        <f>I56+I57+I58</f>
        <v/>
      </c>
      <c r="J59" s="228">
        <f>J56+J57+J58</f>
        <v/>
      </c>
      <c r="K59" s="228">
        <f>K56+K57+K58</f>
        <v/>
      </c>
      <c r="L59" s="60" t="inlineStr">
        <is>
          <t>P&amp;L + amort adj + WC</t>
        </is>
      </c>
    </row>
    <row r="60" ht="15" customHeight="1" s="3">
      <c r="A60" s="25" t="inlineStr">
        <is>
          <t>Balance Sheet Retained Earnings</t>
        </is>
      </c>
      <c r="B60" s="214">
        <f>B47</f>
        <v/>
      </c>
      <c r="C60" s="214">
        <f>C47</f>
        <v/>
      </c>
      <c r="D60" s="214">
        <f>D47</f>
        <v/>
      </c>
      <c r="E60" s="214">
        <f>E47</f>
        <v/>
      </c>
      <c r="F60" s="214">
        <f>F47</f>
        <v/>
      </c>
      <c r="G60" s="214">
        <f>G47</f>
        <v/>
      </c>
      <c r="H60" s="214">
        <f>H47</f>
        <v/>
      </c>
      <c r="I60" s="214">
        <f>I47</f>
        <v/>
      </c>
      <c r="J60" s="214">
        <f>J47</f>
        <v/>
      </c>
      <c r="K60" s="214">
        <f>K47</f>
        <v/>
      </c>
      <c r="L60" s="18" t="inlineStr">
        <is>
          <t>From equity section</t>
        </is>
      </c>
    </row>
    <row r="61" ht="15" customHeight="1" s="3">
      <c r="A61" s="17" t="inlineStr">
        <is>
          <t>Difference (residual)</t>
        </is>
      </c>
      <c r="B61" s="53">
        <f>B60-B59</f>
        <v/>
      </c>
      <c r="C61" s="53">
        <f>C60-C59</f>
        <v/>
      </c>
      <c r="D61" s="53">
        <f>D60-D59</f>
        <v/>
      </c>
      <c r="E61" s="53">
        <f>E60-E59</f>
        <v/>
      </c>
      <c r="F61" s="53">
        <f>F60-F59</f>
        <v/>
      </c>
      <c r="G61" s="53">
        <f>G60-G59</f>
        <v/>
      </c>
      <c r="H61" s="53">
        <f>H60-H59</f>
        <v/>
      </c>
      <c r="I61" s="53">
        <f>I60-I59</f>
        <v/>
      </c>
      <c r="J61" s="53">
        <f>J60-J59</f>
        <v/>
      </c>
      <c r="K61" s="53">
        <f>K60-K59</f>
        <v/>
      </c>
      <c r="L61" s="18" t="inlineStr">
        <is>
          <t>WC cash timing + capitalization effects</t>
        </is>
      </c>
    </row>
    <row r="64" ht="15" customHeight="1" s="3">
      <c r="A64" s="16" t="inlineStr">
        <is>
          <t>Key Balance Sheet Ratios</t>
        </is>
      </c>
      <c r="B64" s="29" t="n"/>
      <c r="C64" s="29" t="n"/>
      <c r="D64" s="29" t="n"/>
      <c r="E64" s="29" t="n"/>
      <c r="F64" s="29" t="n"/>
      <c r="G64" s="29" t="n"/>
      <c r="H64" s="29" t="n"/>
      <c r="I64" s="29" t="n"/>
      <c r="J64" s="29" t="n"/>
      <c r="K64" s="29" t="n"/>
    </row>
    <row r="65" ht="15" customHeight="1" s="3">
      <c r="B65" s="34" t="inlineStr">
        <is>
          <t>2026</t>
        </is>
      </c>
      <c r="C65" s="34" t="inlineStr">
        <is>
          <t>2027 H2</t>
        </is>
      </c>
      <c r="D65" s="34" t="inlineStr">
        <is>
          <t>2028</t>
        </is>
      </c>
      <c r="E65" s="34" t="inlineStr">
        <is>
          <t>2029</t>
        </is>
      </c>
      <c r="F65" s="34" t="inlineStr">
        <is>
          <t>2030</t>
        </is>
      </c>
      <c r="G65" s="34" t="inlineStr">
        <is>
          <t>2031</t>
        </is>
      </c>
      <c r="H65" s="34" t="inlineStr">
        <is>
          <t>2032</t>
        </is>
      </c>
      <c r="I65" s="34" t="inlineStr">
        <is>
          <t>2033</t>
        </is>
      </c>
      <c r="J65" s="34" t="inlineStr">
        <is>
          <t>2034</t>
        </is>
      </c>
      <c r="K65" s="34" t="inlineStr">
        <is>
          <t>2035</t>
        </is>
      </c>
      <c r="L65" s="35" t="inlineStr">
        <is>
          <t>Notes</t>
        </is>
      </c>
    </row>
    <row r="66" ht="15" customHeight="1" s="3">
      <c r="A66" s="17" t="inlineStr">
        <is>
          <t>Debt-to-Equity Ratio</t>
        </is>
      </c>
      <c r="B66" s="231">
        <f>IF(B48&gt;0,B39/B48,"N/A")</f>
        <v/>
      </c>
      <c r="C66" s="231">
        <f>IF(C48&gt;0,C39/C48,"N/A")</f>
        <v/>
      </c>
      <c r="D66" s="231">
        <f>IF(D48&gt;0,D39/D48,"N/A")</f>
        <v/>
      </c>
      <c r="E66" s="231">
        <f>IF(E48&gt;0,E39/E48,"N/A")</f>
        <v/>
      </c>
      <c r="F66" s="231">
        <f>IF(F48&gt;0,F39/F48,"N/A")</f>
        <v/>
      </c>
      <c r="G66" s="231">
        <f>IF(G48&gt;0,G39/G48,"N/A")</f>
        <v/>
      </c>
      <c r="H66" s="231">
        <f>IF(H48&gt;0,H39/H48,"N/A")</f>
        <v/>
      </c>
      <c r="I66" s="231">
        <f>IF(I48&gt;0,I39/I48,"N/A")</f>
        <v/>
      </c>
      <c r="J66" s="231">
        <f>IF(J48&gt;0,J39/J48,"N/A")</f>
        <v/>
      </c>
      <c r="K66" s="231">
        <f>IF(K48&gt;0,K39/K48,"N/A")</f>
        <v/>
      </c>
      <c r="L66" s="18" t="inlineStr">
        <is>
          <t>Target: &lt;2.0x for bankable structure</t>
        </is>
      </c>
    </row>
    <row r="67" ht="15" customHeight="1" s="3">
      <c r="A67" s="17" t="inlineStr">
        <is>
          <t>Asset Turnover (Revenue / Assets)</t>
        </is>
      </c>
      <c r="B67" s="231" t="n">
        <v>0</v>
      </c>
      <c r="C67" s="231">
        <f>IF(C27&gt;0,'P&amp;L'!B17/C27,0)</f>
        <v/>
      </c>
      <c r="D67" s="231">
        <f>IF(D27&gt;0,'P&amp;L'!C17/D27,0)</f>
        <v/>
      </c>
      <c r="E67" s="231">
        <f>IF(E27&gt;0,'P&amp;L'!D17/E27,0)</f>
        <v/>
      </c>
      <c r="F67" s="231">
        <f>IF(F27&gt;0,'P&amp;L'!E17/F27,0)</f>
        <v/>
      </c>
      <c r="G67" s="231">
        <f>IF(G27&gt;0,'P&amp;L'!F17/G27,0)</f>
        <v/>
      </c>
      <c r="H67" s="231">
        <f>IF(H27&gt;0,'P&amp;L'!G17/H27,0)</f>
        <v/>
      </c>
      <c r="I67" s="231">
        <f>IF(I27&gt;0,'P&amp;L'!H17/I27,0)</f>
        <v/>
      </c>
      <c r="J67" s="231">
        <f>IF(J27&gt;0,'P&amp;L'!I17/J27,0)</f>
        <v/>
      </c>
      <c r="K67" s="231">
        <f>IF(K27&gt;0,'P&amp;L'!J17/K27,0)</f>
        <v/>
      </c>
      <c r="L67" s="18" t="inlineStr">
        <is>
          <t>Efficiency of asset utilization</t>
        </is>
      </c>
    </row>
    <row r="68" ht="15" customHeight="1" s="3">
      <c r="A68" s="17" t="inlineStr">
        <is>
          <t>Return on Assets (EBIT / Assets)</t>
        </is>
      </c>
      <c r="B68" s="215" t="n">
        <v>0</v>
      </c>
      <c r="C68" s="215">
        <f>IF(C27&gt;0,'P&amp;L'!B61/C27,0)</f>
        <v/>
      </c>
      <c r="D68" s="215">
        <f>IF(D27&gt;0,'P&amp;L'!C61/D27,0)</f>
        <v/>
      </c>
      <c r="E68" s="215">
        <f>IF(E27&gt;0,'P&amp;L'!D61/E27,0)</f>
        <v/>
      </c>
      <c r="F68" s="215">
        <f>IF(F27&gt;0,'P&amp;L'!E61/F27,0)</f>
        <v/>
      </c>
      <c r="G68" s="215">
        <f>IF(G27&gt;0,'P&amp;L'!F61/G27,0)</f>
        <v/>
      </c>
      <c r="H68" s="215">
        <f>IF(H27&gt;0,'P&amp;L'!G61/H27,0)</f>
        <v/>
      </c>
      <c r="I68" s="215">
        <f>IF(I27&gt;0,'P&amp;L'!H61/I27,0)</f>
        <v/>
      </c>
      <c r="J68" s="215">
        <f>IF(J27&gt;0,'P&amp;L'!I61/J27,0)</f>
        <v/>
      </c>
      <c r="K68" s="215">
        <f>IF(K27&gt;0,'P&amp;L'!J61/K27,0)</f>
        <v/>
      </c>
      <c r="L68" s="18" t="inlineStr">
        <is>
          <t>Profitability relative to asset base</t>
        </is>
      </c>
    </row>
    <row r="69" ht="15" customHeight="1" s="3">
      <c r="A69" s="17" t="inlineStr">
        <is>
          <t>Return on Equity (EBIT / Equity)</t>
        </is>
      </c>
      <c r="B69" s="215" t="n">
        <v>0</v>
      </c>
      <c r="C69" s="215">
        <f>IF(C48&gt;0,'P&amp;L'!B61/C48,0)</f>
        <v/>
      </c>
      <c r="D69" s="215">
        <f>IF(D48&gt;0,'P&amp;L'!C61/D48,0)</f>
        <v/>
      </c>
      <c r="E69" s="215">
        <f>IF(E48&gt;0,'P&amp;L'!D61/E48,0)</f>
        <v/>
      </c>
      <c r="F69" s="215">
        <f>IF(F48&gt;0,'P&amp;L'!E61/F48,0)</f>
        <v/>
      </c>
      <c r="G69" s="215">
        <f>IF(G48&gt;0,'P&amp;L'!F61/G48,0)</f>
        <v/>
      </c>
      <c r="H69" s="215">
        <f>IF(H48&gt;0,'P&amp;L'!G61/H48,0)</f>
        <v/>
      </c>
      <c r="I69" s="215">
        <f>IF(I48&gt;0,'P&amp;L'!H61/I48,0)</f>
        <v/>
      </c>
      <c r="J69" s="215">
        <f>IF(J48&gt;0,'P&amp;L'!I61/J48,0)</f>
        <v/>
      </c>
      <c r="K69" s="215">
        <f>IF(K48&gt;0,'P&amp;L'!J61/K48,0)</f>
        <v/>
      </c>
      <c r="L69" s="18" t="inlineStr">
        <is>
          <t>Investor return on book equity</t>
        </is>
      </c>
    </row>
    <row r="70" ht="15" customHeight="1" s="3">
      <c r="A70" s="17" t="inlineStr">
        <is>
          <t>Fixed Assets / Debt Coverage</t>
        </is>
      </c>
      <c r="B70" s="231">
        <f>IF(B38&gt;0,B25/B38,"N/A")</f>
        <v/>
      </c>
      <c r="C70" s="231">
        <f>IF(C38&gt;0,C25/C38,"N/A")</f>
        <v/>
      </c>
      <c r="D70" s="231">
        <f>IF(D38&gt;0,D25/D38,"N/A")</f>
        <v/>
      </c>
      <c r="E70" s="231">
        <f>IF(E38&gt;0,E25/E38,"N/A")</f>
        <v/>
      </c>
      <c r="F70" s="231">
        <f>IF(F38&gt;0,F25/F38,"N/A")</f>
        <v/>
      </c>
      <c r="G70" s="231">
        <f>IF(G38&gt;0,G25/G38,"N/A")</f>
        <v/>
      </c>
      <c r="H70" s="231">
        <f>IF(H38&gt;0,H25/H38,"N/A")</f>
        <v/>
      </c>
      <c r="I70" s="231">
        <f>IF(I38&gt;0,I25/I38,"N/A")</f>
        <v/>
      </c>
      <c r="J70" s="231">
        <f>IF(J38&gt;0,J25/J38,"N/A")</f>
        <v/>
      </c>
      <c r="K70" s="231">
        <f>IF(K38&gt;0,K25/K38,"N/A")</f>
        <v/>
      </c>
      <c r="L70" s="18" t="inlineStr">
        <is>
          <t>Collateral coverage for bank debt</t>
        </is>
      </c>
    </row>
    <row r="73" ht="15" customHeight="1" s="3">
      <c r="A73" s="16" t="inlineStr">
        <is>
          <t>Notes &amp; Assumptions</t>
        </is>
      </c>
      <c r="B73" s="29" t="n"/>
      <c r="C73" s="29" t="n"/>
      <c r="D73" s="29" t="n"/>
      <c r="E73" s="29" t="n"/>
      <c r="F73" s="29" t="n"/>
      <c r="G73" s="29" t="n"/>
      <c r="H73" s="29" t="n"/>
      <c r="I73" s="29" t="n"/>
      <c r="J73" s="29" t="n"/>
      <c r="K73" s="29" t="n"/>
    </row>
    <row r="74" ht="15" customHeight="1" s="3">
      <c r="A74" s="14" t="inlineStr">
        <is>
          <t>1. Balance Sheet constructed so Assets = Liabilities + Equity by definition. Retained earnings is the balancing item.</t>
        </is>
      </c>
    </row>
    <row r="75" ht="15" customHeight="1" s="3">
      <c r="A75" s="14" t="inlineStr">
        <is>
          <t>2. CNC machines at historical cost (10M NOK each), straight-line depreciation over 8 years per REV6 §1.2.</t>
        </is>
      </c>
    </row>
    <row r="76" ht="15" customHeight="1" s="3">
      <c r="A76" s="14" t="inlineStr">
        <is>
          <t>3. Resale value analysis supports 55-65% residual at 3yr, 35-45% at 5yr — not reflected in book values.</t>
        </is>
      </c>
    </row>
    <row r="77" ht="15" customHeight="1" s="3">
      <c r="A77" s="14" t="inlineStr">
        <is>
          <t>4. Working capital estimated from revenue/cost profiles. Detailed WC model recommended for Seed DD.</t>
        </is>
      </c>
    </row>
    <row r="78" ht="15" customHeight="1" s="3">
      <c r="A78" s="14" t="inlineStr">
        <is>
          <t>5. Other capitalized: facility setup (3M), certifications (2M), platform engineering (5.6M/yr from 2030). Amortized over 5yr.</t>
        </is>
      </c>
    </row>
    <row r="79" ht="15" customHeight="1" s="3">
      <c r="A79" s="14" t="inlineStr">
        <is>
          <t>6. Bank debt interest-only during projection. No principal amortization (growth-stage assumption).</t>
        </is>
      </c>
    </row>
    <row r="80" ht="15" customHeight="1" s="3">
      <c r="A80" s="14" t="inlineStr">
        <is>
          <t>7. Debt from 2032+ includes organic growth CNC machines at 7M debt each (per P&amp;L Serie A terms).</t>
        </is>
      </c>
    </row>
    <row r="81" ht="15" customHeight="1" s="3">
      <c r="A81" s="14" t="inlineStr">
        <is>
          <t>8. RE reconciliation: small differences from WC cash timing and items capitalized on BS but expensed differently in CF.</t>
        </is>
      </c>
    </row>
  </sheetData>
  <mergeCells count="16">
    <mergeCell ref="A74:K74"/>
    <mergeCell ref="A4:K4"/>
    <mergeCell ref="A78:K78"/>
    <mergeCell ref="A30:K30"/>
    <mergeCell ref="A77:K77"/>
    <mergeCell ref="A54:K54"/>
    <mergeCell ref="A64:K64"/>
    <mergeCell ref="A81:K81"/>
    <mergeCell ref="A73:K73"/>
    <mergeCell ref="A2:K2"/>
    <mergeCell ref="A80:K80"/>
    <mergeCell ref="A76:K76"/>
    <mergeCell ref="A44:K44"/>
    <mergeCell ref="A1:K1"/>
    <mergeCell ref="A75:K75"/>
    <mergeCell ref="A79:K79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E65100"/>
    <outlinePr summaryBelow="1" summaryRight="1"/>
    <pageSetUpPr/>
  </sheetPr>
  <dimension ref="A1:H124"/>
  <sheetViews>
    <sheetView zoomScaleNormal="100" workbookViewId="0">
      <selection activeCell="A1" sqref="A1:F1"/>
    </sheetView>
  </sheetViews>
  <sheetFormatPr baseColWidth="10" defaultColWidth="8.7109375" defaultRowHeight="15"/>
  <cols>
    <col width="38" customWidth="1" style="3" min="1" max="1"/>
    <col width="18" customWidth="1" style="3" min="2" max="6"/>
    <col width="40" customWidth="1" style="3" min="7" max="7"/>
  </cols>
  <sheetData>
    <row r="1" ht="31.5" customHeight="1" s="3">
      <c r="A1" s="12" t="inlineStr">
        <is>
          <t>AURELIAN MANUFACTURING — CAP TABLE &amp; OWNERSHIP EVOLUTION</t>
        </is>
      </c>
    </row>
    <row r="2" ht="15" customHeight="1" s="3">
      <c r="A2" s="14" t="inlineStr">
        <is>
          <t>Source: REV6 §4. All ownership is at parent (Holdingselskap) level. ESOP at daughter (Site) level.</t>
        </is>
      </c>
    </row>
    <row r="3"/>
    <row r="4" ht="15" customHeight="1" s="3">
      <c r="A4" s="16" t="inlineStr">
        <is>
          <t>1. Financing Round Parameters</t>
        </is>
      </c>
      <c r="B4" s="29" t="n"/>
      <c r="C4" s="29" t="n"/>
      <c r="D4" s="29" t="n"/>
      <c r="E4" s="29" t="n"/>
      <c r="F4" s="29" t="n"/>
      <c r="G4" s="29" t="n"/>
    </row>
    <row r="5" ht="15" customHeight="1" s="3">
      <c r="B5" s="81" t="n"/>
      <c r="C5" s="81" t="inlineStr">
        <is>
          <t>PreSeed</t>
        </is>
      </c>
      <c r="D5" s="81" t="inlineStr">
        <is>
          <t>Seed</t>
        </is>
      </c>
      <c r="E5" s="81" t="inlineStr">
        <is>
          <t>Serie A</t>
        </is>
      </c>
      <c r="G5" s="35" t="inlineStr">
        <is>
          <t>Notes</t>
        </is>
      </c>
    </row>
    <row r="6" ht="15" customHeight="1" s="3">
      <c r="A6" s="17" t="inlineStr">
        <is>
          <t>Capital raised (equity, MNOK)</t>
        </is>
      </c>
      <c r="B6" s="40" t="n"/>
      <c r="C6" s="213" t="n">
        <v>5</v>
      </c>
      <c r="D6" s="213" t="n">
        <v>51.3</v>
      </c>
      <c r="E6" s="213" t="n">
        <v>45</v>
      </c>
      <c r="F6" s="40" t="n"/>
      <c r="G6" s="18" t="inlineStr">
        <is>
          <t>REV6 §4.1</t>
        </is>
      </c>
    </row>
    <row r="7" ht="15" customHeight="1" s="3">
      <c r="A7" s="17" t="inlineStr">
        <is>
          <t>Pre-money valuation (MNOK)</t>
        </is>
      </c>
      <c r="B7" s="40" t="n"/>
      <c r="C7" s="213" t="n">
        <v>25</v>
      </c>
      <c r="D7" s="213" t="n">
        <v>130</v>
      </c>
      <c r="E7" s="213" t="n">
        <v>250</v>
      </c>
      <c r="F7" s="40" t="n"/>
      <c r="G7" s="18" t="inlineStr">
        <is>
          <t>REV6 §4.1</t>
        </is>
      </c>
    </row>
    <row r="8" ht="15" customHeight="1" s="3">
      <c r="A8" s="17" t="inlineStr">
        <is>
          <t>Post-money valuation (MNOK)</t>
        </is>
      </c>
      <c r="B8" s="40" t="n"/>
      <c r="C8" s="213" t="n">
        <v>30</v>
      </c>
      <c r="D8" s="213" t="n">
        <v>181.3</v>
      </c>
      <c r="E8" s="213" t="n">
        <v>295</v>
      </c>
      <c r="F8" s="40" t="n"/>
      <c r="G8" s="18" t="inlineStr">
        <is>
          <t>PreMoney + Capital</t>
        </is>
      </c>
    </row>
    <row r="9" ht="15" customHeight="1" s="3">
      <c r="A9" s="17" t="inlineStr">
        <is>
          <t>Dilution this round (%)</t>
        </is>
      </c>
      <c r="B9" s="40" t="n"/>
      <c r="C9" s="220" t="n">
        <v>0.1667</v>
      </c>
      <c r="D9" s="220" t="n">
        <v>0.283</v>
      </c>
      <c r="E9" s="220" t="n">
        <v>0.1525</v>
      </c>
      <c r="F9" s="40" t="n"/>
      <c r="G9" s="18" t="inlineStr">
        <is>
          <t>Capital / PostMoney</t>
        </is>
      </c>
    </row>
    <row r="10" ht="15" customHeight="1" s="3">
      <c r="A10" s="17" t="inlineStr">
        <is>
          <t>Bank debt raised (MNOK)</t>
        </is>
      </c>
      <c r="B10" s="40" t="n"/>
      <c r="C10" s="213" t="n">
        <v>0</v>
      </c>
      <c r="D10" s="213" t="n">
        <v>29.3</v>
      </c>
      <c r="E10" s="213" t="n">
        <v>105</v>
      </c>
      <c r="F10" s="40" t="n"/>
      <c r="G10" s="18" t="inlineStr">
        <is>
          <t>Asset-backed, secured by CNC</t>
        </is>
      </c>
    </row>
    <row r="11" ht="15" customHeight="1" s="3">
      <c r="A11" s="17" t="inlineStr">
        <is>
          <t>Total capital deployed (MNOK)</t>
        </is>
      </c>
      <c r="B11" s="40" t="n"/>
      <c r="C11" s="213" t="n">
        <v>5</v>
      </c>
      <c r="D11" s="213" t="n">
        <v>80.59999999999999</v>
      </c>
      <c r="E11" s="213" t="n">
        <v>150</v>
      </c>
      <c r="F11" s="40" t="n"/>
      <c r="G11" s="18" t="inlineStr">
        <is>
          <t>Equity + Debt</t>
        </is>
      </c>
    </row>
    <row r="12" ht="15" customHeight="1" s="3">
      <c r="A12" s="17" t="inlineStr">
        <is>
          <t>Machines funded</t>
        </is>
      </c>
      <c r="B12" s="40" t="n"/>
      <c r="C12" s="82" t="n">
        <v>0</v>
      </c>
      <c r="D12" s="82" t="inlineStr">
        <is>
          <t>5 CNC + shop</t>
        </is>
      </c>
      <c r="E12" s="82" t="inlineStr">
        <is>
          <t>15 CNC (3×5)</t>
        </is>
      </c>
      <c r="F12" s="40" t="n"/>
      <c r="G12" s="40" t="n"/>
    </row>
    <row r="13"/>
    <row r="14" ht="15" customHeight="1" s="3">
      <c r="A14" s="16" t="inlineStr">
        <is>
          <t>2. Ownership Evolution (% of Parent Company)</t>
        </is>
      </c>
      <c r="B14" s="29" t="n"/>
      <c r="C14" s="29" t="n"/>
      <c r="D14" s="29" t="n"/>
      <c r="E14" s="29" t="n"/>
      <c r="F14" s="29" t="n"/>
      <c r="G14" s="29" t="n"/>
    </row>
    <row r="15" ht="15" customHeight="1" s="3">
      <c r="B15" s="81" t="inlineStr">
        <is>
          <t>Founding</t>
        </is>
      </c>
      <c r="C15" s="81" t="inlineStr">
        <is>
          <t>Post PreSeed</t>
        </is>
      </c>
      <c r="D15" s="81" t="inlineStr">
        <is>
          <t>Post Seed</t>
        </is>
      </c>
      <c r="E15" s="81" t="inlineStr">
        <is>
          <t>Post Serie A</t>
        </is>
      </c>
      <c r="G15" s="35" t="inlineStr">
        <is>
          <t>Notes</t>
        </is>
      </c>
    </row>
    <row r="16" ht="15" customHeight="1" s="3">
      <c r="A16" s="83" t="inlineStr">
        <is>
          <t>Eier A</t>
        </is>
      </c>
      <c r="B16" s="232" t="n">
        <v>0.53125</v>
      </c>
      <c r="C16" s="232" t="n">
        <v>0.4427083333333334</v>
      </c>
      <c r="D16" s="232" t="n">
        <v>0.3174411656554514</v>
      </c>
      <c r="E16" s="232" t="n">
        <v>0.2690179369961453</v>
      </c>
      <c r="F16" s="40" t="n"/>
      <c r="G16" s="40" t="n"/>
    </row>
    <row r="17" ht="15" customHeight="1" s="3">
      <c r="A17" s="83" t="inlineStr">
        <is>
          <t>Eier B</t>
        </is>
      </c>
      <c r="B17" s="232" t="n">
        <v>0.31875</v>
      </c>
      <c r="C17" s="232" t="n">
        <v>0.265625</v>
      </c>
      <c r="D17" s="232" t="n">
        <v>0.1904646993932708</v>
      </c>
      <c r="E17" s="232" t="n">
        <v>0.1614107621976872</v>
      </c>
      <c r="F17" s="40" t="n"/>
      <c r="G17" s="40" t="n"/>
    </row>
    <row r="18" ht="15" customHeight="1" s="3">
      <c r="A18" s="83" t="inlineStr">
        <is>
          <t>Eier C</t>
        </is>
      </c>
      <c r="B18" s="232" t="n">
        <v>0.1</v>
      </c>
      <c r="C18" s="232" t="n">
        <v>0.0833</v>
      </c>
      <c r="D18" s="232" t="n">
        <v>0.0597</v>
      </c>
      <c r="E18" s="232" t="n">
        <v>0.0506</v>
      </c>
      <c r="F18" s="40" t="n"/>
      <c r="G18" s="40" t="n"/>
    </row>
    <row r="19" ht="15" customHeight="1" s="3">
      <c r="A19" s="83" t="inlineStr">
        <is>
          <t>Eier D</t>
        </is>
      </c>
      <c r="B19" s="232" t="n">
        <v>0.05</v>
      </c>
      <c r="C19" s="232" t="n">
        <v>0.04166666666666667</v>
      </c>
      <c r="D19" s="232" t="n">
        <v>0.02987681559110131</v>
      </c>
      <c r="E19" s="232" t="n">
        <v>0.02531933524669603</v>
      </c>
      <c r="F19" s="40" t="n"/>
      <c r="G19" s="40" t="n"/>
    </row>
    <row r="20">
      <c r="A20" s="85" t="inlineStr">
        <is>
          <t>FOUNDERS TOTAL</t>
        </is>
      </c>
      <c r="B20" s="233" t="n">
        <v>1</v>
      </c>
      <c r="C20" s="233" t="n">
        <v>0.8333333333333334</v>
      </c>
      <c r="D20" s="233" t="n">
        <v>0.5975363118220263</v>
      </c>
      <c r="E20" s="233" t="n">
        <v>0.5063867049339205</v>
      </c>
      <c r="F20" s="77" t="n"/>
      <c r="G20" s="60" t="inlineStr">
        <is>
          <t>Founders retain majority control</t>
        </is>
      </c>
    </row>
    <row r="21" ht="15" customHeight="1" s="3"/>
    <row r="22" ht="15" customHeight="1" s="3">
      <c r="A22" s="17" t="inlineStr">
        <is>
          <t>PreSeed investors</t>
        </is>
      </c>
      <c r="B22" s="40" t="n"/>
      <c r="C22" s="234" t="n">
        <v>0.1667</v>
      </c>
      <c r="D22" s="234" t="n">
        <v>0.1195</v>
      </c>
      <c r="E22" s="234" t="n">
        <v>0.1012</v>
      </c>
      <c r="F22" s="40" t="n"/>
      <c r="G22" s="40" t="n"/>
    </row>
    <row r="23" ht="15" customHeight="1" s="3">
      <c r="A23" s="17" t="inlineStr">
        <is>
          <t>Seed investors</t>
        </is>
      </c>
      <c r="B23" s="40" t="n"/>
      <c r="C23" s="40" t="n"/>
      <c r="D23" s="234" t="n">
        <v>0.283</v>
      </c>
      <c r="E23" s="234" t="n">
        <v>0.2398</v>
      </c>
      <c r="F23" s="40" t="n"/>
      <c r="G23" s="40" t="n"/>
    </row>
    <row r="24" ht="15" customHeight="1" s="3">
      <c r="A24" s="17" t="inlineStr">
        <is>
          <t>Serie A investors</t>
        </is>
      </c>
      <c r="B24" s="40" t="n"/>
      <c r="C24" s="40" t="n"/>
      <c r="D24" s="40" t="n"/>
      <c r="E24" s="234" t="n">
        <v>0.1525</v>
      </c>
      <c r="F24" s="40" t="n"/>
      <c r="G24" s="40" t="n"/>
    </row>
    <row r="25" ht="15" customHeight="1" s="3">
      <c r="A25" s="62" t="inlineStr">
        <is>
          <t>INVESTORS TOTAL</t>
        </is>
      </c>
      <c r="B25" s="235" t="n">
        <v>0</v>
      </c>
      <c r="C25" s="235" t="n">
        <v>0.1667</v>
      </c>
      <c r="D25" s="235" t="n">
        <v>0.4026</v>
      </c>
      <c r="E25" s="235" t="n">
        <v>0.494</v>
      </c>
      <c r="F25" s="77" t="n"/>
      <c r="G25" s="77" t="n"/>
    </row>
    <row r="26">
      <c r="A26" s="89" t="inlineStr">
        <is>
          <t>TOTAL (verification = 100%)</t>
        </is>
      </c>
      <c r="B26" s="236">
        <f>B19+B24</f>
        <v/>
      </c>
      <c r="C26" s="236">
        <f>C19+C24</f>
        <v/>
      </c>
      <c r="D26" s="236">
        <f>D19+D24</f>
        <v/>
      </c>
      <c r="E26" s="236">
        <f>E19+E24</f>
        <v/>
      </c>
      <c r="F26" s="52" t="n"/>
      <c r="G26" s="43" t="inlineStr">
        <is>
          <t>Must equal 100.00%</t>
        </is>
      </c>
    </row>
    <row r="27" ht="15" customHeight="1" s="3"/>
    <row r="28" ht="15" customHeight="1" s="3">
      <c r="A28" s="16" t="inlineStr">
        <is>
          <t>3. Dilution Waterfall (Founders)</t>
        </is>
      </c>
      <c r="B28" s="29" t="n"/>
      <c r="C28" s="29" t="n"/>
      <c r="D28" s="29" t="n"/>
      <c r="E28" s="29" t="n"/>
      <c r="F28" s="29" t="n"/>
      <c r="G28" s="29" t="n"/>
    </row>
    <row r="29" ht="15" customHeight="1" s="3">
      <c r="B29" s="81" t="n"/>
      <c r="C29" s="81" t="inlineStr">
        <is>
          <t>PreSeed</t>
        </is>
      </c>
      <c r="D29" s="81" t="inlineStr">
        <is>
          <t>Seed</t>
        </is>
      </c>
      <c r="E29" s="81" t="inlineStr">
        <is>
          <t>Serie A</t>
        </is>
      </c>
      <c r="F29" s="81" t="inlineStr">
        <is>
          <t>Cumulative</t>
        </is>
      </c>
      <c r="G29" s="35" t="inlineStr">
        <is>
          <t>Notes</t>
        </is>
      </c>
    </row>
    <row r="30" ht="15" customHeight="1" s="3">
      <c r="A30" s="17" t="inlineStr">
        <is>
          <t>Eier A starting %</t>
        </is>
      </c>
      <c r="B30" s="234" t="n">
        <v>0.53125</v>
      </c>
      <c r="C30" s="234" t="n">
        <v>0.53125</v>
      </c>
      <c r="D30" s="234" t="n">
        <v>0.4427083333333334</v>
      </c>
      <c r="E30" s="234" t="n">
        <v>0.3174411656554514</v>
      </c>
      <c r="F30" s="40" t="n"/>
      <c r="G30" s="40" t="n"/>
    </row>
    <row r="31" ht="15" customHeight="1" s="3">
      <c r="A31" s="17" t="inlineStr">
        <is>
          <t>Eier A ending %</t>
        </is>
      </c>
      <c r="B31" s="40" t="n"/>
      <c r="C31" s="234" t="n">
        <v>0.4427083333333334</v>
      </c>
      <c r="D31" s="234" t="n">
        <v>0.3174411656554514</v>
      </c>
      <c r="E31" s="234" t="n">
        <v>0.2690179369961453</v>
      </c>
      <c r="F31" s="234" t="n">
        <v>0.2690179369961453</v>
      </c>
      <c r="G31" s="40" t="n"/>
    </row>
    <row r="32">
      <c r="A32" s="17" t="inlineStr">
        <is>
          <t>Eier A dilution (pp)</t>
        </is>
      </c>
      <c r="B32" s="40" t="n"/>
      <c r="C32" s="237" t="n">
        <v>-0.08854166666666663</v>
      </c>
      <c r="D32" s="237" t="n">
        <v>-0.1252671676778819</v>
      </c>
      <c r="E32" s="237" t="n">
        <v>-0.04842322865930615</v>
      </c>
      <c r="F32" s="237" t="n">
        <v>-0.2622320630038547</v>
      </c>
      <c r="G32" s="40" t="n"/>
    </row>
    <row r="33" ht="15" customHeight="1" s="3"/>
    <row r="34" ht="15" customHeight="1" s="3">
      <c r="A34" s="17" t="inlineStr">
        <is>
          <t>Eier B starting %</t>
        </is>
      </c>
      <c r="B34" s="234" t="n">
        <v>0.31875</v>
      </c>
      <c r="C34" s="234" t="n">
        <v>0.31875</v>
      </c>
      <c r="D34" s="234" t="n">
        <v>0.265625</v>
      </c>
      <c r="E34" s="234" t="n">
        <v>0.1904646993932708</v>
      </c>
      <c r="F34" s="40" t="n"/>
      <c r="G34" s="40" t="n"/>
    </row>
    <row r="35" ht="15" customHeight="1" s="3">
      <c r="A35" s="17" t="inlineStr">
        <is>
          <t>Eier B ending %</t>
        </is>
      </c>
      <c r="B35" s="40" t="n"/>
      <c r="C35" s="234" t="n">
        <v>0.265625</v>
      </c>
      <c r="D35" s="234" t="n">
        <v>0.1904646993932708</v>
      </c>
      <c r="E35" s="234" t="n">
        <v>0.1614107621976872</v>
      </c>
      <c r="F35" s="234" t="n">
        <v>0.1614107621976872</v>
      </c>
      <c r="G35" s="40" t="n"/>
    </row>
    <row r="36">
      <c r="A36" s="17" t="inlineStr">
        <is>
          <t>Eier B dilution (pp)</t>
        </is>
      </c>
      <c r="B36" s="40" t="n"/>
      <c r="C36" s="237" t="n">
        <v>-0.05312499999999998</v>
      </c>
      <c r="D36" s="237" t="n">
        <v>-0.07516030060672915</v>
      </c>
      <c r="E36" s="237" t="n">
        <v>-0.02905393719558369</v>
      </c>
      <c r="F36" s="237" t="n">
        <v>-0.1573392378023128</v>
      </c>
      <c r="G36" s="40" t="n"/>
    </row>
    <row r="37" ht="15" customHeight="1" s="3"/>
    <row r="38" ht="15" customHeight="1" s="3">
      <c r="A38" s="17" t="inlineStr">
        <is>
          <t>Eier C starting %</t>
        </is>
      </c>
      <c r="B38" s="234" t="n">
        <v>0.1</v>
      </c>
      <c r="C38" s="234" t="n">
        <v>0.1</v>
      </c>
      <c r="D38" s="234" t="n">
        <v>0.0833</v>
      </c>
      <c r="E38" s="234" t="n">
        <v>0.0597</v>
      </c>
      <c r="F38" s="40" t="n"/>
      <c r="G38" s="40" t="n"/>
    </row>
    <row r="39" ht="15" customHeight="1" s="3">
      <c r="A39" s="17" t="inlineStr">
        <is>
          <t>Eier C ending %</t>
        </is>
      </c>
      <c r="B39" s="40" t="n"/>
      <c r="C39" s="234" t="n">
        <v>0.0833</v>
      </c>
      <c r="D39" s="234" t="n">
        <v>0.0597</v>
      </c>
      <c r="E39" s="234" t="n">
        <v>0.0506</v>
      </c>
      <c r="F39" s="234" t="n">
        <v>0.0506</v>
      </c>
      <c r="G39" s="40" t="n"/>
    </row>
    <row r="40">
      <c r="A40" s="17" t="inlineStr">
        <is>
          <t>Eier C dilution (pp)</t>
        </is>
      </c>
      <c r="B40" s="40" t="n"/>
      <c r="C40" s="237" t="n">
        <v>-0.0167</v>
      </c>
      <c r="D40" s="237" t="n">
        <v>-0.0236</v>
      </c>
      <c r="E40" s="237" t="n">
        <v>-0.0091</v>
      </c>
      <c r="F40" s="237" t="n">
        <v>-0.0494</v>
      </c>
      <c r="G40" s="40" t="n"/>
    </row>
    <row r="41" ht="15" customHeight="1" s="3"/>
    <row r="42" ht="15" customHeight="1" s="3">
      <c r="A42" s="17" t="inlineStr">
        <is>
          <t>Eier D starting %</t>
        </is>
      </c>
      <c r="B42" s="234" t="n">
        <v>0.05</v>
      </c>
      <c r="C42" s="234" t="n">
        <v>0.05</v>
      </c>
      <c r="D42" s="234" t="n">
        <v>0.04166666666666667</v>
      </c>
      <c r="E42" s="234" t="n">
        <v>0.02987681559110131</v>
      </c>
      <c r="F42" s="40" t="n"/>
      <c r="G42" s="40" t="n"/>
    </row>
    <row r="43" ht="15" customHeight="1" s="3">
      <c r="A43" s="17" t="inlineStr">
        <is>
          <t>Eier D ending %</t>
        </is>
      </c>
      <c r="B43" s="40" t="n"/>
      <c r="C43" s="234" t="n">
        <v>0.04166666666666667</v>
      </c>
      <c r="D43" s="234" t="n">
        <v>0.02987681559110131</v>
      </c>
      <c r="E43" s="234" t="n">
        <v>0.02531933524669603</v>
      </c>
      <c r="F43" s="234" t="n">
        <v>0.02531933524669603</v>
      </c>
      <c r="G43" s="40" t="n"/>
    </row>
    <row r="44" ht="15" customHeight="1" s="3">
      <c r="A44" s="17" t="inlineStr">
        <is>
          <t>Eier D dilution (pp)</t>
        </is>
      </c>
      <c r="B44" s="40" t="n"/>
      <c r="C44" s="237" t="n">
        <v>-0.008333333333333331</v>
      </c>
      <c r="D44" s="237" t="n">
        <v>-0.01178985107556536</v>
      </c>
      <c r="E44" s="237" t="n">
        <v>-0.004557480344405285</v>
      </c>
      <c r="F44" s="237" t="n">
        <v>-0.02468066475330398</v>
      </c>
      <c r="G44" s="40" t="n"/>
    </row>
    <row r="45"/>
    <row r="46">
      <c r="A46" s="69" t="inlineStr">
        <is>
          <t>European VC Dilution Benchmarks</t>
        </is>
      </c>
    </row>
    <row r="47" ht="15" customHeight="1" s="3">
      <c r="A47" s="17" t="inlineStr">
        <is>
          <t>Typical Seed dilution (Europe)</t>
        </is>
      </c>
      <c r="B47" s="36" t="inlineStr">
        <is>
          <t>10-25%</t>
        </is>
      </c>
      <c r="C47" s="40" t="n"/>
      <c r="D47" s="40" t="n"/>
      <c r="E47" s="40" t="n"/>
      <c r="F47" s="40" t="n"/>
      <c r="G47" s="18" t="inlineStr">
        <is>
          <t>Aurelian: 28.3% (capital intensity premium)</t>
        </is>
      </c>
    </row>
    <row r="48" ht="15" customHeight="1" s="3">
      <c r="A48" s="17" t="inlineStr">
        <is>
          <t>Typical Serie A dilution (Europe)</t>
        </is>
      </c>
      <c r="B48" s="36" t="inlineStr">
        <is>
          <t>20-30%</t>
        </is>
      </c>
      <c r="C48" s="40" t="n"/>
      <c r="D48" s="40" t="n"/>
      <c r="E48" s="40" t="n"/>
      <c r="F48" s="40" t="n"/>
      <c r="G48" s="18" t="inlineStr">
        <is>
          <t>Aurelian: 15.3% (below market — strong position)</t>
        </is>
      </c>
    </row>
    <row r="49" ht="15" customHeight="1" s="3">
      <c r="A49" s="17" t="inlineStr">
        <is>
          <t>Founders retaining &gt;50% post-A</t>
        </is>
      </c>
      <c r="B49" s="36" t="inlineStr">
        <is>
          <t>Best practice</t>
        </is>
      </c>
      <c r="C49" s="40" t="n"/>
      <c r="D49" s="40" t="n"/>
      <c r="E49" s="40" t="n"/>
      <c r="F49" s="40" t="n"/>
      <c r="G49" s="18" t="inlineStr">
        <is>
          <t>Aurelian: 50.6% ✓ — maintains control</t>
        </is>
      </c>
    </row>
    <row r="50" ht="15" customHeight="1" s="3"/>
    <row r="51" ht="15" customHeight="1" s="3"/>
    <row r="52">
      <c r="A52" s="16" t="inlineStr">
        <is>
          <t>4. Exit Value Allocation (2035 Scenario)</t>
        </is>
      </c>
      <c r="B52" s="29" t="n"/>
      <c r="C52" s="29" t="n"/>
      <c r="D52" s="29" t="n"/>
      <c r="E52" s="29" t="n"/>
      <c r="F52" s="29" t="n"/>
      <c r="G52" s="29" t="n"/>
    </row>
    <row r="53" ht="15" customHeight="1" s="3">
      <c r="A53" s="69" t="inlineStr">
        <is>
          <t>Exit Parameters</t>
        </is>
      </c>
    </row>
    <row r="54" ht="15" customHeight="1" s="3">
      <c r="A54" s="17" t="inlineStr">
        <is>
          <t>EBITDA at exit (MNOK)</t>
        </is>
      </c>
      <c r="B54" s="92" t="n">
        <v>222</v>
      </c>
      <c r="C54" s="40" t="n"/>
      <c r="D54" s="40" t="n"/>
      <c r="E54" s="40" t="n"/>
      <c r="F54" s="40" t="n"/>
      <c r="G54" s="18" t="inlineStr">
        <is>
          <t>P&amp;L: steady state after Customer Program</t>
        </is>
      </c>
    </row>
    <row r="55" ht="15" customHeight="1" s="3">
      <c r="A55" s="17" t="inlineStr">
        <is>
          <t>EBITDA multiple (Industry 4.0)</t>
        </is>
      </c>
      <c r="B55" s="93" t="inlineStr">
        <is>
          <t>10-11x</t>
        </is>
      </c>
      <c r="C55" s="40" t="n"/>
      <c r="D55" s="40" t="n"/>
      <c r="E55" s="40" t="n"/>
      <c r="F55" s="40" t="n"/>
      <c r="G55" s="18" t="inlineStr">
        <is>
          <t>Industrial IoT range (European benchmarks)</t>
        </is>
      </c>
    </row>
    <row r="56" ht="15" customHeight="1" s="3">
      <c r="A56" s="17" t="inlineStr">
        <is>
          <t>Exit valuation (MNOK)</t>
        </is>
      </c>
      <c r="B56" s="92" t="n">
        <v>2300</v>
      </c>
      <c r="C56" s="40" t="n"/>
      <c r="D56" s="40" t="n"/>
      <c r="E56" s="40" t="n"/>
      <c r="F56" s="40" t="n"/>
      <c r="G56" s="18" t="inlineStr">
        <is>
          <t>Conservative: 222 × 10.4x ≈ 2,300</t>
        </is>
      </c>
    </row>
    <row r="57" ht="15" customHeight="1" s="3"/>
    <row r="58">
      <c r="B58" s="81" t="inlineStr">
        <is>
          <t>Ownership %</t>
        </is>
      </c>
      <c r="C58" s="81" t="inlineStr">
        <is>
          <t>Value (MNOK)</t>
        </is>
      </c>
      <c r="D58" s="81" t="inlineStr">
        <is>
          <t>Investment</t>
        </is>
      </c>
      <c r="E58" s="81" t="inlineStr">
        <is>
          <t>ROI (x)</t>
        </is>
      </c>
      <c r="F58" s="81" t="inlineStr">
        <is>
          <t>Market Exp.</t>
        </is>
      </c>
      <c r="G58" s="35" t="inlineStr">
        <is>
          <t>Notes</t>
        </is>
      </c>
    </row>
    <row r="59" ht="15" customHeight="1" s="3">
      <c r="A59" s="83" t="inlineStr">
        <is>
          <t>Eier A</t>
        </is>
      </c>
      <c r="B59" s="232" t="n">
        <v>0.2690179369961453</v>
      </c>
      <c r="C59" s="94" t="n">
        <v>619</v>
      </c>
      <c r="D59" s="40" t="n"/>
      <c r="E59" s="40" t="n"/>
      <c r="F59" s="95" t="n"/>
      <c r="G59" s="40" t="n"/>
    </row>
    <row r="60" ht="15" customHeight="1" s="3">
      <c r="A60" s="83" t="inlineStr">
        <is>
          <t>Eier B</t>
        </is>
      </c>
      <c r="B60" s="232" t="n">
        <v>0.1614107621976872</v>
      </c>
      <c r="C60" s="94" t="n">
        <v>371</v>
      </c>
      <c r="D60" s="40" t="n"/>
      <c r="E60" s="40" t="n"/>
      <c r="F60" s="95" t="n"/>
      <c r="G60" s="40" t="n"/>
    </row>
    <row r="61" ht="15" customHeight="1" s="3">
      <c r="A61" s="83" t="inlineStr">
        <is>
          <t>Eier C</t>
        </is>
      </c>
      <c r="B61" s="232" t="n">
        <v>0.05063867049339205</v>
      </c>
      <c r="C61" s="94" t="n">
        <v>116</v>
      </c>
      <c r="D61" s="40" t="n"/>
      <c r="E61" s="40" t="n"/>
      <c r="F61" s="95" t="n"/>
      <c r="G61" s="40" t="n"/>
    </row>
    <row r="62" ht="15" customHeight="1" s="3">
      <c r="A62" s="83" t="inlineStr">
        <is>
          <t>Eier D</t>
        </is>
      </c>
      <c r="B62" s="232" t="n">
        <v>0.02531933524669603</v>
      </c>
      <c r="C62" s="94" t="n">
        <v>58</v>
      </c>
      <c r="D62" s="40" t="n"/>
      <c r="E62" s="40" t="n"/>
      <c r="F62" s="95" t="n"/>
      <c r="G62" s="40" t="n"/>
    </row>
    <row r="63">
      <c r="A63" s="85" t="inlineStr">
        <is>
          <t>FOUNDERS TOTAL</t>
        </is>
      </c>
      <c r="B63" s="233" t="n">
        <v>0.5063867049339205</v>
      </c>
      <c r="C63" s="96" t="n">
        <v>1165</v>
      </c>
      <c r="D63" s="77" t="n"/>
      <c r="E63" s="77" t="n"/>
      <c r="F63" s="97" t="inlineStr">
        <is>
          <t>Sweat equity ~7-9 MNOK</t>
        </is>
      </c>
      <c r="G63" s="77" t="n"/>
    </row>
    <row r="64" ht="15.75" customHeight="1" s="3"/>
    <row r="65">
      <c r="A65" s="17" t="inlineStr">
        <is>
          <t>PreSeed investors</t>
        </is>
      </c>
      <c r="B65" s="234" t="n">
        <v>0.1012</v>
      </c>
      <c r="C65" s="98" t="n">
        <v>233</v>
      </c>
      <c r="D65" s="213" t="n">
        <v>5</v>
      </c>
      <c r="E65" s="238" t="n">
        <v>46.6</v>
      </c>
      <c r="F65" s="95" t="inlineStr">
        <is>
          <t>20-40x ✓</t>
        </is>
      </c>
      <c r="G65" s="40" t="n"/>
    </row>
    <row r="66">
      <c r="A66" s="17" t="inlineStr">
        <is>
          <t>Seed investors</t>
        </is>
      </c>
      <c r="B66" s="234" t="n">
        <v>0.2398</v>
      </c>
      <c r="C66" s="98" t="n">
        <v>552</v>
      </c>
      <c r="D66" s="213" t="n">
        <v>51.3</v>
      </c>
      <c r="E66" s="238" t="n">
        <v>10.8</v>
      </c>
      <c r="F66" s="95" t="inlineStr">
        <is>
          <t>10-25x ✓</t>
        </is>
      </c>
      <c r="G66" s="40" t="n"/>
    </row>
    <row r="67" ht="15" customHeight="1" s="3">
      <c r="A67" s="17" t="inlineStr">
        <is>
          <t>Serie A investors</t>
        </is>
      </c>
      <c r="B67" s="234" t="n">
        <v>0.1525</v>
      </c>
      <c r="C67" s="98" t="n">
        <v>351</v>
      </c>
      <c r="D67" s="213" t="n">
        <v>45</v>
      </c>
      <c r="E67" s="238" t="n">
        <v>7.8</v>
      </c>
      <c r="F67" s="95" t="inlineStr">
        <is>
          <t>5-10x ✓</t>
        </is>
      </c>
      <c r="G67" s="40" t="n"/>
    </row>
    <row r="68" ht="27.75" customHeight="1" s="3">
      <c r="A68" s="62" t="inlineStr">
        <is>
          <t>INVESTORS TOTAL</t>
        </is>
      </c>
      <c r="B68" s="239" t="n">
        <v>0.494</v>
      </c>
      <c r="C68" s="101" t="n">
        <v>1136</v>
      </c>
      <c r="D68" s="240" t="n">
        <v>101.3</v>
      </c>
      <c r="E68" s="241" t="n">
        <v>11.2</v>
      </c>
      <c r="F68" s="97" t="inlineStr">
        <is>
          <t>Weighted avg</t>
        </is>
      </c>
      <c r="G68" s="77" t="n"/>
    </row>
    <row r="69" ht="15" customHeight="1" s="3"/>
    <row r="70" ht="15" customHeight="1" s="3">
      <c r="A70" s="104" t="inlineStr">
        <is>
          <t>TOTAL EXIT VALUE</t>
        </is>
      </c>
      <c r="B70" s="105" t="n"/>
      <c r="C70" s="106" t="n">
        <v>2300</v>
      </c>
      <c r="D70" s="105" t="n"/>
      <c r="E70" s="105" t="n"/>
      <c r="F70" s="105" t="n"/>
      <c r="G70" s="105" t="n"/>
    </row>
    <row r="71" ht="15" customHeight="1" s="3"/>
    <row r="72" ht="15" customHeight="1" s="3"/>
    <row r="73" ht="15" customHeight="1" s="3">
      <c r="A73" s="16" t="inlineStr">
        <is>
          <t>5. Investor ROI Sensitivity (Exit Multiple)</t>
        </is>
      </c>
      <c r="B73" s="29" t="n"/>
      <c r="C73" s="29" t="n"/>
      <c r="D73" s="29" t="n"/>
      <c r="E73" s="29" t="n"/>
      <c r="F73" s="29" t="n"/>
      <c r="G73" s="29" t="n"/>
    </row>
    <row r="74">
      <c r="B74" s="81" t="inlineStr">
        <is>
          <t>8x
(Bear)</t>
        </is>
      </c>
      <c r="C74" s="81" t="inlineStr">
        <is>
          <t>10x
(Base)</t>
        </is>
      </c>
      <c r="D74" s="81" t="inlineStr">
        <is>
          <t>11x
(Bull)</t>
        </is>
      </c>
      <c r="E74" s="81" t="inlineStr">
        <is>
          <t>13x
(Upside)</t>
        </is>
      </c>
      <c r="G74" s="35" t="inlineStr">
        <is>
          <t>Notes</t>
        </is>
      </c>
    </row>
    <row r="75">
      <c r="A75" s="25" t="inlineStr">
        <is>
          <t>Exit valuation (MNOK)</t>
        </is>
      </c>
      <c r="B75" s="107" t="n">
        <v>1776</v>
      </c>
      <c r="C75" s="107" t="n">
        <v>2220</v>
      </c>
      <c r="D75" s="107" t="n">
        <v>2442</v>
      </c>
      <c r="E75" s="107" t="n">
        <v>2886</v>
      </c>
      <c r="F75" s="40" t="n"/>
      <c r="G75" s="40" t="n"/>
    </row>
    <row r="76" ht="15" customHeight="1" s="3">
      <c r="A76" s="17" t="inlineStr">
        <is>
          <t>PreSeed ROI (invested 5M)</t>
        </is>
      </c>
      <c r="B76" s="238" t="n">
        <v>35.94624</v>
      </c>
      <c r="C76" s="238" t="n">
        <v>44.9328</v>
      </c>
      <c r="D76" s="238" t="n">
        <v>49.42608</v>
      </c>
      <c r="E76" s="238" t="n">
        <v>58.41264</v>
      </c>
      <c r="F76" s="40" t="n"/>
      <c r="G76" s="40" t="n"/>
    </row>
    <row r="77" ht="15" customHeight="1" s="3">
      <c r="A77" s="17" t="inlineStr">
        <is>
          <t>Seed ROI (invested 51.3M)</t>
        </is>
      </c>
      <c r="B77" s="238" t="n">
        <v>8.301847953216379</v>
      </c>
      <c r="C77" s="238" t="n">
        <v>10.3773099415205</v>
      </c>
      <c r="D77" s="238" t="n">
        <v>11.4150409356725</v>
      </c>
      <c r="E77" s="238" t="n">
        <v>13.4905029239766</v>
      </c>
      <c r="F77" s="40" t="n"/>
      <c r="G77" s="40" t="n"/>
    </row>
    <row r="78" ht="15" customHeight="1" s="3">
      <c r="A78" s="17" t="inlineStr">
        <is>
          <t>Serie A ROI (invested 45M)</t>
        </is>
      </c>
      <c r="B78" s="238" t="n">
        <v>6.01866666666667</v>
      </c>
      <c r="C78" s="238" t="n">
        <v>7.52333333333333</v>
      </c>
      <c r="D78" s="238" t="n">
        <v>8.27566666666667</v>
      </c>
      <c r="E78" s="238" t="n">
        <v>9.78033333333333</v>
      </c>
      <c r="F78" s="40" t="n"/>
      <c r="G78" s="40" t="n"/>
    </row>
    <row r="79" ht="15" customHeight="1" s="3">
      <c r="A79" s="17" t="inlineStr">
        <is>
          <t>Founders value (MNOK)</t>
        </is>
      </c>
      <c r="B79" s="107" t="n">
        <v>898.6559999999999</v>
      </c>
      <c r="C79" s="107" t="n">
        <v>1123.32</v>
      </c>
      <c r="D79" s="107" t="n">
        <v>1235.652</v>
      </c>
      <c r="E79" s="107" t="n">
        <v>1460.316</v>
      </c>
      <c r="F79" s="40" t="n"/>
      <c r="G79" s="40" t="n"/>
    </row>
    <row r="80" ht="15" customHeight="1" s="3"/>
    <row r="81" ht="15" customHeight="1" s="3"/>
    <row r="82" ht="15" customHeight="1" s="3">
      <c r="A82" s="16" t="inlineStr">
        <is>
          <t>6. Founder Vesting Schedule</t>
        </is>
      </c>
      <c r="B82" s="29" t="n"/>
      <c r="C82" s="29" t="n"/>
      <c r="D82" s="29" t="n"/>
      <c r="E82" s="29" t="n"/>
      <c r="F82" s="29" t="n"/>
      <c r="G82" s="29" t="n"/>
    </row>
    <row r="83">
      <c r="A83" s="17" t="inlineStr">
        <is>
          <t>Vesting period</t>
        </is>
      </c>
      <c r="B83" s="36" t="inlineStr">
        <is>
          <t>4 years</t>
        </is>
      </c>
      <c r="C83" s="40" t="n"/>
      <c r="D83" s="40" t="n"/>
      <c r="E83" s="40" t="n"/>
      <c r="F83" s="40" t="n"/>
      <c r="G83" s="18" t="inlineStr">
        <is>
          <t>Standard VC practice</t>
        </is>
      </c>
    </row>
    <row r="84" ht="15" customHeight="1" s="3">
      <c r="A84" s="17" t="inlineStr">
        <is>
          <t>Cliff period</t>
        </is>
      </c>
      <c r="B84" s="36" t="inlineStr">
        <is>
          <t>1 year</t>
        </is>
      </c>
      <c r="C84" s="40" t="n"/>
      <c r="D84" s="40" t="n"/>
      <c r="E84" s="40" t="n"/>
      <c r="F84" s="40" t="n"/>
      <c r="G84" s="18" t="inlineStr">
        <is>
          <t>No vesting if departure before 12 months</t>
        </is>
      </c>
    </row>
    <row r="85" ht="27.75" customHeight="1" s="3">
      <c r="A85" s="17" t="inlineStr">
        <is>
          <t>Vesting frequency</t>
        </is>
      </c>
      <c r="B85" s="36" t="inlineStr">
        <is>
          <t>Monthly (after cliff)</t>
        </is>
      </c>
      <c r="C85" s="40" t="n"/>
      <c r="D85" s="40" t="n"/>
      <c r="E85" s="40" t="n"/>
      <c r="F85" s="40" t="n"/>
      <c r="G85" s="18" t="inlineStr">
        <is>
          <t>1/48 per month after cliff</t>
        </is>
      </c>
    </row>
    <row r="86" ht="15" customHeight="1" s="3">
      <c r="A86" s="17" t="inlineStr">
        <is>
          <t>Acceleration (exit)</t>
        </is>
      </c>
      <c r="B86" s="36" t="inlineStr">
        <is>
          <t>Double-trigger, 50%</t>
        </is>
      </c>
      <c r="C86" s="40" t="n"/>
      <c r="D86" s="40" t="n"/>
      <c r="E86" s="40" t="n"/>
      <c r="F86" s="40" t="n"/>
      <c r="G86" s="18" t="inlineStr">
        <is>
          <t>50% immediate vest on acquisition</t>
        </is>
      </c>
    </row>
    <row r="87" ht="15" customHeight="1" s="3">
      <c r="A87" s="17" t="inlineStr">
        <is>
          <t>Acceleration (termination w/o cause)</t>
        </is>
      </c>
      <c r="B87" s="36" t="inlineStr">
        <is>
          <t>12-month</t>
        </is>
      </c>
      <c r="C87" s="40" t="n"/>
      <c r="D87" s="40" t="n"/>
      <c r="E87" s="40" t="n"/>
      <c r="F87" s="40" t="n"/>
      <c r="G87" s="18" t="inlineStr">
        <is>
          <t>Protects founders</t>
        </is>
      </c>
    </row>
    <row r="88" ht="15" customHeight="1" s="3">
      <c r="A88" s="17" t="inlineStr">
        <is>
          <t>Employee incentive (ESOP)</t>
        </is>
      </c>
      <c r="B88" s="36" t="inlineStr">
        <is>
          <t>10% at Site level</t>
        </is>
      </c>
      <c r="C88" s="40" t="n"/>
      <c r="D88" s="40" t="n"/>
      <c r="E88" s="40" t="n"/>
      <c r="F88" s="40" t="n"/>
      <c r="G88" s="18" t="inlineStr">
        <is>
          <t>Daughter company — no parent dilution</t>
        </is>
      </c>
    </row>
    <row r="89" ht="15" customHeight="1" s="3"/>
    <row r="90" ht="15" customHeight="1" s="3">
      <c r="A90" s="69" t="inlineStr">
        <is>
          <t>Vesting Timeline (cumulative %)</t>
        </is>
      </c>
    </row>
    <row r="91" ht="15" customHeight="1" s="3">
      <c r="B91" s="81" t="inlineStr">
        <is>
          <t>Month 0</t>
        </is>
      </c>
      <c r="C91" s="81" t="inlineStr">
        <is>
          <t>Month 12
(Cliff)</t>
        </is>
      </c>
      <c r="D91" s="81" t="inlineStr">
        <is>
          <t>Month 24</t>
        </is>
      </c>
      <c r="E91" s="81" t="inlineStr">
        <is>
          <t>Month 36</t>
        </is>
      </c>
      <c r="F91" s="81" t="inlineStr">
        <is>
          <t>Month 48
(Full)</t>
        </is>
      </c>
    </row>
    <row r="92">
      <c r="A92" s="17" t="inlineStr">
        <is>
          <t>Eier A vested %</t>
        </is>
      </c>
      <c r="B92" s="242" t="n">
        <v>0</v>
      </c>
      <c r="C92" s="242" t="n">
        <v>0.25</v>
      </c>
      <c r="D92" s="242" t="n">
        <v>0.5</v>
      </c>
      <c r="E92" s="242" t="n">
        <v>0.75</v>
      </c>
      <c r="F92" s="242" t="n">
        <v>1</v>
      </c>
      <c r="G92" s="40" t="n"/>
    </row>
    <row r="93">
      <c r="A93" s="17" t="inlineStr">
        <is>
          <t>Eier A vested shares (of 53.125%)</t>
        </is>
      </c>
      <c r="B93" s="217" t="n">
        <v>0</v>
      </c>
      <c r="C93" s="217" t="n">
        <v>0.1328125</v>
      </c>
      <c r="D93" s="217" t="n">
        <v>0.265625</v>
      </c>
      <c r="E93" s="217" t="n">
        <v>0.3984375</v>
      </c>
      <c r="F93" s="217" t="n">
        <v>0.53125</v>
      </c>
      <c r="G93" s="40" t="n"/>
    </row>
    <row r="94" ht="15" customHeight="1" s="3">
      <c r="A94" s="17" t="inlineStr">
        <is>
          <t>Eier B vested %</t>
        </is>
      </c>
      <c r="B94" s="242" t="n">
        <v>0</v>
      </c>
      <c r="C94" s="242" t="n">
        <v>0.25</v>
      </c>
      <c r="D94" s="242" t="n">
        <v>0.5</v>
      </c>
      <c r="E94" s="242" t="n">
        <v>0.75</v>
      </c>
      <c r="F94" s="242" t="n">
        <v>1</v>
      </c>
      <c r="G94" s="40" t="n"/>
    </row>
    <row r="95" ht="27.75" customHeight="1" s="3">
      <c r="A95" s="17" t="inlineStr">
        <is>
          <t>Eier B vested shares (of 31.875%)</t>
        </is>
      </c>
      <c r="B95" s="217" t="n">
        <v>0</v>
      </c>
      <c r="C95" s="217" t="n">
        <v>0.07968749999999999</v>
      </c>
      <c r="D95" s="217" t="n">
        <v>0.159375</v>
      </c>
      <c r="E95" s="217" t="n">
        <v>0.2390625</v>
      </c>
      <c r="F95" s="217" t="n">
        <v>0.31875</v>
      </c>
      <c r="G95" s="40" t="n"/>
    </row>
    <row r="96" ht="15" customHeight="1" s="3">
      <c r="A96" s="17" t="inlineStr">
        <is>
          <t>Eier C vested %</t>
        </is>
      </c>
      <c r="B96" s="242" t="n">
        <v>0</v>
      </c>
      <c r="C96" s="242" t="n">
        <v>0.25</v>
      </c>
      <c r="D96" s="242" t="n">
        <v>0.5</v>
      </c>
      <c r="E96" s="242" t="n">
        <v>0.75</v>
      </c>
      <c r="F96" s="242" t="n">
        <v>1</v>
      </c>
      <c r="G96" s="40" t="n"/>
    </row>
    <row r="97" ht="15" customHeight="1" s="3">
      <c r="A97" s="17" t="inlineStr">
        <is>
          <t>Eier C vested shares (of 10.00%)</t>
        </is>
      </c>
      <c r="B97" s="217" t="n">
        <v>0</v>
      </c>
      <c r="C97" s="217" t="n">
        <v>0.025</v>
      </c>
      <c r="D97" s="217" t="n">
        <v>0.05</v>
      </c>
      <c r="E97" s="217" t="n">
        <v>0.075</v>
      </c>
      <c r="F97" s="217" t="n">
        <v>0.1</v>
      </c>
      <c r="G97" s="40" t="n"/>
    </row>
    <row r="98" ht="15" customHeight="1" s="3">
      <c r="A98" s="17" t="inlineStr">
        <is>
          <t>Eier D vested %</t>
        </is>
      </c>
      <c r="B98" s="242" t="n">
        <v>0</v>
      </c>
      <c r="C98" s="242" t="n">
        <v>0.25</v>
      </c>
      <c r="D98" s="242" t="n">
        <v>0.5</v>
      </c>
      <c r="E98" s="242" t="n">
        <v>0.75</v>
      </c>
      <c r="F98" s="242" t="n">
        <v>1</v>
      </c>
      <c r="G98" s="40" t="n"/>
    </row>
    <row r="99" ht="15" customHeight="1" s="3">
      <c r="A99" s="17" t="inlineStr">
        <is>
          <t>Eier D vested shares (of 5.00%)</t>
        </is>
      </c>
      <c r="B99" s="242" t="n">
        <v>0</v>
      </c>
      <c r="C99" s="242" t="n">
        <v>0.0125</v>
      </c>
      <c r="D99" s="242" t="n">
        <v>0.025</v>
      </c>
      <c r="E99" s="242" t="n">
        <v>0.03750000000000001</v>
      </c>
      <c r="F99" s="242" t="n">
        <v>0.05</v>
      </c>
      <c r="G99" s="40" t="n"/>
    </row>
    <row r="100"/>
    <row r="101" ht="15" customHeight="1" s="3"/>
    <row r="102" ht="15" customHeight="1" s="3">
      <c r="A102" s="16" t="inlineStr">
        <is>
          <t>7. Board Composition &amp; Governance</t>
        </is>
      </c>
      <c r="B102" s="29" t="n"/>
      <c r="C102" s="29" t="n"/>
      <c r="D102" s="29" t="n"/>
      <c r="E102" s="29" t="n"/>
      <c r="F102" s="29" t="n"/>
      <c r="G102" s="29" t="n"/>
    </row>
    <row r="103" ht="15" customHeight="1" s="3">
      <c r="B103" s="81" t="inlineStr">
        <is>
          <t>Pre-Seed
(Current)</t>
        </is>
      </c>
      <c r="C103" s="81" t="inlineStr">
        <is>
          <t>Post-Seed</t>
        </is>
      </c>
      <c r="D103" s="81" t="inlineStr">
        <is>
          <t>Post-Serie A</t>
        </is>
      </c>
      <c r="G103" s="35" t="inlineStr">
        <is>
          <t>Notes</t>
        </is>
      </c>
    </row>
    <row r="104" ht="15" customHeight="1" s="3">
      <c r="A104" s="17" t="inlineStr">
        <is>
          <t>Founder seats</t>
        </is>
      </c>
      <c r="B104" s="36" t="n">
        <v>2</v>
      </c>
      <c r="C104" s="36" t="n">
        <v>2</v>
      </c>
      <c r="D104" s="36" t="n">
        <v>2</v>
      </c>
      <c r="E104" s="40" t="n"/>
      <c r="F104" s="40" t="n"/>
      <c r="G104" s="18" t="inlineStr">
        <is>
          <t>André Tandberg (CEO), Tore Ausland (BD)</t>
        </is>
      </c>
    </row>
    <row r="105" ht="15" customHeight="1" s="3">
      <c r="A105" s="17" t="inlineStr">
        <is>
          <t>Independent seats</t>
        </is>
      </c>
      <c r="B105" s="36" t="n">
        <v>1</v>
      </c>
      <c r="C105" s="36" t="n">
        <v>1</v>
      </c>
      <c r="D105" s="36" t="n">
        <v>1</v>
      </c>
      <c r="E105" s="40" t="n"/>
      <c r="F105" s="40" t="n"/>
      <c r="G105" s="18" t="inlineStr">
        <is>
          <t>Henrik Strøm (Financial expertise)</t>
        </is>
      </c>
    </row>
    <row r="106">
      <c r="A106" s="17" t="inlineStr">
        <is>
          <t>Investor seats</t>
        </is>
      </c>
      <c r="B106" s="36" t="n">
        <v>0</v>
      </c>
      <c r="C106" s="36" t="inlineStr">
        <is>
          <t>1-2</t>
        </is>
      </c>
      <c r="D106" s="36" t="n">
        <v>2</v>
      </c>
      <c r="E106" s="40" t="n"/>
      <c r="F106" s="40" t="n"/>
      <c r="G106" s="18" t="inlineStr">
        <is>
          <t>Lead investor from each round</t>
        </is>
      </c>
    </row>
    <row r="107">
      <c r="A107" s="17" t="inlineStr">
        <is>
          <t>Total board seats</t>
        </is>
      </c>
      <c r="B107" s="36" t="n">
        <v>3</v>
      </c>
      <c r="C107" s="36" t="inlineStr">
        <is>
          <t>4-5</t>
        </is>
      </c>
      <c r="D107" s="36" t="n">
        <v>5</v>
      </c>
      <c r="E107" s="40" t="n"/>
      <c r="F107" s="40" t="n"/>
      <c r="G107" s="18" t="n"/>
    </row>
    <row r="108" ht="15" customHeight="1" s="3"/>
    <row r="109" ht="15" customHeight="1" s="3">
      <c r="A109" s="17" t="inlineStr">
        <is>
          <t>Founder voting control</t>
        </is>
      </c>
      <c r="B109" s="36" t="inlineStr">
        <is>
          <t>Majority</t>
        </is>
      </c>
      <c r="C109" s="36" t="inlineStr">
        <is>
          <t>Shared</t>
        </is>
      </c>
      <c r="D109" s="36" t="inlineStr">
        <is>
          <t>Shared</t>
        </is>
      </c>
      <c r="E109" s="40" t="n"/>
      <c r="F109" s="40" t="n"/>
      <c r="G109" s="18" t="inlineStr">
        <is>
          <t>50.6% ownership post-Serie A</t>
        </is>
      </c>
    </row>
    <row r="110" ht="15" customHeight="1" s="3">
      <c r="A110" s="17" t="inlineStr">
        <is>
          <t>Pro-rata rights</t>
        </is>
      </c>
      <c r="B110" s="36" t="inlineStr">
        <is>
          <t>N/A</t>
        </is>
      </c>
      <c r="C110" s="36" t="inlineStr">
        <is>
          <t>Yes</t>
        </is>
      </c>
      <c r="D110" s="36" t="inlineStr">
        <is>
          <t>Yes</t>
        </is>
      </c>
      <c r="E110" s="40" t="n"/>
      <c r="F110" s="40" t="n"/>
      <c r="G110" s="18" t="inlineStr">
        <is>
          <t>Right to participate in future rounds</t>
        </is>
      </c>
    </row>
    <row r="111" ht="15" customHeight="1" s="3">
      <c r="A111" s="17" t="inlineStr">
        <is>
          <t>Board observer</t>
        </is>
      </c>
      <c r="B111" s="36" t="inlineStr">
        <is>
          <t>N/A</t>
        </is>
      </c>
      <c r="C111" s="36" t="inlineStr">
        <is>
          <t>Optional</t>
        </is>
      </c>
      <c r="D111" s="36" t="inlineStr">
        <is>
          <t>Optional</t>
        </is>
      </c>
      <c r="E111" s="40" t="n"/>
      <c r="F111" s="40" t="n"/>
      <c r="G111" s="18" t="inlineStr">
        <is>
          <t>Non-voting seat for co-investors</t>
        </is>
      </c>
    </row>
    <row r="112" ht="15" customHeight="1" s="3">
      <c r="A112" s="17" t="inlineStr">
        <is>
          <t>Liquidation preference</t>
        </is>
      </c>
      <c r="B112" s="36" t="inlineStr">
        <is>
          <t>N/A</t>
        </is>
      </c>
      <c r="C112" s="36" t="inlineStr">
        <is>
          <t>1x NP</t>
        </is>
      </c>
      <c r="D112" s="36" t="inlineStr">
        <is>
          <t>1x NP</t>
        </is>
      </c>
      <c r="E112" s="40" t="n"/>
      <c r="F112" s="40" t="n"/>
      <c r="G112" s="18" t="inlineStr">
        <is>
          <t>Non-participating — investors get back first</t>
        </is>
      </c>
    </row>
    <row r="113" ht="15" customHeight="1" s="3">
      <c r="A113" s="17" t="inlineStr">
        <is>
          <t>Anti-dilution</t>
        </is>
      </c>
      <c r="B113" s="36" t="inlineStr">
        <is>
          <t>N/A</t>
        </is>
      </c>
      <c r="C113" s="36" t="inlineStr">
        <is>
          <t>WA</t>
        </is>
      </c>
      <c r="D113" s="36" t="inlineStr">
        <is>
          <t>WA</t>
        </is>
      </c>
      <c r="E113" s="40" t="n"/>
      <c r="F113" s="40" t="n"/>
      <c r="G113" s="18" t="inlineStr">
        <is>
          <t>Weighted average protection</t>
        </is>
      </c>
    </row>
    <row r="114" ht="15" customHeight="1" s="3"/>
    <row r="115" ht="15" customHeight="1" s="3"/>
    <row r="116" ht="15" customHeight="1" s="3">
      <c r="A116" s="16" t="inlineStr">
        <is>
          <t>Notes &amp; Assumptions</t>
        </is>
      </c>
      <c r="B116" s="29" t="n"/>
      <c r="C116" s="29" t="n"/>
      <c r="D116" s="29" t="n"/>
      <c r="E116" s="29" t="n"/>
      <c r="F116" s="29" t="n"/>
      <c r="G116" s="29" t="n"/>
    </row>
    <row r="117">
      <c r="A117" s="14" t="inlineStr">
        <is>
          <t>1. All ownership percentages are at parent (Holdingselskap) level. REV6 §4.2 is authoritative source.</t>
        </is>
      </c>
    </row>
    <row r="118">
      <c r="A118" s="14" t="inlineStr">
        <is>
          <t>2. Employee incentive programs (10%) structured within each daughter company (Site), not at parent level.</t>
        </is>
      </c>
    </row>
    <row r="119">
      <c r="A119" s="14" t="inlineStr">
        <is>
          <t>3. No further dilution at parent level after Serie A in base case.</t>
        </is>
      </c>
    </row>
    <row r="120">
      <c r="A120" s="14" t="inlineStr">
        <is>
          <t>4. REV6 numbers: PreSeed 5M@25M pre, Seed 51.3M@130M pre, Serie A 45M@250M pre.</t>
        </is>
      </c>
    </row>
    <row r="121">
      <c r="A121" s="14" t="inlineStr">
        <is>
          <t>5. Exit scenario uses conservative 10x EBITDA (range 10-11x for Industrial IoT per European benchmarks).</t>
        </is>
      </c>
    </row>
    <row r="122">
      <c r="A122" s="14" t="inlineStr">
        <is>
          <t>6. Founder sweat equity contribution estimated at 7-9 MNOK (see 02_Founder_Contribution_PreSeed_Valuation).</t>
        </is>
      </c>
    </row>
    <row r="123">
      <c r="A123" s="14" t="inlineStr">
        <is>
          <t>7. All three investor groups deliver ROI within or above European VC market expectations.</t>
        </is>
      </c>
    </row>
    <row r="124">
      <c r="A124" s="14" t="inlineStr">
        <is>
          <t>8. Vesting terms are recommended structure — to be finalized in shareholder agreement.</t>
        </is>
      </c>
    </row>
  </sheetData>
  <mergeCells count="24">
    <mergeCell ref="A14:G14"/>
    <mergeCell ref="B81:C81"/>
    <mergeCell ref="A4:G4"/>
    <mergeCell ref="A113:F113"/>
    <mergeCell ref="B77:C77"/>
    <mergeCell ref="A2:F2"/>
    <mergeCell ref="A67:G67"/>
    <mergeCell ref="A116:F116"/>
    <mergeCell ref="A109:F109"/>
    <mergeCell ref="B82:C82"/>
    <mergeCell ref="A115:F115"/>
    <mergeCell ref="A112:F112"/>
    <mergeCell ref="A94:G94"/>
    <mergeCell ref="B78:C78"/>
    <mergeCell ref="A111:F111"/>
    <mergeCell ref="A114:F114"/>
    <mergeCell ref="A108:G108"/>
    <mergeCell ref="A27:G27"/>
    <mergeCell ref="B80:C80"/>
    <mergeCell ref="A1:F1"/>
    <mergeCell ref="A110:F110"/>
    <mergeCell ref="B79:C79"/>
    <mergeCell ref="A76:G76"/>
    <mergeCell ref="A47:G47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FFFF6D00"/>
    <outlinePr summaryBelow="1" summaryRight="1"/>
    <pageSetUpPr/>
  </sheetPr>
  <dimension ref="A1:M103"/>
  <sheetViews>
    <sheetView zoomScaleNormal="100" workbookViewId="0">
      <selection activeCell="A1" sqref="A1:M1"/>
    </sheetView>
  </sheetViews>
  <sheetFormatPr baseColWidth="10" defaultColWidth="8.7109375" defaultRowHeight="15"/>
  <cols>
    <col width="38" customWidth="1" style="3" min="1" max="1"/>
    <col width="14" customWidth="1" style="3" min="2" max="13"/>
    <col width="40" customWidth="1" style="3" min="14" max="14"/>
  </cols>
  <sheetData>
    <row r="1" ht="31.5" customHeight="1" s="3">
      <c r="A1" s="12" t="inlineStr">
        <is>
          <t>AURELIAN MANUFACTURING — SENSITIVITY ANALYSIS</t>
        </is>
      </c>
    </row>
    <row r="2" ht="15" customHeight="1" s="3">
      <c r="A2" s="14" t="inlineStr">
        <is>
          <t>Source: REV6 §5. All tables use Assumptions sheet inputs. Steady state = 20 CNC, 8% variable cost, before Customer Program.</t>
        </is>
      </c>
    </row>
    <row r="4" ht="15" customHeight="1" s="3">
      <c r="A4" s="16" t="inlineStr">
        <is>
          <t>1. Utilization Sensitivity — 20 CNC, Steady State (Before Customer Program)</t>
        </is>
      </c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</row>
    <row r="5" ht="15" customHeight="1" s="3">
      <c r="A5" s="69" t="inlineStr">
        <is>
          <t>Constants:</t>
        </is>
      </c>
      <c r="B5" s="14" t="inlineStr">
        <is>
          <t>CNC machines =</t>
        </is>
      </c>
      <c r="C5" s="109" t="n">
        <v>20</v>
      </c>
      <c r="D5" s="14" t="inlineStr">
        <is>
          <t>Variable cost % =</t>
        </is>
      </c>
      <c r="E5" s="243" t="n">
        <v>0.08</v>
      </c>
      <c r="F5" s="14" t="inlineStr">
        <is>
          <t>Hourly rate =</t>
        </is>
      </c>
      <c r="G5" s="111">
        <f>Assumptions!C8</f>
        <v/>
      </c>
    </row>
    <row r="6" ht="27.75" customHeight="1" s="3">
      <c r="A6" s="81" t="inlineStr">
        <is>
          <t>Utilization %</t>
        </is>
      </c>
      <c r="B6" s="81" t="inlineStr">
        <is>
          <t>Revenue
(MNOK)</t>
        </is>
      </c>
      <c r="C6" s="81" t="inlineStr">
        <is>
          <t>Variable
Costs (8%)</t>
        </is>
      </c>
      <c r="D6" s="81" t="inlineStr">
        <is>
          <t>Fixed
Costs</t>
        </is>
      </c>
      <c r="E6" s="81" t="inlineStr">
        <is>
          <t>Total
Costs</t>
        </is>
      </c>
      <c r="F6" s="81" t="inlineStr">
        <is>
          <t>EBIT
(MNOK)</t>
        </is>
      </c>
      <c r="G6" s="81" t="inlineStr">
        <is>
          <t>EBIT
Margin %</t>
        </is>
      </c>
      <c r="H6" s="81" t="inlineStr">
        <is>
          <t>EBITDA
(MNOK)</t>
        </is>
      </c>
      <c r="I6" s="81" t="inlineStr">
        <is>
          <t>EBITDA
Margin %</t>
        </is>
      </c>
      <c r="J6" s="35" t="inlineStr">
        <is>
          <t>Notes</t>
        </is>
      </c>
    </row>
    <row r="7" ht="15" customHeight="1" s="3">
      <c r="A7" s="244" t="n">
        <v>0.15</v>
      </c>
      <c r="B7" s="245">
        <f>$C$5*Assumptions!$C$7*A7*Assumptions!$C$8/1000000</f>
        <v/>
      </c>
      <c r="C7" s="245">
        <f>B7*$E$5</f>
        <v/>
      </c>
      <c r="D7" s="245" t="n">
        <v>67.5</v>
      </c>
      <c r="E7" s="245">
        <f>C7+D7</f>
        <v/>
      </c>
      <c r="F7" s="245">
        <f>B7-E7</f>
        <v/>
      </c>
      <c r="G7" s="246">
        <f>IF(B7&gt;0,F7/B7,0)</f>
        <v/>
      </c>
      <c r="H7" s="245">
        <f>F7+26.075</f>
        <v/>
      </c>
      <c r="I7" s="246">
        <f>IF(B7&gt;0,H7/B7,0)</f>
        <v/>
      </c>
      <c r="J7" s="14" t="inlineStr">
        <is>
          <t>Machine-level break-even zone</t>
        </is>
      </c>
    </row>
    <row r="8" ht="15" customHeight="1" s="3">
      <c r="A8" s="244" t="n">
        <v>0.2</v>
      </c>
      <c r="B8" s="245">
        <f>$C$5*Assumptions!$C$7*A8*Assumptions!$C$8/1000000</f>
        <v/>
      </c>
      <c r="C8" s="245">
        <f>B8*$E$5</f>
        <v/>
      </c>
      <c r="D8" s="245" t="n">
        <v>67.5</v>
      </c>
      <c r="E8" s="245">
        <f>C8+D8</f>
        <v/>
      </c>
      <c r="F8" s="245">
        <f>B8-E8</f>
        <v/>
      </c>
      <c r="G8" s="246">
        <f>IF(B8&gt;0,F8/B8,0)</f>
        <v/>
      </c>
      <c r="H8" s="245">
        <f>F8+26.075</f>
        <v/>
      </c>
      <c r="I8" s="246">
        <f>IF(B8&gt;0,H8/B8,0)</f>
        <v/>
      </c>
      <c r="J8" s="14" t="inlineStr">
        <is>
          <t>Company break-even (~14-20%)</t>
        </is>
      </c>
    </row>
    <row r="9" ht="15" customHeight="1" s="3">
      <c r="A9" s="244" t="n">
        <v>0.3</v>
      </c>
      <c r="B9" s="245">
        <f>$C$5*Assumptions!$C$7*A9*Assumptions!$C$8/1000000</f>
        <v/>
      </c>
      <c r="C9" s="245">
        <f>B9*$E$5</f>
        <v/>
      </c>
      <c r="D9" s="245" t="n">
        <v>67.5</v>
      </c>
      <c r="E9" s="245">
        <f>C9+D9</f>
        <v/>
      </c>
      <c r="F9" s="245">
        <f>B9-E9</f>
        <v/>
      </c>
      <c r="G9" s="246">
        <f>IF(B9&gt;0,F9/B9,0)</f>
        <v/>
      </c>
      <c r="H9" s="245">
        <f>F9+26.075</f>
        <v/>
      </c>
      <c r="I9" s="246">
        <f>IF(B9&gt;0,H9/B9,0)</f>
        <v/>
      </c>
      <c r="J9" s="14" t="n"/>
    </row>
    <row r="10" ht="15" customHeight="1" s="3">
      <c r="A10" s="244" t="n">
        <v>0.4</v>
      </c>
      <c r="B10" s="245">
        <f>$C$5*Assumptions!$C$7*A10*Assumptions!$C$8/1000000</f>
        <v/>
      </c>
      <c r="C10" s="245">
        <f>B10*$E$5</f>
        <v/>
      </c>
      <c r="D10" s="245" t="n">
        <v>67.5</v>
      </c>
      <c r="E10" s="245">
        <f>C10+D10</f>
        <v/>
      </c>
      <c r="F10" s="245">
        <f>B10-E10</f>
        <v/>
      </c>
      <c r="G10" s="246">
        <f>IF(B10&gt;0,F10/B10,0)</f>
        <v/>
      </c>
      <c r="H10" s="245">
        <f>F10+26.075</f>
        <v/>
      </c>
      <c r="I10" s="246">
        <f>IF(B10&gt;0,H10/B10,0)</f>
        <v/>
      </c>
      <c r="J10" s="14" t="n"/>
    </row>
    <row r="11" ht="15" customHeight="1" s="3">
      <c r="A11" s="244" t="n">
        <v>0.45</v>
      </c>
      <c r="B11" s="245">
        <f>$C$5*Assumptions!$C$7*A11*Assumptions!$C$8/1000000</f>
        <v/>
      </c>
      <c r="C11" s="245">
        <f>B11*$E$5</f>
        <v/>
      </c>
      <c r="D11" s="245" t="n">
        <v>67.5</v>
      </c>
      <c r="E11" s="245">
        <f>C11+D11</f>
        <v/>
      </c>
      <c r="F11" s="245">
        <f>B11-E11</f>
        <v/>
      </c>
      <c r="G11" s="246">
        <f>IF(B11&gt;0,F11/B11,0)</f>
        <v/>
      </c>
      <c r="H11" s="245">
        <f>F11+26.075</f>
        <v/>
      </c>
      <c r="I11" s="246">
        <f>IF(B11&gt;0,H11/B11,0)</f>
        <v/>
      </c>
      <c r="J11" s="14" t="inlineStr">
        <is>
          <t>Customer Program threshold</t>
        </is>
      </c>
    </row>
    <row r="12" ht="15" customHeight="1" s="3">
      <c r="A12" s="244" t="n">
        <v>0.5</v>
      </c>
      <c r="B12" s="245">
        <f>$C$5*Assumptions!$C$7*A12*Assumptions!$C$8/1000000</f>
        <v/>
      </c>
      <c r="C12" s="245">
        <f>B12*$E$5</f>
        <v/>
      </c>
      <c r="D12" s="245" t="n">
        <v>67.5</v>
      </c>
      <c r="E12" s="245">
        <f>C12+D12</f>
        <v/>
      </c>
      <c r="F12" s="245">
        <f>B12-E12</f>
        <v/>
      </c>
      <c r="G12" s="246">
        <f>IF(B12&gt;0,F12/B12,0)</f>
        <v/>
      </c>
      <c r="H12" s="245">
        <f>F12+26.075</f>
        <v/>
      </c>
      <c r="I12" s="246">
        <f>IF(B12&gt;0,H12/B12,0)</f>
        <v/>
      </c>
      <c r="J12" s="14" t="n"/>
    </row>
    <row r="13" ht="15" customHeight="1" s="3">
      <c r="A13" s="247" t="n">
        <v>0.6</v>
      </c>
      <c r="B13" s="248">
        <f>$C$5*Assumptions!$C$7*A13*Assumptions!$C$8/1000000</f>
        <v/>
      </c>
      <c r="C13" s="248">
        <f>B13*$E$5</f>
        <v/>
      </c>
      <c r="D13" s="248" t="n">
        <v>67.5</v>
      </c>
      <c r="E13" s="248">
        <f>C13+D13</f>
        <v/>
      </c>
      <c r="F13" s="249">
        <f>B13-E13</f>
        <v/>
      </c>
      <c r="G13" s="250">
        <f>IF(B13&gt;0,F13/B13,0)</f>
        <v/>
      </c>
      <c r="H13" s="249">
        <f>F13+26.075</f>
        <v/>
      </c>
      <c r="I13" s="250">
        <f>IF(B13&gt;0,H13/B13,0)</f>
        <v/>
      </c>
      <c r="J13" s="14" t="inlineStr">
        <is>
          <t>BASE CASE (REV6 target)</t>
        </is>
      </c>
    </row>
    <row r="14" ht="15" customHeight="1" s="3">
      <c r="A14" s="244" t="n">
        <v>0.65</v>
      </c>
      <c r="B14" s="245">
        <f>$C$5*Assumptions!$C$7*A14*Assumptions!$C$8/1000000</f>
        <v/>
      </c>
      <c r="C14" s="245">
        <f>B14*$E$5</f>
        <v/>
      </c>
      <c r="D14" s="245" t="n">
        <v>67.5</v>
      </c>
      <c r="E14" s="245">
        <f>C14+D14</f>
        <v/>
      </c>
      <c r="F14" s="245">
        <f>B14-E14</f>
        <v/>
      </c>
      <c r="G14" s="246">
        <f>IF(B14&gt;0,F14/B14,0)</f>
        <v/>
      </c>
      <c r="H14" s="245">
        <f>F14+26.075</f>
        <v/>
      </c>
      <c r="I14" s="246">
        <f>IF(B14&gt;0,H14/B14,0)</f>
        <v/>
      </c>
      <c r="J14" s="14" t="inlineStr">
        <is>
          <t>Bull case target</t>
        </is>
      </c>
    </row>
    <row r="16" ht="15" customHeight="1" s="3">
      <c r="A16" s="8" t="inlineStr">
        <is>
          <t>KEY: 10pp utilization increase ≈ 50 MNOK EBIT impact at 20 CNC scale. Operating leverage is extreme.</t>
        </is>
      </c>
    </row>
    <row r="19" ht="15" customHeight="1" s="3">
      <c r="A19" s="16" t="inlineStr">
        <is>
          <t>2. Two-Way Sensitivity — EBIT by CNC Count × Utilization (MNOK, Before Customer Program)</t>
        </is>
      </c>
      <c r="B19" s="29" t="n"/>
      <c r="C19" s="29" t="n"/>
      <c r="D19" s="29" t="n"/>
      <c r="E19" s="29" t="n"/>
      <c r="F19" s="29" t="n"/>
      <c r="G19" s="29" t="n"/>
      <c r="H19" s="29" t="n"/>
      <c r="I19" s="29" t="n"/>
      <c r="J19" s="29" t="n"/>
      <c r="K19" s="29" t="n"/>
      <c r="L19" s="29" t="n"/>
      <c r="M19" s="29" t="n"/>
    </row>
    <row r="20" ht="15" customHeight="1" s="3">
      <c r="A20" s="35" t="inlineStr">
        <is>
          <t>EBIT (MNOK)</t>
        </is>
      </c>
      <c r="B20" s="34" t="inlineStr">
        <is>
          <t>5 CNC</t>
        </is>
      </c>
      <c r="C20" s="34" t="inlineStr">
        <is>
          <t>10 CNC</t>
        </is>
      </c>
      <c r="D20" s="34" t="inlineStr">
        <is>
          <t>15 CNC</t>
        </is>
      </c>
      <c r="E20" s="34" t="inlineStr">
        <is>
          <t>20 CNC</t>
        </is>
      </c>
      <c r="F20" s="34" t="inlineStr">
        <is>
          <t>25 CNC</t>
        </is>
      </c>
      <c r="G20" s="34" t="inlineStr">
        <is>
          <t>30 CNC</t>
        </is>
      </c>
    </row>
    <row r="21" ht="15" customHeight="1" s="3">
      <c r="A21" s="251" t="n">
        <v>0.15</v>
      </c>
      <c r="B21" s="252" t="n">
        <v>-7</v>
      </c>
      <c r="C21" s="252" t="n">
        <v>-2.9</v>
      </c>
      <c r="D21" s="245" t="n">
        <v>1.2</v>
      </c>
      <c r="E21" s="245" t="n">
        <v>5.3</v>
      </c>
      <c r="F21" s="245" t="n">
        <v>9.4</v>
      </c>
      <c r="G21" s="245" t="n">
        <v>13.5</v>
      </c>
    </row>
    <row r="22" ht="15" customHeight="1" s="3">
      <c r="A22" s="251" t="n">
        <v>0.2</v>
      </c>
      <c r="B22" s="252" t="n">
        <v>-1</v>
      </c>
      <c r="C22" s="245" t="n">
        <v>9.199999999999999</v>
      </c>
      <c r="D22" s="245" t="n">
        <v>19.3</v>
      </c>
      <c r="E22" s="253" t="n">
        <v>29.5</v>
      </c>
      <c r="F22" s="253" t="n">
        <v>39.6</v>
      </c>
      <c r="G22" s="253" t="n">
        <v>49.8</v>
      </c>
    </row>
    <row r="23" ht="15" customHeight="1" s="3">
      <c r="A23" s="251" t="n">
        <v>0.3</v>
      </c>
      <c r="B23" s="245" t="n">
        <v>11.1</v>
      </c>
      <c r="C23" s="253" t="n">
        <v>33.4</v>
      </c>
      <c r="D23" s="253" t="n">
        <v>55.6</v>
      </c>
      <c r="E23" s="253" t="n">
        <v>77.8</v>
      </c>
      <c r="F23" s="253" t="n">
        <v>100.1</v>
      </c>
      <c r="G23" s="253" t="n">
        <v>122.3</v>
      </c>
    </row>
    <row r="24" ht="15" customHeight="1" s="3">
      <c r="A24" s="251" t="n">
        <v>0.4</v>
      </c>
      <c r="B24" s="253" t="n">
        <v>23.2</v>
      </c>
      <c r="C24" s="253" t="n">
        <v>57.5</v>
      </c>
      <c r="D24" s="253" t="n">
        <v>91.90000000000001</v>
      </c>
      <c r="E24" s="253" t="n">
        <v>126.2</v>
      </c>
      <c r="F24" s="253" t="n">
        <v>160.5</v>
      </c>
      <c r="G24" s="253" t="n">
        <v>194.9</v>
      </c>
    </row>
    <row r="25" ht="15" customHeight="1" s="3">
      <c r="A25" s="251" t="n">
        <v>0.5</v>
      </c>
      <c r="B25" s="253" t="n">
        <v>35.3</v>
      </c>
      <c r="C25" s="253" t="n">
        <v>81.7</v>
      </c>
      <c r="D25" s="253" t="n">
        <v>128.1</v>
      </c>
      <c r="E25" s="253" t="n">
        <v>174.6</v>
      </c>
      <c r="F25" s="253" t="n">
        <v>221</v>
      </c>
      <c r="G25" s="253" t="n">
        <v>267.4</v>
      </c>
    </row>
    <row r="26" ht="15" customHeight="1" s="3">
      <c r="A26" s="251" t="n">
        <v>0.6</v>
      </c>
      <c r="B26" s="253" t="n">
        <v>47.4</v>
      </c>
      <c r="C26" s="253" t="n">
        <v>105.9</v>
      </c>
      <c r="D26" s="253" t="n">
        <v>164.4</v>
      </c>
      <c r="E26" s="254" t="n">
        <v>222.9</v>
      </c>
      <c r="F26" s="253" t="n">
        <v>281.4</v>
      </c>
      <c r="G26" s="253" t="n">
        <v>339.9</v>
      </c>
    </row>
    <row r="27" ht="15" customHeight="1" s="3">
      <c r="A27" s="251" t="n">
        <v>0.65</v>
      </c>
      <c r="B27" s="253" t="n">
        <v>53.4</v>
      </c>
      <c r="C27" s="253" t="n">
        <v>118</v>
      </c>
      <c r="D27" s="253" t="n">
        <v>182.5</v>
      </c>
      <c r="E27" s="253" t="n">
        <v>247.1</v>
      </c>
      <c r="F27" s="253" t="n">
        <v>311.6</v>
      </c>
      <c r="G27" s="253" t="n">
        <v>376.2</v>
      </c>
    </row>
    <row r="29" ht="15" customHeight="1" s="3">
      <c r="A29" s="14" t="inlineStr">
        <is>
          <t>Green = profitable, Red = loss, Blue highlight = Base case (20 CNC @ 60%)</t>
        </is>
      </c>
    </row>
    <row r="32" ht="15" customHeight="1" s="3">
      <c r="A32" s="16" t="inlineStr">
        <is>
          <t>3. Hourly Rate Sensitivity — 20 CNC @ 60% Utilization</t>
        </is>
      </c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  <c r="L32" s="29" t="n"/>
      <c r="M32" s="29" t="n"/>
    </row>
    <row r="33" ht="27.75" customHeight="1" s="3">
      <c r="A33" s="81" t="inlineStr">
        <is>
          <t>Hourly Rate
(NOK)</t>
        </is>
      </c>
      <c r="B33" s="81" t="inlineStr">
        <is>
          <t>Revenue
(MNOK)</t>
        </is>
      </c>
      <c r="C33" s="81" t="inlineStr">
        <is>
          <t>EBIT
(MNOK)</t>
        </is>
      </c>
      <c r="D33" s="81" t="inlineStr">
        <is>
          <t>EBIT
Margin %</t>
        </is>
      </c>
      <c r="E33" s="81" t="inlineStr">
        <is>
          <t>EBITDA
(MNOK)</t>
        </is>
      </c>
      <c r="F33" s="81" t="inlineStr">
        <is>
          <t>Δ Revenue
vs Base</t>
        </is>
      </c>
      <c r="G33" s="81" t="inlineStr">
        <is>
          <t>Δ EBIT
vs Base</t>
        </is>
      </c>
    </row>
    <row r="34" ht="15" customHeight="1" s="3">
      <c r="A34" s="123" t="n">
        <v>2000</v>
      </c>
      <c r="B34" s="245" t="n">
        <v>210.24</v>
      </c>
      <c r="C34" s="245" t="n">
        <v>125.9208</v>
      </c>
      <c r="D34" s="246" t="n">
        <v>0.598938356164384</v>
      </c>
      <c r="E34" s="245" t="n">
        <v>151.9958</v>
      </c>
      <c r="F34" s="255" t="n">
        <v>-105.12</v>
      </c>
      <c r="G34" s="255" t="n">
        <v>-96.71040000000001</v>
      </c>
    </row>
    <row r="35" ht="15" customHeight="1" s="3">
      <c r="A35" s="123" t="n">
        <v>2500</v>
      </c>
      <c r="B35" s="245" t="n">
        <v>262.8</v>
      </c>
      <c r="C35" s="245" t="n">
        <v>174.276</v>
      </c>
      <c r="D35" s="246" t="n">
        <v>0.663150684931507</v>
      </c>
      <c r="E35" s="245" t="n">
        <v>200.351</v>
      </c>
      <c r="F35" s="255" t="n">
        <v>-52.56</v>
      </c>
      <c r="G35" s="255" t="n">
        <v>-48.3552</v>
      </c>
    </row>
    <row r="36" ht="15" customHeight="1" s="3">
      <c r="A36" s="123" t="n">
        <v>2750</v>
      </c>
      <c r="B36" s="245" t="n">
        <v>289.08</v>
      </c>
      <c r="C36" s="245" t="n">
        <v>198.4536</v>
      </c>
      <c r="D36" s="246" t="n">
        <v>0.686500622665006</v>
      </c>
      <c r="E36" s="245" t="n">
        <v>224.5286</v>
      </c>
      <c r="F36" s="255" t="n">
        <v>-26.28</v>
      </c>
      <c r="G36" s="255" t="n">
        <v>-24.1776</v>
      </c>
    </row>
    <row r="37" ht="15" customHeight="1" s="3">
      <c r="A37" s="125" t="n">
        <v>3000</v>
      </c>
      <c r="B37" s="248" t="n">
        <v>315.36</v>
      </c>
      <c r="C37" s="249" t="n">
        <v>222.6312</v>
      </c>
      <c r="D37" s="250" t="n">
        <v>0.7059589041095889</v>
      </c>
      <c r="E37" s="249" t="n">
        <v>248.7062</v>
      </c>
      <c r="F37" s="256" t="n">
        <v>0</v>
      </c>
      <c r="G37" s="256" t="n">
        <v>0</v>
      </c>
    </row>
    <row r="38" ht="15" customHeight="1" s="3">
      <c r="A38" s="123" t="n">
        <v>3250</v>
      </c>
      <c r="B38" s="245" t="n">
        <v>341.64</v>
      </c>
      <c r="C38" s="245" t="n">
        <v>246.8088</v>
      </c>
      <c r="D38" s="246" t="n">
        <v>0.722423603793467</v>
      </c>
      <c r="E38" s="245" t="n">
        <v>272.8838</v>
      </c>
      <c r="F38" s="255" t="n">
        <v>26.28</v>
      </c>
      <c r="G38" s="255" t="n">
        <v>24.1775999999999</v>
      </c>
    </row>
    <row r="39" ht="15" customHeight="1" s="3">
      <c r="A39" s="123" t="n">
        <v>3500</v>
      </c>
      <c r="B39" s="245" t="n">
        <v>367.92</v>
      </c>
      <c r="C39" s="245" t="n">
        <v>270.9864</v>
      </c>
      <c r="D39" s="246" t="n">
        <v>0.736536203522505</v>
      </c>
      <c r="E39" s="245" t="n">
        <v>297.0614</v>
      </c>
      <c r="F39" s="255" t="n">
        <v>52.56</v>
      </c>
      <c r="G39" s="255" t="n">
        <v>48.3552</v>
      </c>
    </row>
    <row r="40" ht="15" customHeight="1" s="3">
      <c r="A40" s="123" t="n">
        <v>4000</v>
      </c>
      <c r="B40" s="245" t="n">
        <v>420.48</v>
      </c>
      <c r="C40" s="245" t="n">
        <v>319.3416</v>
      </c>
      <c r="D40" s="246" t="n">
        <v>0.7594691780821921</v>
      </c>
      <c r="E40" s="245" t="n">
        <v>345.4166</v>
      </c>
      <c r="F40" s="255" t="n">
        <v>105.12</v>
      </c>
      <c r="G40" s="255" t="n">
        <v>96.71040000000001</v>
      </c>
    </row>
    <row r="42" ht="15" customHeight="1" s="3">
      <c r="A42" s="7" t="inlineStr">
        <is>
          <t>REV6 §8.1: Defence/O&amp;G premiums above 3,000 NOK are documented but NOT modeled (conservative buffer).</t>
        </is>
      </c>
    </row>
    <row r="45" ht="15" customHeight="1" s="3">
      <c r="A45" s="16" t="inlineStr">
        <is>
          <t>4. Exit Scenario Analysis (REV6 §5.3)</t>
        </is>
      </c>
      <c r="B45" s="29" t="n"/>
      <c r="C45" s="29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29" t="n"/>
      <c r="M45" s="29" t="n"/>
    </row>
    <row r="46" ht="27.75" customHeight="1" s="3">
      <c r="A46" s="81" t="inlineStr">
        <is>
          <t>Scenario</t>
        </is>
      </c>
      <c r="B46" s="81" t="inlineStr">
        <is>
          <t>CNC
Count</t>
        </is>
      </c>
      <c r="C46" s="81" t="inlineStr">
        <is>
          <t>Utilization</t>
        </is>
      </c>
      <c r="D46" s="81" t="inlineStr">
        <is>
          <t>EBITDA
(MNOK)</t>
        </is>
      </c>
      <c r="E46" s="81" t="inlineStr">
        <is>
          <t>Multiple</t>
        </is>
      </c>
      <c r="F46" s="81" t="inlineStr">
        <is>
          <t>Exit Value
(MNOK)</t>
        </is>
      </c>
      <c r="G46" s="81" t="inlineStr">
        <is>
          <t>PreSeed
ROI</t>
        </is>
      </c>
      <c r="H46" s="81" t="inlineStr">
        <is>
          <t>Seed
ROI</t>
        </is>
      </c>
      <c r="I46" s="81" t="inlineStr">
        <is>
          <t>Serie A
ROI</t>
        </is>
      </c>
      <c r="J46" s="81" t="inlineStr">
        <is>
          <t>Founders
Value (MNOK)</t>
        </is>
      </c>
    </row>
    <row r="47" ht="15" customHeight="1" s="3">
      <c r="A47" s="127" t="inlineStr">
        <is>
          <t>Deep bear</t>
        </is>
      </c>
      <c r="B47" s="128" t="n">
        <v>15</v>
      </c>
      <c r="C47" s="257" t="n">
        <v>0.35</v>
      </c>
      <c r="D47" s="128" t="n">
        <v>83</v>
      </c>
      <c r="E47" s="258" t="n">
        <v>8</v>
      </c>
      <c r="F47" s="128" t="n">
        <v>665</v>
      </c>
      <c r="G47" s="259" t="n">
        <v>13.4596</v>
      </c>
      <c r="H47" s="259" t="n">
        <v>3.10851851851852</v>
      </c>
      <c r="I47" s="259" t="n">
        <v>2.25361111111111</v>
      </c>
      <c r="J47" s="128" t="n">
        <v>336.49</v>
      </c>
    </row>
    <row r="48" ht="15" customHeight="1" s="3">
      <c r="A48" s="127" t="inlineStr">
        <is>
          <t>Bear</t>
        </is>
      </c>
      <c r="B48" s="128" t="n">
        <v>20</v>
      </c>
      <c r="C48" s="257" t="n">
        <v>0.4</v>
      </c>
      <c r="D48" s="128" t="n">
        <v>126</v>
      </c>
      <c r="E48" s="258" t="n">
        <v>8</v>
      </c>
      <c r="F48" s="128" t="n">
        <v>1005</v>
      </c>
      <c r="G48" s="259" t="n">
        <v>20.3412</v>
      </c>
      <c r="H48" s="259" t="n">
        <v>4.69783625730994</v>
      </c>
      <c r="I48" s="259" t="n">
        <v>3.40583333333333</v>
      </c>
      <c r="J48" s="128" t="n">
        <v>508.53</v>
      </c>
    </row>
    <row r="49" ht="15" customHeight="1" s="3">
      <c r="A49" s="132" t="inlineStr">
        <is>
          <t>Conservative</t>
        </is>
      </c>
      <c r="B49" s="123" t="n">
        <v>20</v>
      </c>
      <c r="C49" s="246" t="n">
        <v>0.5</v>
      </c>
      <c r="D49" s="123" t="n">
        <v>174</v>
      </c>
      <c r="E49" s="260" t="n">
        <v>9</v>
      </c>
      <c r="F49" s="123" t="n">
        <v>1570</v>
      </c>
      <c r="G49" s="261" t="n">
        <v>31.7768</v>
      </c>
      <c r="H49" s="261" t="n">
        <v>7.33890838206628</v>
      </c>
      <c r="I49" s="261" t="n">
        <v>5.32055555555556</v>
      </c>
      <c r="J49" s="123" t="n">
        <v>794.42</v>
      </c>
    </row>
    <row r="50" ht="15" customHeight="1" s="3">
      <c r="A50" s="135" t="inlineStr">
        <is>
          <t>BASE CASE</t>
        </is>
      </c>
      <c r="B50" s="125" t="n">
        <v>20</v>
      </c>
      <c r="C50" s="250" t="n">
        <v>0.6</v>
      </c>
      <c r="D50" s="125" t="n">
        <v>223</v>
      </c>
      <c r="E50" s="262" t="n">
        <v>10</v>
      </c>
      <c r="F50" s="125" t="n">
        <v>2230</v>
      </c>
      <c r="G50" s="263" t="n">
        <v>45.1352</v>
      </c>
      <c r="H50" s="263" t="n">
        <v>10.4240545808967</v>
      </c>
      <c r="I50" s="263" t="n">
        <v>7.55722222222222</v>
      </c>
      <c r="J50" s="125" t="n">
        <v>1128.38</v>
      </c>
    </row>
    <row r="51" ht="15" customHeight="1" s="3">
      <c r="A51" s="138" t="inlineStr">
        <is>
          <t>Bull</t>
        </is>
      </c>
      <c r="B51" s="139" t="n">
        <v>25</v>
      </c>
      <c r="C51" s="264" t="n">
        <v>0.65</v>
      </c>
      <c r="D51" s="139" t="n">
        <v>268</v>
      </c>
      <c r="E51" s="265" t="n">
        <v>11</v>
      </c>
      <c r="F51" s="139" t="n">
        <v>2950</v>
      </c>
      <c r="G51" s="266" t="n">
        <v>59.708</v>
      </c>
      <c r="H51" s="266" t="n">
        <v>13.7896686159844</v>
      </c>
      <c r="I51" s="266" t="n">
        <v>9.99722222222222</v>
      </c>
      <c r="J51" s="139" t="n">
        <v>1492.7</v>
      </c>
    </row>
    <row r="52" ht="15" customHeight="1" s="3">
      <c r="A52" s="138" t="inlineStr">
        <is>
          <t>Multi-site</t>
        </is>
      </c>
      <c r="B52" s="139" t="n">
        <v>40</v>
      </c>
      <c r="C52" s="264" t="n">
        <v>0.55</v>
      </c>
      <c r="D52" s="139" t="n">
        <v>445</v>
      </c>
      <c r="E52" s="265" t="n">
        <v>12</v>
      </c>
      <c r="F52" s="139" t="n">
        <v>5350</v>
      </c>
      <c r="G52" s="266" t="n">
        <v>108.284</v>
      </c>
      <c r="H52" s="266" t="n">
        <v>25.0083820662768</v>
      </c>
      <c r="I52" s="266" t="n">
        <v>18.1305555555556</v>
      </c>
      <c r="J52" s="139" t="n">
        <v>2707.1</v>
      </c>
    </row>
    <row r="54" ht="15" customHeight="1" s="3">
      <c r="A54" s="69" t="inlineStr">
        <is>
          <t>Market expectations:</t>
        </is>
      </c>
      <c r="G54" s="143" t="inlineStr">
        <is>
          <t>20-40x</t>
        </is>
      </c>
      <c r="H54" s="143" t="inlineStr">
        <is>
          <t>10-25x</t>
        </is>
      </c>
      <c r="I54" s="143" t="inlineStr">
        <is>
          <t>5-10x</t>
        </is>
      </c>
    </row>
    <row r="57" ht="15" customHeight="1" s="3">
      <c r="A57" s="16" t="inlineStr">
        <is>
          <t>5. Operating Leverage — Revenue Change vs. EBIT Change</t>
        </is>
      </c>
      <c r="B57" s="29" t="n"/>
      <c r="C57" s="29" t="n"/>
      <c r="D57" s="29" t="n"/>
      <c r="E57" s="29" t="n"/>
      <c r="F57" s="29" t="n"/>
      <c r="G57" s="29" t="n"/>
      <c r="H57" s="29" t="n"/>
      <c r="I57" s="29" t="n"/>
      <c r="J57" s="29" t="n"/>
      <c r="K57" s="29" t="n"/>
      <c r="L57" s="29" t="n"/>
      <c r="M57" s="29" t="n"/>
    </row>
    <row r="58" ht="27.75" customHeight="1" s="3">
      <c r="A58" s="81" t="inlineStr">
        <is>
          <t>Change from Base</t>
        </is>
      </c>
      <c r="B58" s="81" t="inlineStr">
        <is>
          <t>Revenue
(MNOK)</t>
        </is>
      </c>
      <c r="C58" s="81" t="inlineStr">
        <is>
          <t>Δ Revenue
(%)</t>
        </is>
      </c>
      <c r="D58" s="81" t="inlineStr">
        <is>
          <t>EBIT
(MNOK)</t>
        </is>
      </c>
      <c r="E58" s="81" t="inlineStr">
        <is>
          <t>Δ EBIT
(%)</t>
        </is>
      </c>
      <c r="F58" s="81" t="inlineStr">
        <is>
          <t>Leverage
Factor</t>
        </is>
      </c>
    </row>
    <row r="59" ht="15" customHeight="1" s="3">
      <c r="A59" s="144" t="inlineStr">
        <is>
          <t>Util = 40%</t>
        </is>
      </c>
      <c r="B59" s="245" t="n">
        <v>210.24</v>
      </c>
      <c r="C59" s="267" t="n">
        <v>-0.333333333333333</v>
      </c>
      <c r="D59" s="245" t="n">
        <v>125.9208</v>
      </c>
      <c r="E59" s="267" t="n">
        <v>-0.4343973351444</v>
      </c>
      <c r="F59" s="268" t="n">
        <v>1.3031920054332</v>
      </c>
    </row>
    <row r="60" ht="15" customHeight="1" s="3">
      <c r="A60" s="144" t="inlineStr">
        <is>
          <t>Util = 45%</t>
        </is>
      </c>
      <c r="B60" s="245" t="n">
        <v>236.52</v>
      </c>
      <c r="C60" s="267" t="n">
        <v>-0.25</v>
      </c>
      <c r="D60" s="245" t="n">
        <v>150.0984</v>
      </c>
      <c r="E60" s="267" t="n">
        <v>-0.3257980013583</v>
      </c>
      <c r="F60" s="268" t="n">
        <v>1.3031920054332</v>
      </c>
    </row>
    <row r="61" ht="15" customHeight="1" s="3">
      <c r="A61" s="144" t="inlineStr">
        <is>
          <t>Util = 50%</t>
        </is>
      </c>
      <c r="B61" s="245" t="n">
        <v>262.8</v>
      </c>
      <c r="C61" s="267" t="n">
        <v>-0.166666666666667</v>
      </c>
      <c r="D61" s="245" t="n">
        <v>174.276</v>
      </c>
      <c r="E61" s="267" t="n">
        <v>-0.2171986675722</v>
      </c>
      <c r="F61" s="268" t="n">
        <v>1.3031920054332</v>
      </c>
    </row>
    <row r="62" ht="15" customHeight="1" s="3">
      <c r="A62" s="144" t="inlineStr">
        <is>
          <t>Util = 55%</t>
        </is>
      </c>
      <c r="B62" s="245" t="n">
        <v>289.08</v>
      </c>
      <c r="C62" s="267" t="n">
        <v>-0.0833333333333333</v>
      </c>
      <c r="D62" s="245" t="n">
        <v>198.4536</v>
      </c>
      <c r="E62" s="267" t="n">
        <v>-0.1085993337861</v>
      </c>
      <c r="F62" s="268" t="n">
        <v>1.3031920054332</v>
      </c>
    </row>
    <row r="63" ht="15" customHeight="1" s="3">
      <c r="A63" s="135" t="inlineStr">
        <is>
          <t>Util = 60% (BASE)</t>
        </is>
      </c>
      <c r="B63" s="248" t="n">
        <v>315.36</v>
      </c>
      <c r="C63" s="269" t="n">
        <v>0</v>
      </c>
      <c r="D63" s="248" t="n">
        <v>222.6312</v>
      </c>
      <c r="E63" s="269" t="n">
        <v>0</v>
      </c>
      <c r="F63" s="135" t="inlineStr">
        <is>
          <t>—</t>
        </is>
      </c>
    </row>
    <row r="64" ht="15" customHeight="1" s="3">
      <c r="A64" s="144" t="inlineStr">
        <is>
          <t>Util = 65%</t>
        </is>
      </c>
      <c r="B64" s="245" t="n">
        <v>341.64</v>
      </c>
      <c r="C64" s="267" t="n">
        <v>0.0833333333333333</v>
      </c>
      <c r="D64" s="245" t="n">
        <v>246.8088</v>
      </c>
      <c r="E64" s="267" t="n">
        <v>0.1085993337861</v>
      </c>
      <c r="F64" s="268" t="n">
        <v>1.3031920054332</v>
      </c>
    </row>
    <row r="65" ht="15" customHeight="1" s="3">
      <c r="A65" s="144" t="inlineStr">
        <is>
          <t>Util = 70%</t>
        </is>
      </c>
      <c r="B65" s="245" t="n">
        <v>367.92</v>
      </c>
      <c r="C65" s="267" t="n">
        <v>0.166666666666667</v>
      </c>
      <c r="D65" s="245" t="n">
        <v>270.9864</v>
      </c>
      <c r="E65" s="267" t="n">
        <v>0.2171986675722</v>
      </c>
      <c r="F65" s="268" t="n">
        <v>1.3031920054332</v>
      </c>
    </row>
    <row r="67" ht="15" customHeight="1" s="3">
      <c r="A67" s="14" t="inlineStr">
        <is>
          <t>Leverage Factor &gt;1x means EBIT grows faster than revenue. At ~1.1x, a 10% revenue increase → 11% EBIT increase.</t>
        </is>
      </c>
    </row>
    <row r="70" ht="15" customHeight="1" s="3">
      <c r="A70" s="16" t="inlineStr">
        <is>
          <t>6. Variable Cost Sensitivity — 20 CNC @ 60% Utilization</t>
        </is>
      </c>
      <c r="B70" s="29" t="n"/>
      <c r="C70" s="29" t="n"/>
      <c r="D70" s="29" t="n"/>
      <c r="E70" s="29" t="n"/>
      <c r="F70" s="29" t="n"/>
      <c r="G70" s="29" t="n"/>
      <c r="H70" s="29" t="n"/>
      <c r="I70" s="29" t="n"/>
      <c r="J70" s="29" t="n"/>
      <c r="K70" s="29" t="n"/>
      <c r="L70" s="29" t="n"/>
      <c r="M70" s="29" t="n"/>
    </row>
    <row r="71" ht="27.75" customHeight="1" s="3">
      <c r="A71" s="81" t="inlineStr">
        <is>
          <t>Variable
Cost %</t>
        </is>
      </c>
      <c r="B71" s="81" t="inlineStr">
        <is>
          <t>Variable
Costs (MNOK)</t>
        </is>
      </c>
      <c r="C71" s="81" t="inlineStr">
        <is>
          <t>EBIT
(MNOK)</t>
        </is>
      </c>
      <c r="D71" s="81" t="inlineStr">
        <is>
          <t>Δ EBIT
vs 8%</t>
        </is>
      </c>
      <c r="E71" s="81" t="inlineStr">
        <is>
          <t>EBIT
Margin</t>
        </is>
      </c>
      <c r="F71" s="35" t="inlineStr">
        <is>
          <t>Notes</t>
        </is>
      </c>
    </row>
    <row r="72" ht="15" customHeight="1" s="3">
      <c r="A72" s="246" t="n">
        <v>0.06</v>
      </c>
      <c r="B72" s="245" t="n">
        <v>18.9216</v>
      </c>
      <c r="C72" s="245" t="n">
        <v>228.9384</v>
      </c>
      <c r="D72" s="255" t="n">
        <v>6.30719999999997</v>
      </c>
      <c r="E72" s="270" t="n">
        <v>0.725958904109589</v>
      </c>
      <c r="F72" s="14" t="inlineStr">
        <is>
          <t>REV6 §8.1: Possible at optimization (unmodeled)</t>
        </is>
      </c>
    </row>
    <row r="73" ht="15" customHeight="1" s="3">
      <c r="A73" s="246" t="n">
        <v>0.07000000000000001</v>
      </c>
      <c r="B73" s="245" t="n">
        <v>22.0752</v>
      </c>
      <c r="C73" s="245" t="n">
        <v>225.7848</v>
      </c>
      <c r="D73" s="255" t="n">
        <v>3.15359999999998</v>
      </c>
      <c r="E73" s="270" t="n">
        <v>0.715958904109589</v>
      </c>
      <c r="F73" s="14" t="n"/>
    </row>
    <row r="74" ht="15" customHeight="1" s="3">
      <c r="A74" s="250" t="n">
        <v>0.08</v>
      </c>
      <c r="B74" s="248" t="n">
        <v>25.2288</v>
      </c>
      <c r="C74" s="249" t="n">
        <v>222.6312</v>
      </c>
      <c r="D74" s="256" t="n">
        <v>0</v>
      </c>
      <c r="E74" s="271" t="n">
        <v>0.7059589041095889</v>
      </c>
      <c r="F74" s="14" t="inlineStr">
        <is>
          <t>BASE CASE — mature operations</t>
        </is>
      </c>
    </row>
    <row r="75" ht="15" customHeight="1" s="3">
      <c r="A75" s="246" t="n">
        <v>0.1</v>
      </c>
      <c r="B75" s="245" t="n">
        <v>31.536</v>
      </c>
      <c r="C75" s="245" t="n">
        <v>216.324</v>
      </c>
      <c r="D75" s="255" t="n">
        <v>-6.30720000000002</v>
      </c>
      <c r="E75" s="270" t="n">
        <v>0.685958904109589</v>
      </c>
      <c r="F75" s="14" t="n"/>
    </row>
    <row r="76" ht="15" customHeight="1" s="3">
      <c r="A76" s="246" t="n">
        <v>0.12</v>
      </c>
      <c r="B76" s="245" t="n">
        <v>37.8432</v>
      </c>
      <c r="C76" s="245" t="n">
        <v>210.0168</v>
      </c>
      <c r="D76" s="255" t="n">
        <v>-12.6144000000001</v>
      </c>
      <c r="E76" s="270" t="n">
        <v>0.665958904109589</v>
      </c>
      <c r="F76" s="14" t="n"/>
    </row>
    <row r="77" ht="15" customHeight="1" s="3">
      <c r="A77" s="246" t="n">
        <v>0.13</v>
      </c>
      <c r="B77" s="245" t="n">
        <v>40.9968</v>
      </c>
      <c r="C77" s="245" t="n">
        <v>206.8632</v>
      </c>
      <c r="D77" s="255" t="n">
        <v>-15.768</v>
      </c>
      <c r="E77" s="270" t="n">
        <v>0.655958904109589</v>
      </c>
      <c r="F77" s="14" t="inlineStr">
        <is>
          <t>Startup phase rate (2027-2028)</t>
        </is>
      </c>
    </row>
    <row r="78" ht="15" customHeight="1" s="3">
      <c r="A78" s="246" t="n">
        <v>0.15</v>
      </c>
      <c r="B78" s="245" t="n">
        <v>47.304</v>
      </c>
      <c r="C78" s="245" t="n">
        <v>200.556</v>
      </c>
      <c r="D78" s="255" t="n">
        <v>-22.0752</v>
      </c>
      <c r="E78" s="270" t="n">
        <v>0.635958904109589</v>
      </c>
      <c r="F78" s="14" t="n"/>
    </row>
    <row r="82" ht="15" customHeight="1" s="3">
      <c r="A82" s="16" t="inlineStr">
        <is>
          <t>7. Two-Way Exit Value — EBITDA × Multiple (MNOK)</t>
        </is>
      </c>
      <c r="B82" s="29" t="n"/>
      <c r="C82" s="29" t="n"/>
      <c r="D82" s="29" t="n"/>
      <c r="E82" s="29" t="n"/>
      <c r="F82" s="29" t="n"/>
      <c r="G82" s="29" t="n"/>
      <c r="H82" s="29" t="n"/>
      <c r="I82" s="29" t="n"/>
      <c r="J82" s="29" t="n"/>
      <c r="K82" s="29" t="n"/>
      <c r="L82" s="29" t="n"/>
      <c r="M82" s="29" t="n"/>
    </row>
    <row r="83" ht="15" customHeight="1" s="3">
      <c r="A83" s="150" t="inlineStr">
        <is>
          <t>Exit Value
(MNOK)</t>
        </is>
      </c>
      <c r="B83" s="34" t="inlineStr">
        <is>
          <t>7x</t>
        </is>
      </c>
      <c r="C83" s="34" t="inlineStr">
        <is>
          <t>8x</t>
        </is>
      </c>
      <c r="D83" s="34" t="inlineStr">
        <is>
          <t>9x</t>
        </is>
      </c>
      <c r="E83" s="34" t="inlineStr">
        <is>
          <t>10x</t>
        </is>
      </c>
      <c r="F83" s="34" t="inlineStr">
        <is>
          <t>11x</t>
        </is>
      </c>
      <c r="G83" s="34" t="inlineStr">
        <is>
          <t>12x</t>
        </is>
      </c>
      <c r="H83" s="34" t="inlineStr">
        <is>
          <t>13x</t>
        </is>
      </c>
    </row>
    <row r="84" ht="15" customHeight="1" s="3">
      <c r="A84" s="151" t="inlineStr">
        <is>
          <t>Deep bear (83)</t>
        </is>
      </c>
      <c r="B84" s="152" t="n">
        <v>581</v>
      </c>
      <c r="C84" s="152" t="n">
        <v>664</v>
      </c>
      <c r="D84" s="152" t="n">
        <v>747</v>
      </c>
      <c r="E84" s="152" t="n">
        <v>830</v>
      </c>
      <c r="F84" s="152" t="n">
        <v>913</v>
      </c>
      <c r="G84" s="152" t="n">
        <v>996</v>
      </c>
      <c r="H84" s="123" t="n">
        <v>1079</v>
      </c>
    </row>
    <row r="85" ht="15" customHeight="1" s="3">
      <c r="A85" s="151" t="inlineStr">
        <is>
          <t>Bear (126)</t>
        </is>
      </c>
      <c r="B85" s="152" t="n">
        <v>882</v>
      </c>
      <c r="C85" s="123" t="n">
        <v>1008</v>
      </c>
      <c r="D85" s="123" t="n">
        <v>1134</v>
      </c>
      <c r="E85" s="123" t="n">
        <v>1260</v>
      </c>
      <c r="F85" s="123" t="n">
        <v>1386</v>
      </c>
      <c r="G85" s="123" t="n">
        <v>1512</v>
      </c>
      <c r="H85" s="123" t="n">
        <v>1638</v>
      </c>
    </row>
    <row r="86" ht="15" customHeight="1" s="3">
      <c r="A86" s="151" t="inlineStr">
        <is>
          <t>Conserv. (174)</t>
        </is>
      </c>
      <c r="B86" s="123" t="n">
        <v>1218</v>
      </c>
      <c r="C86" s="123" t="n">
        <v>1392</v>
      </c>
      <c r="D86" s="123" t="n">
        <v>1566</v>
      </c>
      <c r="E86" s="123" t="n">
        <v>1740</v>
      </c>
      <c r="F86" s="123" t="n">
        <v>1914</v>
      </c>
      <c r="G86" s="153" t="n">
        <v>2088</v>
      </c>
      <c r="H86" s="153" t="n">
        <v>2262</v>
      </c>
    </row>
    <row r="87" ht="15" customHeight="1" s="3">
      <c r="A87" s="154" t="inlineStr">
        <is>
          <t>BASE (223)</t>
        </is>
      </c>
      <c r="B87" s="123" t="n">
        <v>1561</v>
      </c>
      <c r="C87" s="123" t="n">
        <v>1784</v>
      </c>
      <c r="D87" s="153" t="n">
        <v>2007</v>
      </c>
      <c r="E87" s="155" t="n">
        <v>2230</v>
      </c>
      <c r="F87" s="153" t="n">
        <v>2453</v>
      </c>
      <c r="G87" s="153" t="n">
        <v>2676</v>
      </c>
      <c r="H87" s="153" t="n">
        <v>2899</v>
      </c>
    </row>
    <row r="88" ht="15" customHeight="1" s="3">
      <c r="A88" s="151" t="inlineStr">
        <is>
          <t>Bull (268)</t>
        </is>
      </c>
      <c r="B88" s="123" t="n">
        <v>1876</v>
      </c>
      <c r="C88" s="153" t="n">
        <v>2144</v>
      </c>
      <c r="D88" s="153" t="n">
        <v>2412</v>
      </c>
      <c r="E88" s="153" t="n">
        <v>2680</v>
      </c>
      <c r="F88" s="153" t="n">
        <v>2948</v>
      </c>
      <c r="G88" s="156" t="n">
        <v>3216</v>
      </c>
      <c r="H88" s="156" t="n">
        <v>3484</v>
      </c>
    </row>
    <row r="89" ht="15" customHeight="1" s="3">
      <c r="A89" s="151" t="inlineStr">
        <is>
          <t>Upside (350)</t>
        </is>
      </c>
      <c r="B89" s="153" t="n">
        <v>2450</v>
      </c>
      <c r="C89" s="153" t="n">
        <v>2800</v>
      </c>
      <c r="D89" s="156" t="n">
        <v>3150</v>
      </c>
      <c r="E89" s="156" t="n">
        <v>3500</v>
      </c>
      <c r="F89" s="156" t="n">
        <v>3850</v>
      </c>
      <c r="G89" s="156" t="n">
        <v>4200</v>
      </c>
      <c r="H89" s="156" t="n">
        <v>4550</v>
      </c>
    </row>
    <row r="90" ht="15" customHeight="1" s="3">
      <c r="A90" s="151" t="inlineStr">
        <is>
          <t>Multi-site (445)</t>
        </is>
      </c>
      <c r="B90" s="156" t="n">
        <v>3115</v>
      </c>
      <c r="C90" s="156" t="n">
        <v>3560</v>
      </c>
      <c r="D90" s="156" t="n">
        <v>4005</v>
      </c>
      <c r="E90" s="156" t="n">
        <v>4450</v>
      </c>
      <c r="F90" s="156" t="n">
        <v>4895</v>
      </c>
      <c r="G90" s="156" t="n">
        <v>5340</v>
      </c>
      <c r="H90" s="156" t="n">
        <v>5785</v>
      </c>
    </row>
    <row r="92" ht="15" customHeight="1" s="3">
      <c r="A92" s="14" t="inlineStr">
        <is>
          <t>Red = &lt;1B NOK exit, Green = 2-3B, Dark green = &gt;3B. Blue = Base case (223 EBITDA × 10x = 2,230 MNOK).</t>
        </is>
      </c>
    </row>
    <row r="95" ht="15" customHeight="1" s="3">
      <c r="A95" s="16" t="inlineStr">
        <is>
          <t>Notes &amp; Assumptions</t>
        </is>
      </c>
      <c r="B95" s="29" t="n"/>
      <c r="C95" s="29" t="n"/>
      <c r="D95" s="29" t="n"/>
      <c r="E95" s="29" t="n"/>
      <c r="F95" s="29" t="n"/>
      <c r="G95" s="29" t="n"/>
      <c r="H95" s="29" t="n"/>
      <c r="I95" s="29" t="n"/>
      <c r="J95" s="29" t="n"/>
      <c r="K95" s="29" t="n"/>
      <c r="L95" s="29" t="n"/>
      <c r="M95" s="29" t="n"/>
    </row>
    <row r="96" ht="15" customHeight="1" s="3">
      <c r="A96" s="14" t="inlineStr">
        <is>
          <t>1. All steady-state tables assume 20 CNC machines, 8% variable cost, fixed costs per REV6 §3.6 (~67.5 MNOK).</t>
        </is>
      </c>
    </row>
    <row r="97" ht="15" customHeight="1" s="3">
      <c r="A97" s="14" t="inlineStr">
        <is>
          <t>2. Customer Program (50/50 sharing above 45%) is NOT included in EBIT figures above — pure Aurelian economics.</t>
        </is>
      </c>
    </row>
    <row r="98" ht="15" customHeight="1" s="3">
      <c r="A98" s="14" t="inlineStr">
        <is>
          <t>3. REV6 §8.1 buffers (hourly rate premium, lower variable costs, CNC procurement savings) = material unmodeled upside.</t>
        </is>
      </c>
    </row>
    <row r="99" ht="15" customHeight="1" s="3">
      <c r="A99" s="14" t="inlineStr">
        <is>
          <t>4. Machine-level break-even at ~13.5% utilization (~1,183 hours/year). Company-level at ~14% with 20 CNC.</t>
        </is>
      </c>
    </row>
    <row r="100" ht="15" customHeight="1" s="3">
      <c r="A100" s="14" t="inlineStr">
        <is>
          <t>5. Sub-linear staffing: 0.8 FTE per CNC enables extreme operating leverage vs. traditional workshops.</t>
        </is>
      </c>
    </row>
    <row r="101" ht="15" customHeight="1" s="3">
      <c r="A101" s="14" t="inlineStr">
        <is>
          <t>6. Exit multiples: Industrial IoT range 10-11x (private), Aerospace/Defense 21.6x (public) — using conservative private multiples.</t>
        </is>
      </c>
    </row>
    <row r="102" ht="15" customHeight="1" s="3">
      <c r="A102" s="14" t="inlineStr">
        <is>
          <t>7. Multi-site scenario (40+ CNC) represents Site 2+ expansion with platform engineering team enabling replication.</t>
        </is>
      </c>
    </row>
    <row r="103" ht="15" customHeight="1" s="3">
      <c r="A103" s="14" t="inlineStr">
        <is>
          <t>8. Defence/O&amp;G hourly rate premiums above 3,000 NOK are documented in market analysis but deliberately excluded.</t>
        </is>
      </c>
    </row>
  </sheetData>
  <mergeCells count="23">
    <mergeCell ref="A92:H92"/>
    <mergeCell ref="A32:M32"/>
    <mergeCell ref="A97:M97"/>
    <mergeCell ref="A4:M4"/>
    <mergeCell ref="A100:M100"/>
    <mergeCell ref="A29:G29"/>
    <mergeCell ref="A42:G42"/>
    <mergeCell ref="A57:M57"/>
    <mergeCell ref="A96:M96"/>
    <mergeCell ref="A19:M19"/>
    <mergeCell ref="A102:M102"/>
    <mergeCell ref="A82:M82"/>
    <mergeCell ref="A98:M98"/>
    <mergeCell ref="A103:M103"/>
    <mergeCell ref="A45:M45"/>
    <mergeCell ref="A1:M1"/>
    <mergeCell ref="A67:F67"/>
    <mergeCell ref="A70:M70"/>
    <mergeCell ref="A99:M99"/>
    <mergeCell ref="A101:M101"/>
    <mergeCell ref="A95:M95"/>
    <mergeCell ref="A2:M2"/>
    <mergeCell ref="A16:I16"/>
  </mergeCell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tabColor rgb="FFE65100"/>
    <outlinePr summaryBelow="1" summaryRight="1"/>
    <pageSetUpPr/>
  </sheetPr>
  <dimension ref="A1:M129"/>
  <sheetViews>
    <sheetView tabSelected="1" topLeftCell="A75" zoomScaleNormal="100" workbookViewId="0">
      <selection activeCell="C82" sqref="C82"/>
    </sheetView>
  </sheetViews>
  <sheetFormatPr baseColWidth="10" defaultColWidth="8.7109375" defaultRowHeight="15"/>
  <cols>
    <col width="38" customWidth="1" style="3" min="1" max="1"/>
    <col width="15" customWidth="1" style="3" min="2" max="11"/>
    <col width="40" customWidth="1" style="3" min="12" max="12"/>
  </cols>
  <sheetData>
    <row r="1" ht="31.5" customHeight="1" s="3">
      <c r="A1" s="12" t="inlineStr">
        <is>
          <t>AURELIAN MANUFACTURING — BREAK-EVEN ANALYSIS</t>
        </is>
      </c>
    </row>
    <row r="2" ht="15" customHeight="1" s="3">
      <c r="A2" s="14" t="inlineStr">
        <is>
          <t>Source: REV6 §5.2. Machine-level and company-level break-even with contribution margin analysis.</t>
        </is>
      </c>
    </row>
    <row r="4" ht="15" customHeight="1" s="3">
      <c r="A4" s="16" t="inlineStr">
        <is>
          <t>1. Machine-Level Break-Even (Per CNC)</t>
        </is>
      </c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</row>
    <row r="5" ht="15" customHeight="1" s="3">
      <c r="A5" s="17" t="inlineStr">
        <is>
          <t>Theoretical hours per CNC per year</t>
        </is>
      </c>
      <c r="B5" s="55">
        <f>Assumptions!C7</f>
        <v/>
      </c>
      <c r="C5" s="40" t="n"/>
      <c r="D5" s="40" t="n"/>
      <c r="E5" s="40" t="n"/>
      <c r="F5" s="40" t="n"/>
      <c r="G5" s="40" t="n"/>
      <c r="H5" s="40" t="n"/>
      <c r="I5" s="40" t="n"/>
      <c r="J5" s="40" t="n"/>
      <c r="K5" s="40" t="n"/>
      <c r="L5" s="18" t="inlineStr">
        <is>
          <t>24/7 operation = 8,760</t>
        </is>
      </c>
    </row>
    <row r="6" ht="15" customHeight="1" s="3">
      <c r="A6" s="17" t="inlineStr">
        <is>
          <t>Normalized hourly rate (NOK)</t>
        </is>
      </c>
      <c r="B6" s="55">
        <f>Assumptions!C8</f>
        <v/>
      </c>
      <c r="C6" s="40" t="n"/>
      <c r="D6" s="40" t="n"/>
      <c r="E6" s="40" t="n"/>
      <c r="F6" s="40" t="n"/>
      <c r="G6" s="40" t="n"/>
      <c r="H6" s="40" t="n"/>
      <c r="I6" s="40" t="n"/>
      <c r="J6" s="40" t="n"/>
      <c r="K6" s="40" t="n"/>
      <c r="L6" s="18" t="inlineStr">
        <is>
          <t>REV6 constant</t>
        </is>
      </c>
    </row>
    <row r="7" ht="15" customHeight="1" s="3">
      <c r="A7" s="17" t="inlineStr">
        <is>
          <t>Variable cost % (mature)</t>
        </is>
      </c>
      <c r="B7" s="272">
        <f>Assumptions!C19</f>
        <v/>
      </c>
      <c r="C7" s="40" t="n"/>
      <c r="D7" s="40" t="n"/>
      <c r="E7" s="40" t="n"/>
      <c r="F7" s="40" t="n"/>
      <c r="G7" s="40" t="n"/>
      <c r="H7" s="40" t="n"/>
      <c r="I7" s="40" t="n"/>
      <c r="J7" s="40" t="n"/>
      <c r="K7" s="40" t="n"/>
      <c r="L7" s="18" t="inlineStr">
        <is>
          <t>Mature operations</t>
        </is>
      </c>
    </row>
    <row r="8" ht="15" customHeight="1" s="3">
      <c r="A8" s="17" t="inlineStr">
        <is>
          <t>Contribution margin % per hour</t>
        </is>
      </c>
      <c r="B8" s="272">
        <f>1-Assumptions!C19</f>
        <v/>
      </c>
      <c r="C8" s="40" t="n"/>
      <c r="D8" s="40" t="n"/>
      <c r="E8" s="40" t="n"/>
      <c r="F8" s="40" t="n"/>
      <c r="G8" s="40" t="n"/>
      <c r="H8" s="40" t="n"/>
      <c r="I8" s="40" t="n"/>
      <c r="J8" s="40" t="n"/>
      <c r="K8" s="40" t="n"/>
      <c r="L8" s="18" t="inlineStr">
        <is>
          <t>1 - variable cost %</t>
        </is>
      </c>
    </row>
    <row r="9" ht="15" customHeight="1" s="3">
      <c r="A9" s="17" t="inlineStr">
        <is>
          <t>Max revenue per CNC (MNOK)</t>
        </is>
      </c>
      <c r="B9" s="71">
        <f>Assumptions!C7*Assumptions!C8/1000000</f>
        <v/>
      </c>
      <c r="C9" s="40" t="n"/>
      <c r="D9" s="40" t="n"/>
      <c r="E9" s="40" t="n"/>
      <c r="F9" s="40" t="n"/>
      <c r="G9" s="40" t="n"/>
      <c r="H9" s="40" t="n"/>
      <c r="I9" s="40" t="n"/>
      <c r="J9" s="40" t="n"/>
      <c r="K9" s="40" t="n"/>
      <c r="L9" s="18" t="inlineStr">
        <is>
          <t>hours × Rate</t>
        </is>
      </c>
    </row>
    <row r="11" ht="15" customHeight="1" s="3">
      <c r="A11" s="69" t="inlineStr">
        <is>
          <t>Direct costs per CNC (annual, MNOK):</t>
        </is>
      </c>
    </row>
    <row r="12" ht="15" customHeight="1" s="3">
      <c r="A12" s="17" t="inlineStr">
        <is>
          <t>Depreciation</t>
        </is>
      </c>
      <c r="B12" s="273">
        <f>Assumptions!C23/Assumptions!C24/1000000</f>
        <v/>
      </c>
      <c r="C12" s="40" t="n"/>
      <c r="D12" s="40" t="n"/>
      <c r="E12" s="40" t="n"/>
      <c r="F12" s="40" t="n"/>
      <c r="G12" s="40" t="n"/>
      <c r="H12" s="40" t="n"/>
      <c r="I12" s="40" t="n"/>
      <c r="J12" s="40" t="n"/>
      <c r="K12" s="40" t="n"/>
      <c r="L12" s="18" t="inlineStr">
        <is>
          <t>10M / 8yr = 1.25M</t>
        </is>
      </c>
    </row>
    <row r="13" ht="15" customHeight="1" s="3">
      <c r="A13" s="17" t="inlineStr">
        <is>
          <t>Debt interest (per CNC)</t>
        </is>
      </c>
      <c r="B13" s="273">
        <f>Assumptions!C23*0.5*Assumptions!C26/1000000</f>
        <v/>
      </c>
      <c r="C13" s="40" t="n"/>
      <c r="D13" s="40" t="n"/>
      <c r="E13" s="40" t="n"/>
      <c r="F13" s="40" t="n"/>
      <c r="G13" s="40" t="n"/>
      <c r="H13" s="40" t="n"/>
      <c r="I13" s="40" t="n"/>
      <c r="J13" s="40" t="n"/>
      <c r="K13" s="40" t="n"/>
      <c r="L13" s="18" t="inlineStr">
        <is>
          <t>50% debt × 7.5% rate = 0.375M</t>
        </is>
      </c>
    </row>
    <row r="14" ht="15" customHeight="1" s="3">
      <c r="A14" s="17" t="inlineStr">
        <is>
          <t>Operating cost allocation</t>
        </is>
      </c>
      <c r="B14" s="273" t="n">
        <v>0.15</v>
      </c>
      <c r="C14" s="40" t="n"/>
      <c r="D14" s="40" t="n"/>
      <c r="E14" s="40" t="n"/>
      <c r="F14" s="40" t="n"/>
      <c r="G14" s="40" t="n"/>
      <c r="H14" s="40" t="n"/>
      <c r="I14" s="40" t="n"/>
      <c r="J14" s="40" t="n"/>
      <c r="K14" s="40" t="n"/>
      <c r="L14" s="18" t="inlineStr">
        <is>
          <t>REV6: 150K per CNC (other opex)</t>
        </is>
      </c>
    </row>
    <row r="15" ht="15" customHeight="1" s="3">
      <c r="A15" s="17" t="inlineStr">
        <is>
          <t>Allocated ops payroll (per CNC)</t>
        </is>
      </c>
      <c r="B15" s="273">
        <f>Assumptions!C52*16/20/1000000</f>
        <v/>
      </c>
      <c r="C15" s="40" t="n"/>
      <c r="D15" s="40" t="n"/>
      <c r="E15" s="40" t="n"/>
      <c r="F15" s="40" t="n"/>
      <c r="G15" s="40" t="n"/>
      <c r="H15" s="40" t="n"/>
      <c r="I15" s="40" t="n"/>
      <c r="J15" s="40" t="n"/>
      <c r="K15" s="40" t="n"/>
      <c r="L15" s="18" t="inlineStr">
        <is>
          <t>16 ops FTE × 1.1M / 20 CNC</t>
        </is>
      </c>
    </row>
    <row r="16" ht="15" customHeight="1" s="3">
      <c r="A16" s="17" t="inlineStr">
        <is>
          <t>Allocated admin + lease (per CNC)</t>
        </is>
      </c>
      <c r="B16" s="273">
        <f>(Assumptions!C53*4+Assumptions!C68)/20/1000000</f>
        <v/>
      </c>
      <c r="C16" s="40" t="n"/>
      <c r="D16" s="40" t="n"/>
      <c r="E16" s="40" t="n"/>
      <c r="F16" s="40" t="n"/>
      <c r="G16" s="40" t="n"/>
      <c r="H16" s="40" t="n"/>
      <c r="I16" s="40" t="n"/>
      <c r="J16" s="40" t="n"/>
      <c r="K16" s="40" t="n"/>
      <c r="L16" s="18" t="inlineStr">
        <is>
          <t>(4 admin × 1.4M + 5.2M lease) / 20 CNC</t>
        </is>
      </c>
    </row>
    <row r="17" ht="15" customHeight="1" s="3">
      <c r="A17" s="17" t="inlineStr">
        <is>
          <t>Allocated shop base depr. (per CNC)</t>
        </is>
      </c>
      <c r="B17" s="273">
        <f>Assumptions!C71/20/1000000</f>
        <v/>
      </c>
      <c r="C17" s="40" t="n"/>
      <c r="D17" s="40" t="n"/>
      <c r="E17" s="40" t="n"/>
      <c r="F17" s="40" t="n"/>
      <c r="G17" s="40" t="n"/>
      <c r="H17" s="40" t="n"/>
      <c r="I17" s="40" t="n"/>
      <c r="J17" s="40" t="n"/>
      <c r="K17" s="40" t="n"/>
      <c r="L17" s="18" t="inlineStr">
        <is>
          <t>1.075M / 20 CNC</t>
        </is>
      </c>
    </row>
    <row r="18" ht="15" customHeight="1" s="3">
      <c r="A18" s="25" t="inlineStr">
        <is>
          <t>TOTAL fully-loaded cost per CNC</t>
        </is>
      </c>
      <c r="B18" s="274">
        <f>SUM(B12:B17)</f>
        <v/>
      </c>
      <c r="C18" s="40" t="n"/>
      <c r="D18" s="40" t="n"/>
      <c r="E18" s="40" t="n"/>
      <c r="F18" s="40" t="n"/>
      <c r="G18" s="40" t="n"/>
      <c r="H18" s="40" t="n"/>
      <c r="I18" s="40" t="n"/>
      <c r="J18" s="40" t="n"/>
      <c r="K18" s="40" t="n"/>
      <c r="L18" s="18" t="inlineStr">
        <is>
          <t>Sum of direct + allocated costs</t>
        </is>
      </c>
    </row>
    <row r="19" ht="15" customHeight="1" s="3"/>
    <row r="20" ht="15.75" customHeight="1" s="3">
      <c r="A20" s="160" t="inlineStr">
        <is>
          <t>MACHINE-LEVEL BREAK-EVEN:</t>
        </is>
      </c>
    </row>
    <row r="21" ht="15" customHeight="1" s="3">
      <c r="A21" s="25" t="inlineStr">
        <is>
          <t>Break-even revenue per CNC (MNOK)</t>
        </is>
      </c>
      <c r="B21" s="230">
        <f>B18/(1-Assumptions!C19)</f>
        <v/>
      </c>
      <c r="C21" s="40" t="n"/>
      <c r="D21" s="40" t="n"/>
      <c r="E21" s="40" t="n"/>
      <c r="F21" s="40" t="n"/>
      <c r="G21" s="40" t="n"/>
      <c r="H21" s="40" t="n"/>
      <c r="I21" s="40" t="n"/>
      <c r="J21" s="40" t="n"/>
      <c r="K21" s="40" t="n"/>
      <c r="L21" s="18" t="inlineStr">
        <is>
          <t>direct cost / (1 - var%)</t>
        </is>
      </c>
    </row>
    <row r="22" ht="15" customHeight="1" s="3">
      <c r="A22" s="25" t="inlineStr">
        <is>
          <t>Break-even hours per CNC</t>
        </is>
      </c>
      <c r="B22" s="161">
        <f>B21*1000000/Assumptions!C8</f>
        <v/>
      </c>
      <c r="C22" s="40" t="n"/>
      <c r="D22" s="40" t="n"/>
      <c r="E22" s="40" t="n"/>
      <c r="F22" s="40" t="n"/>
      <c r="G22" s="40" t="n"/>
      <c r="H22" s="40" t="n"/>
      <c r="I22" s="40" t="n"/>
      <c r="J22" s="40" t="n"/>
      <c r="K22" s="40" t="n"/>
      <c r="L22" s="18" t="inlineStr">
        <is>
          <t>be revenue / hourly rate</t>
        </is>
      </c>
    </row>
    <row r="23" ht="27.75" customHeight="1" s="3">
      <c r="A23" s="25" t="inlineStr">
        <is>
          <t>Break-even utilization %</t>
        </is>
      </c>
      <c r="B23" s="275">
        <f>B22/Assumptions!C7</f>
        <v/>
      </c>
      <c r="C23" s="40" t="n"/>
      <c r="D23" s="40" t="n"/>
      <c r="E23" s="40" t="n"/>
      <c r="F23" s="40" t="n"/>
      <c r="G23" s="40" t="n"/>
      <c r="H23" s="40" t="n"/>
      <c r="I23" s="40" t="n"/>
      <c r="J23" s="40" t="n"/>
      <c r="K23" s="40" t="n"/>
      <c r="L23" s="18" t="inlineStr">
        <is>
          <t>≈be hours / 8,760 = ~13.5%</t>
        </is>
      </c>
    </row>
    <row r="24" ht="15" customHeight="1" s="3"/>
    <row r="25" ht="15" customHeight="1" s="3">
      <c r="A25" s="69" t="inlineStr">
        <is>
          <t>Safety Margin Above Machine Break-Even:</t>
        </is>
      </c>
    </row>
    <row r="26" ht="15" customHeight="1" s="3">
      <c r="A26" s="81" t="inlineStr">
        <is>
          <t>Utilization %</t>
        </is>
      </c>
      <c r="B26" s="81" t="inlineStr">
        <is>
          <t>Hours
Used</t>
        </is>
      </c>
      <c r="C26" s="81" t="inlineStr">
        <is>
          <t>Revenue
(MNOK)</t>
        </is>
      </c>
      <c r="D26" s="81" t="inlineStr">
        <is>
          <t>Variable
Costs</t>
        </is>
      </c>
      <c r="E26" s="81" t="inlineStr">
        <is>
          <t>Direct
Fixed Costs</t>
        </is>
      </c>
      <c r="F26" s="81" t="inlineStr">
        <is>
          <t>Contribution
(MNOK)</t>
        </is>
      </c>
      <c r="G26" s="81" t="inlineStr">
        <is>
          <t>Safety Margin
vs BE</t>
        </is>
      </c>
    </row>
    <row r="27" ht="15" customHeight="1" s="3">
      <c r="A27" s="276" t="n">
        <v>0.135</v>
      </c>
      <c r="B27" s="164" t="n">
        <v>1182.6</v>
      </c>
      <c r="C27" s="277" t="n">
        <v>3.5478</v>
      </c>
      <c r="D27" s="277" t="n">
        <v>0.283824</v>
      </c>
      <c r="E27" s="277" t="n">
        <v>1.775</v>
      </c>
      <c r="F27" s="277" t="n">
        <v>1.488976</v>
      </c>
      <c r="G27" s="278" t="n">
        <v>0.8388597183098599</v>
      </c>
      <c r="H27" s="14" t="inlineStr">
        <is>
          <t>≈ BREAK-EVEN</t>
        </is>
      </c>
    </row>
    <row r="28" ht="15" customHeight="1" s="3">
      <c r="A28" s="279" t="n">
        <v>0.2</v>
      </c>
      <c r="B28" s="168" t="n">
        <v>1752</v>
      </c>
      <c r="C28" s="280" t="n">
        <v>5.256</v>
      </c>
      <c r="D28" s="280" t="n">
        <v>0.42048</v>
      </c>
      <c r="E28" s="280" t="n">
        <v>1.775</v>
      </c>
      <c r="F28" s="280" t="n">
        <v>3.06052</v>
      </c>
      <c r="G28" s="281" t="n">
        <v>1.72423661971831</v>
      </c>
      <c r="H28" s="14" t="n"/>
    </row>
    <row r="29" ht="15" customHeight="1" s="3">
      <c r="A29" s="279" t="n">
        <v>0.3</v>
      </c>
      <c r="B29" s="168" t="n">
        <v>2628</v>
      </c>
      <c r="C29" s="280" t="n">
        <v>7.884</v>
      </c>
      <c r="D29" s="280" t="n">
        <v>0.6307199999999999</v>
      </c>
      <c r="E29" s="280" t="n">
        <v>1.775</v>
      </c>
      <c r="F29" s="280" t="n">
        <v>5.47828</v>
      </c>
      <c r="G29" s="281" t="n">
        <v>3.08635492957747</v>
      </c>
      <c r="H29" s="14" t="n"/>
    </row>
    <row r="30" ht="15" customHeight="1" s="3">
      <c r="A30" s="279" t="n">
        <v>0.4</v>
      </c>
      <c r="B30" s="168" t="n">
        <v>3504</v>
      </c>
      <c r="C30" s="280" t="n">
        <v>10.512</v>
      </c>
      <c r="D30" s="280" t="n">
        <v>0.84096</v>
      </c>
      <c r="E30" s="280" t="n">
        <v>1.775</v>
      </c>
      <c r="F30" s="280" t="n">
        <v>7.89604</v>
      </c>
      <c r="G30" s="281" t="n">
        <v>4.44847323943662</v>
      </c>
      <c r="H30" s="14" t="n"/>
    </row>
    <row r="31" ht="15" customHeight="1" s="3">
      <c r="A31" s="279" t="n">
        <v>0.5</v>
      </c>
      <c r="B31" s="168" t="n">
        <v>4380</v>
      </c>
      <c r="C31" s="280" t="n">
        <v>13.14</v>
      </c>
      <c r="D31" s="280" t="n">
        <v>1.0512</v>
      </c>
      <c r="E31" s="280" t="n">
        <v>1.775</v>
      </c>
      <c r="F31" s="280" t="n">
        <v>10.3138</v>
      </c>
      <c r="G31" s="281" t="n">
        <v>5.81059154929578</v>
      </c>
      <c r="H31" s="14" t="n"/>
    </row>
    <row r="32" ht="15" customHeight="1" s="3">
      <c r="A32" s="282" t="n">
        <v>0.6</v>
      </c>
      <c r="B32" s="283" t="n"/>
      <c r="C32" s="283" t="n"/>
      <c r="D32" s="283" t="n"/>
      <c r="E32" s="283" t="n"/>
      <c r="F32" s="283" t="n"/>
      <c r="G32" s="284" t="n"/>
      <c r="H32" s="14" t="inlineStr">
        <is>
          <t>BASE CASE</t>
        </is>
      </c>
    </row>
    <row r="33" ht="15" customHeight="1" s="3">
      <c r="A33" s="279" t="n">
        <v>0.65</v>
      </c>
      <c r="B33" s="168" t="n">
        <v>5694</v>
      </c>
      <c r="C33" s="280" t="n">
        <v>17.082</v>
      </c>
      <c r="D33" s="280" t="n">
        <v>1.36656</v>
      </c>
      <c r="E33" s="280" t="n">
        <v>1.775</v>
      </c>
      <c r="F33" s="280" t="n">
        <v>13.94044</v>
      </c>
      <c r="G33" s="281" t="n">
        <v>7.85376901408451</v>
      </c>
      <c r="H33" s="14" t="n"/>
    </row>
    <row r="35" ht="15" customHeight="1" s="3">
      <c r="A35" s="5" t="inlineStr">
        <is>
          <t>At 60% utilization, each CNC contributes ~22.4 MNOK above its direct costs. Safety margin: 12.6x above break-even.</t>
        </is>
      </c>
    </row>
    <row r="36" ht="27.75" customHeight="1" s="3"/>
    <row r="37" ht="15" customHeight="1" s="3"/>
    <row r="38" ht="15" customHeight="1" s="3">
      <c r="A38" s="16" t="inlineStr">
        <is>
          <t>2. Company-Level Break-Even (REV6 §5.2)</t>
        </is>
      </c>
      <c r="B38" s="29" t="n"/>
      <c r="C38" s="29" t="n"/>
      <c r="D38" s="29" t="n"/>
      <c r="E38" s="29" t="n"/>
      <c r="F38" s="29" t="n"/>
      <c r="G38" s="29" t="n"/>
      <c r="H38" s="29" t="n"/>
      <c r="I38" s="29" t="n"/>
      <c r="J38" s="29" t="n"/>
      <c r="K38" s="29" t="n"/>
      <c r="L38" s="29" t="n"/>
    </row>
    <row r="39" ht="15" customHeight="1" s="3">
      <c r="A39" s="81" t="inlineStr">
        <is>
          <t>CNC
Count</t>
        </is>
      </c>
      <c r="B39" s="81" t="inlineStr">
        <is>
          <t>Ops
FTEs</t>
        </is>
      </c>
      <c r="C39" s="81" t="inlineStr">
        <is>
          <t>Ops
Payroll</t>
        </is>
      </c>
      <c r="D39" s="81" t="inlineStr">
        <is>
          <t>Admin
Payroll</t>
        </is>
      </c>
      <c r="E39" s="81" t="inlineStr">
        <is>
          <t>CNC
Depr.</t>
        </is>
      </c>
      <c r="F39" s="81" t="inlineStr">
        <is>
          <t>Shop Base
Depr.</t>
        </is>
      </c>
      <c r="G39" s="81" t="inlineStr">
        <is>
          <t>Interest
Cost</t>
        </is>
      </c>
      <c r="H39" s="81" t="inlineStr">
        <is>
          <t>Facility
Lease</t>
        </is>
      </c>
      <c r="I39" s="81" t="inlineStr">
        <is>
          <t>Other
OpEx</t>
        </is>
      </c>
      <c r="J39" s="81" t="inlineStr">
        <is>
          <t>Total Fixed
(MNOK)</t>
        </is>
      </c>
      <c r="K39" s="81" t="inlineStr">
        <is>
          <t>BE Revenue
(MNOK)</t>
        </is>
      </c>
      <c r="L39" s="81" t="inlineStr">
        <is>
          <t>BE Util. %</t>
        </is>
      </c>
    </row>
    <row r="40" ht="15" customHeight="1" s="3">
      <c r="A40" s="168" t="n">
        <v>3</v>
      </c>
      <c r="B40" s="168" t="n">
        <v>5</v>
      </c>
      <c r="C40" s="285" t="n">
        <v>5.5</v>
      </c>
      <c r="D40" s="285" t="n">
        <v>5.6</v>
      </c>
      <c r="E40" s="285" t="n">
        <v>3.75</v>
      </c>
      <c r="F40" s="280" t="n">
        <v>1.075</v>
      </c>
      <c r="G40" s="285" t="n">
        <v>1.125</v>
      </c>
      <c r="H40" s="285" t="n">
        <v>5.2</v>
      </c>
      <c r="I40" s="285" t="n">
        <v>0.45</v>
      </c>
      <c r="J40" s="285" t="n">
        <v>22.7</v>
      </c>
      <c r="K40" s="285" t="n">
        <v>24.6739130434783</v>
      </c>
      <c r="L40" s="286" t="n">
        <v>0.312961860013677</v>
      </c>
      <c r="M40" s="14" t="inlineStr">
        <is>
          <t>Tight</t>
        </is>
      </c>
    </row>
    <row r="41" ht="15" customHeight="1" s="3">
      <c r="A41" s="168" t="n">
        <v>4</v>
      </c>
      <c r="B41" s="168" t="n">
        <v>6</v>
      </c>
      <c r="C41" s="285" t="n">
        <v>6.6</v>
      </c>
      <c r="D41" s="285" t="n">
        <v>5.6</v>
      </c>
      <c r="E41" s="285" t="n">
        <v>5</v>
      </c>
      <c r="F41" s="280" t="n">
        <v>1.075</v>
      </c>
      <c r="G41" s="285" t="n">
        <v>1.5</v>
      </c>
      <c r="H41" s="285" t="n">
        <v>5.2</v>
      </c>
      <c r="I41" s="285" t="n">
        <v>0.6</v>
      </c>
      <c r="J41" s="285" t="n">
        <v>25.575</v>
      </c>
      <c r="K41" s="285" t="n">
        <v>27.7989130434783</v>
      </c>
      <c r="L41" s="286" t="n">
        <v>0.264449324995037</v>
      </c>
      <c r="M41" s="14" t="inlineStr">
        <is>
          <t>Possible</t>
        </is>
      </c>
    </row>
    <row r="42" ht="15" customHeight="1" s="3">
      <c r="A42" s="164" t="n">
        <v>5</v>
      </c>
      <c r="B42" s="164" t="n">
        <v>7</v>
      </c>
      <c r="C42" s="287" t="n">
        <v>7.7</v>
      </c>
      <c r="D42" s="287" t="n">
        <v>5.6</v>
      </c>
      <c r="E42" s="287" t="n">
        <v>6.25</v>
      </c>
      <c r="F42" s="277" t="n">
        <v>1.075</v>
      </c>
      <c r="G42" s="287" t="n">
        <v>1.875</v>
      </c>
      <c r="H42" s="287" t="n">
        <v>5.2</v>
      </c>
      <c r="I42" s="287" t="n">
        <v>0.75</v>
      </c>
      <c r="J42" s="287" t="n">
        <v>28.45</v>
      </c>
      <c r="K42" s="287" t="n">
        <v>30.9239130434783</v>
      </c>
      <c r="L42" s="288" t="n">
        <v>0.235341803983853</v>
      </c>
      <c r="M42" s="14" t="inlineStr">
        <is>
          <t>Achievable (Seed start)</t>
        </is>
      </c>
    </row>
    <row r="43" ht="15" customHeight="1" s="3">
      <c r="A43" s="168" t="n">
        <v>8</v>
      </c>
      <c r="B43" s="168" t="n">
        <v>8</v>
      </c>
      <c r="C43" s="285" t="n">
        <v>8.800000000000001</v>
      </c>
      <c r="D43" s="285" t="n">
        <v>5.6</v>
      </c>
      <c r="E43" s="285" t="n">
        <v>10</v>
      </c>
      <c r="F43" s="280" t="n">
        <v>1.075</v>
      </c>
      <c r="G43" s="285" t="n">
        <v>3</v>
      </c>
      <c r="H43" s="285" t="n">
        <v>5.2</v>
      </c>
      <c r="I43" s="285" t="n">
        <v>1.2</v>
      </c>
      <c r="J43" s="285" t="n">
        <v>34.875</v>
      </c>
      <c r="K43" s="285" t="n">
        <v>37.9076086956522</v>
      </c>
      <c r="L43" s="286" t="n">
        <v>0.180306357951161</v>
      </c>
      <c r="M43" s="14" t="inlineStr">
        <is>
          <t>Seed full fleet</t>
        </is>
      </c>
    </row>
    <row r="44" ht="15" customHeight="1" s="3">
      <c r="A44" s="168" t="n">
        <v>10</v>
      </c>
      <c r="B44" s="168" t="n">
        <v>10</v>
      </c>
      <c r="C44" s="285" t="n">
        <v>11</v>
      </c>
      <c r="D44" s="285" t="n">
        <v>5.6</v>
      </c>
      <c r="E44" s="285" t="n">
        <v>12.5</v>
      </c>
      <c r="F44" s="280" t="n">
        <v>1.075</v>
      </c>
      <c r="G44" s="285" t="n">
        <v>4.8225</v>
      </c>
      <c r="H44" s="285" t="n">
        <v>5.2</v>
      </c>
      <c r="I44" s="285" t="n">
        <v>1.5</v>
      </c>
      <c r="J44" s="285" t="n">
        <v>41.6975</v>
      </c>
      <c r="K44" s="285" t="n">
        <v>45.3233695652174</v>
      </c>
      <c r="L44" s="286" t="n">
        <v>0.17246335450996</v>
      </c>
      <c r="M44" s="14" t="inlineStr">
        <is>
          <t>Post tranche 1</t>
        </is>
      </c>
    </row>
    <row r="45" ht="15" customHeight="1" s="3">
      <c r="A45" s="168" t="n">
        <v>15</v>
      </c>
      <c r="B45" s="168" t="n">
        <v>13</v>
      </c>
      <c r="C45" s="285" t="n">
        <v>14.3</v>
      </c>
      <c r="D45" s="285" t="n">
        <v>5.6</v>
      </c>
      <c r="E45" s="285" t="n">
        <v>18.75</v>
      </c>
      <c r="F45" s="280" t="n">
        <v>1.075</v>
      </c>
      <c r="G45" s="285" t="n">
        <v>7.4475</v>
      </c>
      <c r="H45" s="285" t="n">
        <v>5.2</v>
      </c>
      <c r="I45" s="285" t="n">
        <v>2.25</v>
      </c>
      <c r="J45" s="285" t="n">
        <v>54.6225</v>
      </c>
      <c r="K45" s="285" t="n">
        <v>59.3722826086957</v>
      </c>
      <c r="L45" s="286" t="n">
        <v>0.150614618489842</v>
      </c>
      <c r="M45" s="14" t="inlineStr">
        <is>
          <t>Post tranche 2</t>
        </is>
      </c>
    </row>
    <row r="46" ht="15" customHeight="1" s="3">
      <c r="A46" s="125" t="n">
        <v>20</v>
      </c>
      <c r="B46" s="125" t="n">
        <v>16</v>
      </c>
      <c r="C46" s="248" t="n">
        <v>17.6</v>
      </c>
      <c r="D46" s="248" t="n">
        <v>5.6</v>
      </c>
      <c r="E46" s="248" t="n">
        <v>25</v>
      </c>
      <c r="F46" s="289" t="n">
        <v>1.075</v>
      </c>
      <c r="G46" s="248" t="n">
        <v>10.0725</v>
      </c>
      <c r="H46" s="248" t="n">
        <v>5.2</v>
      </c>
      <c r="I46" s="248" t="n">
        <v>3</v>
      </c>
      <c r="J46" s="248" t="n">
        <v>67.5475</v>
      </c>
      <c r="K46" s="248" t="n">
        <v>73.42119565217391</v>
      </c>
      <c r="L46" s="250" t="n">
        <v>0.139690250479783</v>
      </c>
      <c r="M46" s="14" t="inlineStr">
        <is>
          <t>Full fleet (steady state)</t>
        </is>
      </c>
    </row>
    <row r="47" ht="15" customHeight="1" s="3">
      <c r="A47" s="168" t="n">
        <v>25</v>
      </c>
      <c r="B47" s="168" t="n">
        <v>19</v>
      </c>
      <c r="C47" s="285" t="n">
        <v>20.9</v>
      </c>
      <c r="D47" s="285" t="n">
        <v>5.6</v>
      </c>
      <c r="E47" s="285" t="n">
        <v>31.25</v>
      </c>
      <c r="F47" s="280" t="n">
        <v>1.075</v>
      </c>
      <c r="G47" s="285" t="n">
        <v>12.6975</v>
      </c>
      <c r="H47" s="285" t="n">
        <v>5.2</v>
      </c>
      <c r="I47" s="285" t="n">
        <v>3.75</v>
      </c>
      <c r="J47" s="285" t="n">
        <v>80.4725</v>
      </c>
      <c r="K47" s="285" t="n">
        <v>87.4701086956522</v>
      </c>
      <c r="L47" s="286" t="n">
        <v>0.133135629673748</v>
      </c>
      <c r="M47" s="14" t="inlineStr">
        <is>
          <t>Bull case</t>
        </is>
      </c>
    </row>
    <row r="49" ht="15" customHeight="1" s="3">
      <c r="A49" s="7" t="inlineStr">
        <is>
          <t>KEY INSIGHT: At 20 CNC, company breaks even at just ~14% utilization. Seed round gives 8 CNC = 2x safety margin over break-even.</t>
        </is>
      </c>
    </row>
    <row r="50" ht="15" customHeight="1" s="3"/>
    <row r="51" ht="15" customHeight="1" s="3"/>
    <row r="52" ht="15" customHeight="1" s="3">
      <c r="A52" s="16" t="inlineStr">
        <is>
          <t>3. Contribution Margin Waterfall — 20 CNC @ 60% Utilization</t>
        </is>
      </c>
      <c r="B52" s="29" t="n"/>
      <c r="C52" s="29" t="n"/>
      <c r="D52" s="29" t="n"/>
      <c r="E52" s="29" t="n"/>
      <c r="F52" s="29" t="n"/>
      <c r="G52" s="29" t="n"/>
      <c r="H52" s="29" t="n"/>
      <c r="I52" s="29" t="n"/>
      <c r="J52" s="29" t="n"/>
      <c r="K52" s="29" t="n"/>
      <c r="L52" s="29" t="n"/>
    </row>
    <row r="53" ht="15" customHeight="1" s="3">
      <c r="A53" s="17" t="inlineStr">
        <is>
          <t>Gross Revenue</t>
        </is>
      </c>
      <c r="B53" s="290" t="n">
        <v>315.4</v>
      </c>
      <c r="C53" s="40" t="n"/>
      <c r="D53" s="40" t="n"/>
      <c r="E53" s="40" t="n"/>
      <c r="F53" s="40" t="n"/>
      <c r="G53" s="40" t="n"/>
      <c r="H53" s="40" t="n"/>
      <c r="I53" s="40" t="n"/>
      <c r="J53" s="40" t="n"/>
      <c r="K53" s="40" t="n"/>
      <c r="L53" s="18" t="inlineStr">
        <is>
          <t>20 CNC × 8,760h × 60% × 3,000 NOK</t>
        </is>
      </c>
    </row>
    <row r="54" ht="15" customHeight="1" s="3">
      <c r="A54" s="17" t="inlineStr">
        <is>
          <t>Less: Variable costs (8%)</t>
        </is>
      </c>
      <c r="B54" s="291" t="n">
        <v>-25.2</v>
      </c>
      <c r="C54" s="40" t="n"/>
      <c r="D54" s="40" t="n"/>
      <c r="E54" s="40" t="n"/>
      <c r="F54" s="40" t="n"/>
      <c r="G54" s="40" t="n"/>
      <c r="H54" s="40" t="n"/>
      <c r="I54" s="40" t="n"/>
      <c r="J54" s="40" t="n"/>
      <c r="K54" s="40" t="n"/>
      <c r="L54" s="18" t="inlineStr">
        <is>
          <t>Materials, tools, energy, consumables</t>
        </is>
      </c>
    </row>
    <row r="55" ht="15" customHeight="1" s="3">
      <c r="A55" s="50" t="inlineStr">
        <is>
          <t>→ CONTRIBUTION MARGIN</t>
        </is>
      </c>
      <c r="B55" s="292" t="n">
        <v>290.2</v>
      </c>
      <c r="C55" s="52" t="n"/>
      <c r="D55" s="52" t="n"/>
      <c r="E55" s="52" t="n"/>
      <c r="F55" s="52" t="n"/>
      <c r="G55" s="52" t="n"/>
      <c r="H55" s="52" t="n"/>
      <c r="I55" s="52" t="n"/>
      <c r="J55" s="52" t="n"/>
      <c r="K55" s="52" t="n"/>
      <c r="L55" s="43" t="inlineStr">
        <is>
          <t>92% of revenue</t>
        </is>
      </c>
    </row>
    <row r="56" ht="15" customHeight="1" s="3"/>
    <row r="57" ht="15" customHeight="1" s="3">
      <c r="A57" s="17" t="inlineStr">
        <is>
          <t>Less: Operational payroll</t>
        </is>
      </c>
      <c r="B57" s="291" t="n">
        <v>-17.6</v>
      </c>
      <c r="C57" s="40" t="n"/>
      <c r="D57" s="40" t="n"/>
      <c r="E57" s="40" t="n"/>
      <c r="F57" s="40" t="n"/>
      <c r="G57" s="40" t="n"/>
      <c r="H57" s="40" t="n"/>
      <c r="I57" s="40" t="n"/>
      <c r="J57" s="40" t="n"/>
      <c r="K57" s="40" t="n"/>
      <c r="L57" s="18" t="inlineStr">
        <is>
          <t>16 FTE × 1.1M (sub-linear staffing)</t>
        </is>
      </c>
    </row>
    <row r="58" ht="15" customHeight="1" s="3">
      <c r="A58" s="17" t="inlineStr">
        <is>
          <t>Less: Admin payroll</t>
        </is>
      </c>
      <c r="B58" s="291" t="n">
        <v>-5.6</v>
      </c>
      <c r="C58" s="40" t="n"/>
      <c r="D58" s="40" t="n"/>
      <c r="E58" s="40" t="n"/>
      <c r="F58" s="40" t="n"/>
      <c r="G58" s="40" t="n"/>
      <c r="H58" s="40" t="n"/>
      <c r="I58" s="40" t="n"/>
      <c r="J58" s="40" t="n"/>
      <c r="K58" s="40" t="n"/>
      <c r="L58" s="18" t="inlineStr">
        <is>
          <t>4 FTE × 1.4M</t>
        </is>
      </c>
    </row>
    <row r="59" ht="15" customHeight="1" s="3">
      <c r="A59" s="17" t="inlineStr">
        <is>
          <t>Less: CNC depreciation</t>
        </is>
      </c>
      <c r="B59" s="291" t="n">
        <v>-25</v>
      </c>
      <c r="C59" s="40" t="n"/>
      <c r="D59" s="40" t="n"/>
      <c r="E59" s="40" t="n"/>
      <c r="F59" s="40" t="n"/>
      <c r="G59" s="40" t="n"/>
      <c r="H59" s="40" t="n"/>
      <c r="I59" s="40" t="n"/>
      <c r="J59" s="40" t="n"/>
      <c r="K59" s="40" t="n"/>
      <c r="L59" s="18" t="inlineStr">
        <is>
          <t>20 × 10M / 8yr</t>
        </is>
      </c>
    </row>
    <row r="60" ht="15" customHeight="1" s="3">
      <c r="A60" s="17" t="inlineStr">
        <is>
          <t>Less: Shop base depreciation</t>
        </is>
      </c>
      <c r="B60" s="291" t="n">
        <v>-1.075</v>
      </c>
      <c r="C60" s="40" t="n"/>
      <c r="D60" s="40" t="n"/>
      <c r="E60" s="40" t="n"/>
      <c r="F60" s="40" t="n"/>
      <c r="G60" s="40" t="n"/>
      <c r="H60" s="40" t="n"/>
      <c r="I60" s="40" t="n"/>
      <c r="J60" s="40" t="n"/>
      <c r="K60" s="40" t="n"/>
      <c r="L60" s="18" t="inlineStr">
        <is>
          <t>8.6M / 8yr</t>
        </is>
      </c>
    </row>
    <row r="61" ht="15" customHeight="1" s="3">
      <c r="A61" s="17" t="inlineStr">
        <is>
          <t>Less: Finance cost (interest)</t>
        </is>
      </c>
      <c r="B61" s="291" t="n">
        <v>-10.07</v>
      </c>
      <c r="C61" s="40" t="n"/>
      <c r="D61" s="40" t="n"/>
      <c r="E61" s="40" t="n"/>
      <c r="F61" s="40" t="n"/>
      <c r="G61" s="40" t="n"/>
      <c r="H61" s="40" t="n"/>
      <c r="I61" s="40" t="n"/>
      <c r="J61" s="40" t="n"/>
      <c r="K61" s="40" t="n"/>
      <c r="L61" s="18" t="inlineStr">
        <is>
          <t>134.3M × 7.5%</t>
        </is>
      </c>
    </row>
    <row r="62" ht="15" customHeight="1" s="3">
      <c r="A62" s="17" t="inlineStr">
        <is>
          <t>Less: Facility lease</t>
        </is>
      </c>
      <c r="B62" s="291" t="n">
        <v>-5.2</v>
      </c>
      <c r="C62" s="40" t="n"/>
      <c r="D62" s="40" t="n"/>
      <c r="E62" s="40" t="n"/>
      <c r="F62" s="40" t="n"/>
      <c r="G62" s="40" t="n"/>
      <c r="H62" s="40" t="n"/>
      <c r="I62" s="40" t="n"/>
      <c r="J62" s="40" t="n"/>
      <c r="K62" s="40" t="n"/>
      <c r="L62" s="18" t="inlineStr">
        <is>
          <t>Annual lease Norbygg</t>
        </is>
      </c>
    </row>
    <row r="63" ht="15.75" customHeight="1" s="3">
      <c r="A63" s="17" t="inlineStr">
        <is>
          <t>Less: Other operating costs</t>
        </is>
      </c>
      <c r="B63" s="291" t="n">
        <v>-3</v>
      </c>
      <c r="C63" s="40" t="n"/>
      <c r="D63" s="40" t="n"/>
      <c r="E63" s="40" t="n"/>
      <c r="F63" s="40" t="n"/>
      <c r="G63" s="40" t="n"/>
      <c r="H63" s="40" t="n"/>
      <c r="I63" s="40" t="n"/>
      <c r="J63" s="40" t="n"/>
      <c r="K63" s="40" t="n"/>
      <c r="L63" s="18" t="inlineStr">
        <is>
          <t>20 × 150K</t>
        </is>
      </c>
    </row>
    <row r="64" ht="15" customHeight="1" s="3">
      <c r="A64" s="50" t="inlineStr">
        <is>
          <t>→ TOTAL FIXED COSTS</t>
        </is>
      </c>
      <c r="B64" s="293" t="n">
        <v>-67.5</v>
      </c>
      <c r="C64" s="52" t="n"/>
      <c r="D64" s="52" t="n"/>
      <c r="E64" s="52" t="n"/>
      <c r="F64" s="52" t="n"/>
      <c r="G64" s="52" t="n"/>
      <c r="H64" s="52" t="n"/>
      <c r="I64" s="52" t="n"/>
      <c r="J64" s="52" t="n"/>
      <c r="K64" s="52" t="n"/>
      <c r="L64" s="43" t="inlineStr">
        <is>
          <t>Sum of above</t>
        </is>
      </c>
    </row>
    <row r="66" ht="15.75" customHeight="1" s="3">
      <c r="A66" s="50" t="inlineStr">
        <is>
          <t>→ EBIT (Operating Profit)</t>
        </is>
      </c>
      <c r="B66" s="294" t="n">
        <v>222.7</v>
      </c>
      <c r="C66" s="52" t="n"/>
      <c r="D66" s="52" t="n"/>
      <c r="E66" s="52" t="n"/>
      <c r="F66" s="52" t="n"/>
      <c r="G66" s="52" t="n"/>
      <c r="H66" s="52" t="n"/>
      <c r="I66" s="52" t="n"/>
      <c r="J66" s="52" t="n"/>
      <c r="K66" s="52" t="n"/>
      <c r="L66" s="43" t="inlineStr">
        <is>
          <t>Contribution margin - Fixed costs</t>
        </is>
      </c>
    </row>
    <row r="67" ht="15" customHeight="1" s="3">
      <c r="A67" s="17" t="inlineStr">
        <is>
          <t>EBIT Margin</t>
        </is>
      </c>
      <c r="B67" s="40" t="n"/>
      <c r="C67" s="40" t="n"/>
      <c r="D67" s="40" t="n"/>
      <c r="E67" s="40" t="n"/>
      <c r="F67" s="40" t="n"/>
      <c r="G67" s="40" t="n"/>
      <c r="H67" s="40" t="n"/>
      <c r="I67" s="40" t="n"/>
      <c r="J67" s="40" t="n"/>
      <c r="K67" s="40" t="n"/>
      <c r="L67" s="18" t="inlineStr">
        <is>
          <t>EBIT / Revenue</t>
        </is>
      </c>
    </row>
    <row r="68" ht="27.75" customHeight="1" s="3"/>
    <row r="69" ht="15" customHeight="1" s="3"/>
    <row r="70" ht="15" customHeight="1" s="3">
      <c r="A70" s="16" t="inlineStr">
        <is>
          <t>4. Downside Protection — Safety Margins</t>
        </is>
      </c>
      <c r="B70" s="29" t="n"/>
      <c r="C70" s="29" t="n"/>
      <c r="D70" s="29" t="n"/>
      <c r="E70" s="29" t="n"/>
      <c r="F70" s="29" t="n"/>
      <c r="G70" s="29" t="n"/>
      <c r="H70" s="29" t="n"/>
      <c r="I70" s="29" t="n"/>
      <c r="J70" s="29" t="n"/>
      <c r="K70" s="29" t="n"/>
      <c r="L70" s="29" t="n"/>
    </row>
    <row r="71" ht="15" customHeight="1" s="3">
      <c r="A71" s="81" t="inlineStr">
        <is>
          <t>Metric</t>
        </is>
      </c>
      <c r="B71" s="81" t="inlineStr">
        <is>
          <t>Break-Even
Level</t>
        </is>
      </c>
      <c r="C71" s="81" t="inlineStr">
        <is>
          <t>Base Case
Level</t>
        </is>
      </c>
      <c r="D71" s="81" t="inlineStr">
        <is>
          <t>Safety
Margin</t>
        </is>
      </c>
      <c r="E71" s="81" t="inlineStr">
        <is>
          <t>Implication</t>
        </is>
      </c>
    </row>
    <row r="72" ht="15" customHeight="1" s="3">
      <c r="A72" s="181" t="inlineStr">
        <is>
          <t>Machine utilization</t>
        </is>
      </c>
      <c r="B72" s="182" t="inlineStr">
        <is>
          <t>~13.5%</t>
        </is>
      </c>
      <c r="C72" s="183" t="inlineStr">
        <is>
          <t>60%</t>
        </is>
      </c>
      <c r="D72" s="184" t="inlineStr">
        <is>
          <t>4.4x</t>
        </is>
      </c>
      <c r="E72" s="185" t="inlineStr">
        <is>
          <t>Each CNC profitable well below target</t>
        </is>
      </c>
    </row>
    <row r="73" ht="15" customHeight="1" s="3">
      <c r="A73" s="181" t="inlineStr">
        <is>
          <t>Company utilization (20 CNC)</t>
        </is>
      </c>
      <c r="B73" s="182" t="inlineStr">
        <is>
          <t>~14%</t>
        </is>
      </c>
      <c r="C73" s="183" t="inlineStr">
        <is>
          <t>60%</t>
        </is>
      </c>
      <c r="D73" s="184" t="inlineStr">
        <is>
          <t>4.3x</t>
        </is>
      </c>
      <c r="E73" s="185" t="inlineStr">
        <is>
          <t>Company profitable at 1/4 of target</t>
        </is>
      </c>
    </row>
    <row r="74" ht="15" customHeight="1" s="3">
      <c r="A74" s="181" t="inlineStr">
        <is>
          <t>Minimum CNC for breakeven</t>
        </is>
      </c>
      <c r="B74" s="182" t="inlineStr">
        <is>
          <t>3-4 CNC</t>
        </is>
      </c>
      <c r="C74" s="183" t="inlineStr">
        <is>
          <t>20 CNC</t>
        </is>
      </c>
      <c r="D74" s="184" t="inlineStr">
        <is>
          <t>5-7x</t>
        </is>
      </c>
      <c r="E74" s="185" t="inlineStr">
        <is>
          <t>Seed gives 8 CNC = massive buffer</t>
        </is>
      </c>
    </row>
    <row r="75" ht="15" customHeight="1" s="3">
      <c r="A75" s="181" t="inlineStr">
        <is>
          <t>Revenue needed (20 CNC, MNOK)</t>
        </is>
      </c>
      <c r="B75" s="182" t="inlineStr">
        <is>
          <t>73.4</t>
        </is>
      </c>
      <c r="C75" s="183" t="inlineStr">
        <is>
          <t>315.4</t>
        </is>
      </c>
      <c r="D75" s="184" t="inlineStr">
        <is>
          <t>4.3x</t>
        </is>
      </c>
      <c r="E75" s="185" t="inlineStr">
        <is>
          <t>Less than 25% of base revenue needed</t>
        </is>
      </c>
    </row>
    <row r="76" ht="15" customHeight="1" s="3">
      <c r="A76" s="181" t="inlineStr">
        <is>
          <t>Hours per CNC needed</t>
        </is>
      </c>
      <c r="B76" s="182" t="inlineStr">
        <is>
          <t>1,183</t>
        </is>
      </c>
      <c r="C76" s="183" t="inlineStr">
        <is>
          <t>5,256</t>
        </is>
      </c>
      <c r="D76" s="184" t="inlineStr">
        <is>
          <t>4.4x</t>
        </is>
      </c>
      <c r="E76" s="185" t="inlineStr">
        <is>
          <t>Only 3.2 hours/day needed for BE</t>
        </is>
      </c>
    </row>
    <row r="77" ht="15" customHeight="1" s="3">
      <c r="A77" s="181" t="inlineStr">
        <is>
          <t>Customers needed (est.)</t>
        </is>
      </c>
      <c r="B77" s="182" t="inlineStr">
        <is>
          <t>2-3</t>
        </is>
      </c>
      <c r="C77" s="183" t="inlineStr">
        <is>
          <t>8-15</t>
        </is>
      </c>
      <c r="D77" s="184" t="inlineStr">
        <is>
          <t>4-5x</t>
        </is>
      </c>
      <c r="E77" s="185" t="inlineStr">
        <is>
          <t>Just 2-3 active customers covers costs</t>
        </is>
      </c>
    </row>
    <row r="78" ht="15" customHeight="1" s="3"/>
    <row r="79" ht="41.25" customHeight="1" s="3"/>
    <row r="80" ht="15" customHeight="1" s="3"/>
    <row r="81" ht="15" customHeight="1" s="3">
      <c r="A81" s="16" t="inlineStr">
        <is>
          <t>5. CNC Payback Period (Per Machine)</t>
        </is>
      </c>
      <c r="B81" s="29" t="n"/>
      <c r="C81" s="29" t="n"/>
      <c r="D81" s="29" t="n"/>
      <c r="E81" s="29" t="n"/>
      <c r="F81" s="29" t="n"/>
      <c r="G81" s="29" t="n"/>
      <c r="H81" s="29" t="n"/>
      <c r="I81" s="29" t="n"/>
      <c r="J81" s="29" t="n"/>
      <c r="K81" s="29" t="n"/>
      <c r="L81" s="29" t="n"/>
    </row>
    <row r="82" ht="15" customHeight="1" s="3">
      <c r="A82" s="81" t="inlineStr">
        <is>
          <t>Utilization %</t>
        </is>
      </c>
      <c r="B82" s="81" t="inlineStr">
        <is>
          <t>Annual Revenue
per CNC (MNOK)</t>
        </is>
      </c>
      <c r="C82" s="81" t="inlineStr">
        <is>
          <t>Annual Costs
per CNC (MNOK)</t>
        </is>
      </c>
      <c r="D82" s="81" t="inlineStr">
        <is>
          <t>Annual Profit
per CNC (MNOK)</t>
        </is>
      </c>
      <c r="E82" s="81" t="inlineStr">
        <is>
          <t>CNC Investment
(MNOK)</t>
        </is>
      </c>
      <c r="F82" s="81" t="inlineStr">
        <is>
          <t>Payback
(Months)</t>
        </is>
      </c>
    </row>
    <row r="83" ht="15" customHeight="1" s="3">
      <c r="A83" s="286" t="n">
        <v>0.2</v>
      </c>
      <c r="B83" s="186" t="n">
        <v>5.256</v>
      </c>
      <c r="C83" s="186" t="n">
        <v>3.66923</v>
      </c>
      <c r="D83" s="186" t="n">
        <v>1.58677</v>
      </c>
      <c r="E83" s="285" t="n">
        <v>10</v>
      </c>
      <c r="F83" s="187" t="n">
        <v>75.6253269219862</v>
      </c>
    </row>
    <row r="84" ht="15" customHeight="1" s="3">
      <c r="A84" s="286" t="n">
        <v>0.3</v>
      </c>
      <c r="B84" s="186" t="n">
        <v>7.884</v>
      </c>
      <c r="C84" s="186" t="n">
        <v>3.87947</v>
      </c>
      <c r="D84" s="186" t="n">
        <v>4.00453</v>
      </c>
      <c r="E84" s="285" t="n">
        <v>10</v>
      </c>
      <c r="F84" s="168" t="n">
        <v>29.966063433162</v>
      </c>
    </row>
    <row r="85" ht="15" customHeight="1" s="3">
      <c r="A85" s="286" t="n">
        <v>0.4</v>
      </c>
      <c r="B85" s="186" t="n">
        <v>10.512</v>
      </c>
      <c r="C85" s="186" t="n">
        <v>4.08971</v>
      </c>
      <c r="D85" s="186" t="n">
        <v>6.42229</v>
      </c>
      <c r="E85" s="285" t="n">
        <v>10</v>
      </c>
      <c r="F85" s="168" t="n">
        <v>18.6849239134328</v>
      </c>
    </row>
    <row r="86" ht="15" customHeight="1" s="3">
      <c r="A86" s="286" t="n">
        <v>0.5</v>
      </c>
      <c r="B86" s="186" t="n">
        <v>13.14</v>
      </c>
      <c r="C86" s="186" t="n">
        <v>4.29995</v>
      </c>
      <c r="D86" s="186" t="n">
        <v>8.84005</v>
      </c>
      <c r="E86" s="285" t="n">
        <v>10</v>
      </c>
      <c r="F86" s="168" t="n">
        <v>13.5745838541637</v>
      </c>
    </row>
    <row r="87" ht="15" customHeight="1" s="3">
      <c r="A87" s="250" t="n">
        <v>0.6</v>
      </c>
      <c r="B87" s="283" t="n"/>
      <c r="C87" s="283" t="n"/>
      <c r="D87" s="283" t="n"/>
      <c r="E87" s="283" t="n"/>
      <c r="F87" s="284" t="n"/>
    </row>
    <row r="88" ht="15" customHeight="1" s="3">
      <c r="A88" s="286" t="n">
        <v>0.65</v>
      </c>
      <c r="B88" s="186" t="n">
        <v>17.082</v>
      </c>
      <c r="C88" s="186" t="n">
        <v>4.61531</v>
      </c>
      <c r="D88" s="186" t="n">
        <v>12.46669</v>
      </c>
      <c r="E88" s="285" t="n">
        <v>10</v>
      </c>
      <c r="F88" s="168" t="n">
        <v>9.62565043327459</v>
      </c>
    </row>
    <row r="90" ht="15" customHeight="1" s="3">
      <c r="A90" s="5" t="inlineStr">
        <is>
          <t>At 60% utilization, each CNC pays back in ~8 months. Even at 30%, payback is ~17 months.</t>
        </is>
      </c>
    </row>
    <row r="91" ht="27.75" customHeight="1" s="3"/>
    <row r="92" ht="15" customHeight="1" s="3"/>
    <row r="93" ht="15" customHeight="1" s="3">
      <c r="A93" s="16" t="inlineStr">
        <is>
          <t>6. Time-to-Break-Even by Phase</t>
        </is>
      </c>
      <c r="B93" s="29" t="n"/>
      <c r="C93" s="29" t="n"/>
      <c r="D93" s="29" t="n"/>
      <c r="E93" s="29" t="n"/>
      <c r="F93" s="29" t="n"/>
      <c r="G93" s="29" t="n"/>
      <c r="H93" s="29" t="n"/>
      <c r="I93" s="29" t="n"/>
      <c r="J93" s="29" t="n"/>
      <c r="K93" s="29" t="n"/>
      <c r="L93" s="29" t="n"/>
    </row>
    <row r="94" ht="15" customHeight="1" s="3">
      <c r="A94" s="81" t="inlineStr">
        <is>
          <t>Phase</t>
        </is>
      </c>
      <c r="B94" s="81" t="inlineStr">
        <is>
          <t>Period</t>
        </is>
      </c>
      <c r="C94" s="81" t="inlineStr">
        <is>
          <t>CNC
Machines</t>
        </is>
      </c>
      <c r="D94" s="81" t="inlineStr">
        <is>
          <t>Target
Util.</t>
        </is>
      </c>
      <c r="E94" s="81" t="inlineStr">
        <is>
          <t>Est. Revenue
(MNOK)</t>
        </is>
      </c>
      <c r="F94" s="81" t="inlineStr">
        <is>
          <t>Est. Costs
(MNOK)</t>
        </is>
      </c>
      <c r="G94" s="81" t="inlineStr">
        <is>
          <t>Est. EBIT
(MNOK)</t>
        </is>
      </c>
      <c r="H94" s="81" t="inlineStr">
        <is>
          <t>Cumulative
EBIT (MNOK)</t>
        </is>
      </c>
      <c r="I94" s="81" t="inlineStr">
        <is>
          <t>Status</t>
        </is>
      </c>
    </row>
    <row r="95" ht="15" customHeight="1" s="3">
      <c r="A95" s="188" t="inlineStr">
        <is>
          <t>PreSeed</t>
        </is>
      </c>
      <c r="B95" s="189" t="inlineStr">
        <is>
          <t>2026–Q2 2027</t>
        </is>
      </c>
      <c r="C95" s="190" t="n">
        <v>0</v>
      </c>
      <c r="D95" s="191" t="inlineStr">
        <is>
          <t>0%</t>
        </is>
      </c>
      <c r="E95" s="190" t="n">
        <v>0</v>
      </c>
      <c r="F95" s="190" t="n">
        <v>2.9</v>
      </c>
      <c r="G95" s="152" t="n">
        <v>-2.9</v>
      </c>
      <c r="H95" s="190" t="n">
        <v>-2.9</v>
      </c>
      <c r="I95" s="192" t="inlineStr">
        <is>
          <t>Pre-revenue (runway)</t>
        </is>
      </c>
    </row>
    <row r="96" ht="15" customHeight="1" s="3">
      <c r="A96" s="188" t="inlineStr">
        <is>
          <t>Seed — Ramp</t>
        </is>
      </c>
      <c r="B96" s="189" t="inlineStr">
        <is>
          <t>Q3 2027–2027</t>
        </is>
      </c>
      <c r="C96" s="190" t="n">
        <v>5</v>
      </c>
      <c r="D96" s="191" t="inlineStr">
        <is>
          <t>15–25%</t>
        </is>
      </c>
      <c r="E96" s="190" t="n">
        <v>13</v>
      </c>
      <c r="F96" s="190" t="n">
        <v>15</v>
      </c>
      <c r="G96" s="152" t="n">
        <v>-2</v>
      </c>
      <c r="H96" s="190" t="n">
        <v>-4.9</v>
      </c>
      <c r="I96" s="192" t="inlineStr">
        <is>
          <t>First production</t>
        </is>
      </c>
    </row>
    <row r="97" ht="15" customHeight="1" s="3">
      <c r="A97" s="193" t="inlineStr">
        <is>
          <t>Seed — Year 1</t>
        </is>
      </c>
      <c r="B97" s="189" t="inlineStr">
        <is>
          <t>2028</t>
        </is>
      </c>
      <c r="C97" s="194" t="n">
        <v>8</v>
      </c>
      <c r="D97" s="195" t="inlineStr">
        <is>
          <t>35%</t>
        </is>
      </c>
      <c r="E97" s="194" t="n">
        <v>73</v>
      </c>
      <c r="F97" s="194" t="n">
        <v>44</v>
      </c>
      <c r="G97" s="196" t="n">
        <v>29</v>
      </c>
      <c r="H97" s="196" t="n">
        <v>24.1</v>
      </c>
      <c r="I97" s="197" t="inlineStr">
        <is>
          <t>CF+ ← BREAK-EVEN YEAR</t>
        </is>
      </c>
    </row>
    <row r="98" ht="15" customHeight="1" s="3">
      <c r="A98" s="198" t="inlineStr">
        <is>
          <t>Seed — Year 2</t>
        </is>
      </c>
      <c r="B98" s="189" t="inlineStr">
        <is>
          <t>2029</t>
        </is>
      </c>
      <c r="C98" s="194" t="n">
        <v>11</v>
      </c>
      <c r="D98" s="195" t="inlineStr">
        <is>
          <t>40%</t>
        </is>
      </c>
      <c r="E98" s="194" t="n">
        <v>116</v>
      </c>
      <c r="F98" s="194" t="n">
        <v>56</v>
      </c>
      <c r="G98" s="199" t="n">
        <v>60</v>
      </c>
      <c r="H98" s="194" t="n">
        <v>84.09999999999999</v>
      </c>
      <c r="I98" s="200" t="inlineStr">
        <is>
          <t>Strong profitability</t>
        </is>
      </c>
    </row>
    <row r="99" ht="15" customHeight="1" s="3">
      <c r="A99" s="198" t="inlineStr">
        <is>
          <t>Serie A — Tr. 1</t>
        </is>
      </c>
      <c r="B99" s="189" t="inlineStr">
        <is>
          <t>2030</t>
        </is>
      </c>
      <c r="C99" s="194" t="n">
        <v>14</v>
      </c>
      <c r="D99" s="195" t="inlineStr">
        <is>
          <t>45%</t>
        </is>
      </c>
      <c r="E99" s="194" t="n">
        <v>166</v>
      </c>
      <c r="F99" s="194" t="n">
        <v>67</v>
      </c>
      <c r="G99" s="199" t="n">
        <v>99</v>
      </c>
      <c r="H99" s="194" t="n">
        <v>183.1</v>
      </c>
      <c r="I99" s="200" t="inlineStr">
        <is>
          <t>Scaling</t>
        </is>
      </c>
    </row>
    <row r="100" ht="15" customHeight="1" s="3">
      <c r="A100" s="198" t="inlineStr">
        <is>
          <t>Serie A — Tr. 2</t>
        </is>
      </c>
      <c r="B100" s="189" t="inlineStr">
        <is>
          <t>2031</t>
        </is>
      </c>
      <c r="C100" s="194" t="n">
        <v>20</v>
      </c>
      <c r="D100" s="195" t="inlineStr">
        <is>
          <t>50%</t>
        </is>
      </c>
      <c r="E100" s="194" t="n">
        <v>263</v>
      </c>
      <c r="F100" s="194" t="n">
        <v>99</v>
      </c>
      <c r="G100" s="199" t="n">
        <v>164</v>
      </c>
      <c r="H100" s="194" t="n">
        <v>347.1</v>
      </c>
      <c r="I100" s="200" t="inlineStr">
        <is>
          <t>Near full fleet</t>
        </is>
      </c>
    </row>
    <row r="101" ht="15" customHeight="1" s="3">
      <c r="A101" s="1" t="inlineStr">
        <is>
          <t>Steady state</t>
        </is>
      </c>
      <c r="I101" s="295" t="n"/>
    </row>
    <row r="102" ht="15" customHeight="1" s="3">
      <c r="A102" s="198" t="inlineStr">
        <is>
          <t>Full potential</t>
        </is>
      </c>
      <c r="B102" s="189" t="inlineStr">
        <is>
          <t>2035</t>
        </is>
      </c>
      <c r="C102" s="194" t="n">
        <v>25</v>
      </c>
      <c r="D102" s="195" t="inlineStr">
        <is>
          <t>65%</t>
        </is>
      </c>
      <c r="E102" s="194" t="n">
        <v>427</v>
      </c>
      <c r="F102" s="194" t="n">
        <v>133</v>
      </c>
      <c r="G102" s="199" t="n">
        <v>294</v>
      </c>
      <c r="H102" s="194" t="n">
        <v>1094</v>
      </c>
      <c r="I102" s="200" t="inlineStr">
        <is>
          <t>Maximum base case</t>
        </is>
      </c>
    </row>
    <row r="104" ht="15" customHeight="1" s="3">
      <c r="A104" s="7" t="inlineStr">
        <is>
          <t>Company reaches annual EBIT break-even in 2028 (Year 1 of operations). Cumulative break-even by mid-2028.</t>
        </is>
      </c>
    </row>
    <row r="105" ht="27.75" customHeight="1" s="3"/>
    <row r="106" ht="15" customHeight="1" s="3"/>
    <row r="107" ht="15" customHeight="1" s="3">
      <c r="A107" s="16" t="inlineStr">
        <is>
          <t>7. Break-Even Risk Summary for Investors</t>
        </is>
      </c>
      <c r="B107" s="29" t="n"/>
      <c r="C107" s="29" t="n"/>
      <c r="D107" s="29" t="n"/>
      <c r="E107" s="29" t="n"/>
      <c r="F107" s="29" t="n"/>
      <c r="G107" s="29" t="n"/>
      <c r="H107" s="29" t="n"/>
      <c r="I107" s="29" t="n"/>
      <c r="J107" s="29" t="n"/>
      <c r="K107" s="29" t="n"/>
      <c r="L107" s="29" t="n"/>
    </row>
    <row r="108" ht="15" customHeight="1" s="3">
      <c r="A108" s="81" t="inlineStr">
        <is>
          <t>Break-Even Metric</t>
        </is>
      </c>
      <c r="B108" s="81" t="inlineStr">
        <is>
          <t>Threshold</t>
        </is>
      </c>
      <c r="C108" s="81" t="inlineStr">
        <is>
          <t>Risk Level</t>
        </is>
      </c>
      <c r="D108" s="81" t="inlineStr">
        <is>
          <t>Investor Implication</t>
        </is>
      </c>
    </row>
    <row r="109" ht="15" customHeight="1" s="3">
      <c r="A109" s="181" t="inlineStr">
        <is>
          <t>Machine-level BE</t>
        </is>
      </c>
      <c r="B109" s="201" t="inlineStr">
        <is>
          <t>~13.5% utilization</t>
        </is>
      </c>
      <c r="C109" s="184" t="inlineStr">
        <is>
          <t>Very low</t>
        </is>
      </c>
      <c r="D109" s="185" t="inlineStr">
        <is>
          <t>Each CNC profitable at just 3.2 productive hours/day</t>
        </is>
      </c>
    </row>
    <row r="110" ht="15" customHeight="1" s="3">
      <c r="A110" s="181" t="inlineStr">
        <is>
          <t>Company-level BE (Seed)</t>
        </is>
      </c>
      <c r="B110" s="201" t="inlineStr">
        <is>
          <t>~24% util with 5 CNC</t>
        </is>
      </c>
      <c r="C110" s="202" t="inlineStr">
        <is>
          <t>Low</t>
        </is>
      </c>
      <c r="D110" s="185" t="inlineStr">
        <is>
          <t>Seed fleet of 8 CNC gives large buffer above BE</t>
        </is>
      </c>
    </row>
    <row r="111" ht="15" customHeight="1" s="3">
      <c r="A111" s="181" t="inlineStr">
        <is>
          <t>Company-level BE (Full)</t>
        </is>
      </c>
      <c r="B111" s="201" t="inlineStr">
        <is>
          <t>~14% util with 20 CNC</t>
        </is>
      </c>
      <c r="C111" s="184" t="inlineStr">
        <is>
          <t>Very low</t>
        </is>
      </c>
      <c r="D111" s="185" t="inlineStr">
        <is>
          <t>Operating leverage makes full fleet extremely safe</t>
        </is>
      </c>
    </row>
    <row r="112" ht="15" customHeight="1" s="3">
      <c r="A112" s="181" t="inlineStr">
        <is>
          <t>Time to annual profit</t>
        </is>
      </c>
      <c r="B112" s="201" t="inlineStr">
        <is>
          <t>Year 1 (2028)</t>
        </is>
      </c>
      <c r="C112" s="202" t="inlineStr">
        <is>
          <t>Low</t>
        </is>
      </c>
      <c r="D112" s="185" t="inlineStr">
        <is>
          <t>Profitable from first full year of operations</t>
        </is>
      </c>
    </row>
    <row r="113" ht="15" customHeight="1" s="3">
      <c r="A113" s="181" t="inlineStr">
        <is>
          <t>Time to cumulative profit</t>
        </is>
      </c>
      <c r="B113" s="201" t="inlineStr">
        <is>
          <t>Mid-2028</t>
        </is>
      </c>
      <c r="C113" s="202" t="inlineStr">
        <is>
          <t>Low</t>
        </is>
      </c>
      <c r="D113" s="185" t="inlineStr">
        <is>
          <t>Less than 18 months of operations to recover all losses</t>
        </is>
      </c>
    </row>
    <row r="114" ht="15" customHeight="1" s="3">
      <c r="A114" s="181" t="inlineStr">
        <is>
          <t>CNC payback period</t>
        </is>
      </c>
      <c r="B114" s="201" t="inlineStr">
        <is>
          <t>~8 months @ 60%</t>
        </is>
      </c>
      <c r="C114" s="184" t="inlineStr">
        <is>
          <t>Very low</t>
        </is>
      </c>
      <c r="D114" s="185" t="inlineStr">
        <is>
          <t>Each machine pays for itself within first year</t>
        </is>
      </c>
    </row>
    <row r="115" ht="15" customHeight="1" s="3">
      <c r="A115" s="181" t="inlineStr">
        <is>
          <t>Revenue required for BE</t>
        </is>
      </c>
      <c r="B115" s="201" t="inlineStr">
        <is>
          <t>73.4 MNOK (20 CNC)</t>
        </is>
      </c>
      <c r="C115" s="184" t="inlineStr">
        <is>
          <t>Very low</t>
        </is>
      </c>
      <c r="D115" s="185" t="inlineStr">
        <is>
          <t>Less than 25% of base case revenue</t>
        </is>
      </c>
    </row>
    <row r="116" ht="15" customHeight="1" s="3">
      <c r="A116" s="181" t="inlineStr">
        <is>
          <t>Downside: 40% util scenario</t>
        </is>
      </c>
      <c r="B116" s="201" t="inlineStr">
        <is>
          <t>EBIT = 126 MNOK</t>
        </is>
      </c>
      <c r="C116" s="203" t="inlineStr">
        <is>
          <t>Protected</t>
        </is>
      </c>
      <c r="D116" s="185" t="inlineStr">
        <is>
          <t>Still highly profitable even in bear case</t>
        </is>
      </c>
    </row>
    <row r="117" ht="15" customHeight="1" s="3">
      <c r="A117" s="181" t="inlineStr">
        <is>
          <t>Downside: only 15 CNC deployed</t>
        </is>
      </c>
      <c r="B117" s="201" t="inlineStr">
        <is>
          <t>EBIT = 83 MNOK @ 35%</t>
        </is>
      </c>
      <c r="C117" s="203" t="inlineStr">
        <is>
          <t>Protected</t>
        </is>
      </c>
      <c r="D117" s="185" t="inlineStr">
        <is>
          <t>Even deep bear generates positive returns</t>
        </is>
      </c>
    </row>
    <row r="118" ht="15" customHeight="1" s="3"/>
    <row r="119" ht="15" customHeight="1" s="3"/>
    <row r="120" ht="15" customHeight="1" s="3"/>
    <row r="121" ht="15" customHeight="1" s="3">
      <c r="A121" s="16" t="inlineStr">
        <is>
          <t>Notes &amp; Assumptions</t>
        </is>
      </c>
      <c r="B121" s="29" t="n"/>
      <c r="C121" s="29" t="n"/>
      <c r="D121" s="29" t="n"/>
      <c r="E121" s="29" t="n"/>
      <c r="F121" s="29" t="n"/>
      <c r="G121" s="29" t="n"/>
      <c r="H121" s="29" t="n"/>
      <c r="I121" s="29" t="n"/>
      <c r="J121" s="29" t="n"/>
      <c r="K121" s="29" t="n"/>
      <c r="L121" s="29" t="n"/>
    </row>
    <row r="122" ht="15" customHeight="1" s="3">
      <c r="A122" s="14" t="inlineStr">
        <is>
          <t>1. Machine-level break-even uses direct per-CNC costs only (depreciation, interest, other opex).</t>
        </is>
      </c>
    </row>
    <row r="123" ht="15" customHeight="1" s="3">
      <c r="A123" s="14" t="inlineStr">
        <is>
          <t>2. Company-level break-even includes all fixed costs (staffing, depreciation, interest, lease, other).</t>
        </is>
      </c>
    </row>
    <row r="124" ht="15" customHeight="1" s="3">
      <c r="A124" s="14" t="inlineStr">
        <is>
          <t>3. Variable cost of 8% (mature) used throughout. Startup variable cost is 13% — raises BE slightly.</t>
        </is>
      </c>
    </row>
    <row r="125" ht="15" customHeight="1" s="3">
      <c r="A125" s="14" t="inlineStr">
        <is>
          <t>4. Sub-linear staffing model is KEY enabler: 16 FTE for 20 CNC vs. traditional 40-60 FTE.</t>
        </is>
      </c>
    </row>
    <row r="126" ht="15" customHeight="1" s="3">
      <c r="A126" s="14" t="inlineStr">
        <is>
          <t>5. Customer Program (50/50 sharing above 45%) NOT included — numbers show pure Aurelian economics.</t>
        </is>
      </c>
    </row>
    <row r="127" ht="15" customHeight="1" s="3">
      <c r="A127" s="14" t="inlineStr">
        <is>
          <t>6. Seed fleet gives 8 CNC with ~24% BE utilization — well below 35% Year 1 target = large safety margin.</t>
        </is>
      </c>
    </row>
    <row r="128" ht="15" customHeight="1" s="3">
      <c r="A128" s="14" t="inlineStr">
        <is>
          <t>7. REV6 §5.2 is the authoritative source for all break-even thresholds.</t>
        </is>
      </c>
    </row>
    <row r="129" ht="15" customHeight="1" s="3">
      <c r="A129" s="14" t="inlineStr">
        <is>
          <t>8. 'Cumulative EBIT' in Section 6 is simplified (doesn't account for WC changes or CAPEX timing).</t>
        </is>
      </c>
    </row>
  </sheetData>
  <mergeCells count="21">
    <mergeCell ref="A32:G32"/>
    <mergeCell ref="A49:K49"/>
    <mergeCell ref="A123:K123"/>
    <mergeCell ref="A1:K1"/>
    <mergeCell ref="A101:I101"/>
    <mergeCell ref="A119:K119"/>
    <mergeCell ref="A124:K124"/>
    <mergeCell ref="A78:K78"/>
    <mergeCell ref="A90:K90"/>
    <mergeCell ref="A118:K118"/>
    <mergeCell ref="A120:K120"/>
    <mergeCell ref="A104:K104"/>
    <mergeCell ref="A2:K2"/>
    <mergeCell ref="A126:K126"/>
    <mergeCell ref="A122:K122"/>
    <mergeCell ref="A35:K35"/>
    <mergeCell ref="A4:K4"/>
    <mergeCell ref="A125:K125"/>
    <mergeCell ref="A121:K121"/>
    <mergeCell ref="A87:F87"/>
    <mergeCell ref="A67:K67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2026-02-12T15:39:50Z</dcterms:created>
  <dcterms:modified xmlns:dcterms="http://purl.org/dc/terms/" xmlns:xsi="http://www.w3.org/2001/XMLSchema-instance" xsi:type="dcterms:W3CDTF">2026-02-17T14:44:58Z</dcterms:modified>
  <cp:lastModifiedBy>Tore Ausland</cp:lastModifiedBy>
  <cp:revision>0</cp:revision>
</cp:coreProperties>
</file>