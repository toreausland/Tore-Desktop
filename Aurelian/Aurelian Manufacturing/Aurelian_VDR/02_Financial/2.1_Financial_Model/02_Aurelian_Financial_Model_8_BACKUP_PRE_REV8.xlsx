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rntau\Proton Drive\toraus11\Shared with me\Aurelian Manufacturing\Aurelian_VDR\02_Financial\2.1_Financial_Model\"/>
    </mc:Choice>
  </mc:AlternateContent>
  <xr:revisionPtr revIDLastSave="0" documentId="8_{116934B5-22D6-4C4C-B6B4-7B2F7F2798B7}" xr6:coauthVersionLast="47" xr6:coauthVersionMax="47" xr10:uidLastSave="{00000000-0000-0000-0000-000000000000}"/>
  <bookViews>
    <workbookView xWindow="2115" yWindow="2010" windowWidth="21600" windowHeight="11970" tabRatio="500" firstSheet="4" activeTab="8" xr2:uid="{00000000-000D-0000-FFFF-FFFF00000000}"/>
  </bookViews>
  <sheets>
    <sheet name="Dashboard" sheetId="1" r:id="rId1"/>
    <sheet name="Assumptions" sheetId="2" r:id="rId2"/>
    <sheet name="Revenue" sheetId="3" r:id="rId3"/>
    <sheet name="P&amp;L" sheetId="4" r:id="rId4"/>
    <sheet name="Cash Flow" sheetId="5" r:id="rId5"/>
    <sheet name="Balance Sheet" sheetId="6" r:id="rId6"/>
    <sheet name="Cap Table" sheetId="7" r:id="rId7"/>
    <sheet name="Sensitivity" sheetId="8" r:id="rId8"/>
    <sheet name="Break-Even" sheetId="9" r:id="rId9"/>
  </sheets>
  <definedNames>
    <definedName name="_xlnm.Print_Titles" localSheetId="1">Assumptions!$1:$4</definedName>
    <definedName name="_xlnm.Print_Titles" localSheetId="2">Revenue!$1:$1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2" i="9" l="1"/>
  <c r="B23" i="9" s="1"/>
  <c r="B21" i="9"/>
  <c r="B18" i="9"/>
  <c r="B17" i="9"/>
  <c r="B16" i="9"/>
  <c r="B15" i="9"/>
  <c r="B13" i="9"/>
  <c r="B12" i="9"/>
  <c r="B9" i="9"/>
  <c r="B8" i="9"/>
  <c r="B7" i="9"/>
  <c r="B6" i="9"/>
  <c r="B5" i="9"/>
  <c r="F14" i="8"/>
  <c r="G14" i="8" s="1"/>
  <c r="E14" i="8"/>
  <c r="C14" i="8"/>
  <c r="B14" i="8"/>
  <c r="B13" i="8"/>
  <c r="C12" i="8"/>
  <c r="E12" i="8" s="1"/>
  <c r="B12" i="8"/>
  <c r="B11" i="8"/>
  <c r="B10" i="8"/>
  <c r="B9" i="8"/>
  <c r="C9" i="8" s="1"/>
  <c r="E9" i="8" s="1"/>
  <c r="F9" i="8" s="1"/>
  <c r="C8" i="8"/>
  <c r="E8" i="8" s="1"/>
  <c r="F8" i="8" s="1"/>
  <c r="H8" i="8" s="1"/>
  <c r="B8" i="8"/>
  <c r="I8" i="8" s="1"/>
  <c r="B7" i="8"/>
  <c r="C7" i="8" s="1"/>
  <c r="E7" i="8" s="1"/>
  <c r="F7" i="8" s="1"/>
  <c r="G5" i="8"/>
  <c r="E25" i="7"/>
  <c r="D25" i="7"/>
  <c r="C25" i="7"/>
  <c r="B25" i="7"/>
  <c r="B70" i="6"/>
  <c r="B58" i="6"/>
  <c r="B59" i="6" s="1"/>
  <c r="B46" i="6"/>
  <c r="B39" i="6"/>
  <c r="B35" i="6"/>
  <c r="B41" i="6" s="1"/>
  <c r="B25" i="6"/>
  <c r="K23" i="6"/>
  <c r="J23" i="6"/>
  <c r="I23" i="6"/>
  <c r="H23" i="6"/>
  <c r="G23" i="6"/>
  <c r="F23" i="6"/>
  <c r="E23" i="6"/>
  <c r="D23" i="6"/>
  <c r="C23" i="6"/>
  <c r="B23" i="6"/>
  <c r="B19" i="6"/>
  <c r="B15" i="6"/>
  <c r="C13" i="6"/>
  <c r="D43" i="5"/>
  <c r="E43" i="5" s="1"/>
  <c r="C43" i="5"/>
  <c r="B43" i="5"/>
  <c r="B42" i="5"/>
  <c r="C42" i="5" s="1"/>
  <c r="D42" i="5" s="1"/>
  <c r="E42" i="5" s="1"/>
  <c r="F42" i="5" s="1"/>
  <c r="G42" i="5" s="1"/>
  <c r="H42" i="5" s="1"/>
  <c r="I42" i="5" s="1"/>
  <c r="J42" i="5" s="1"/>
  <c r="K42" i="5" s="1"/>
  <c r="B41" i="5"/>
  <c r="C41" i="5" s="1"/>
  <c r="K29" i="5"/>
  <c r="J29" i="5"/>
  <c r="I29" i="5"/>
  <c r="H29" i="5"/>
  <c r="G29" i="5"/>
  <c r="F29" i="5"/>
  <c r="E29" i="5"/>
  <c r="D29" i="5"/>
  <c r="C29" i="5"/>
  <c r="B29" i="5"/>
  <c r="I19" i="5"/>
  <c r="E19" i="5"/>
  <c r="D19" i="5"/>
  <c r="C19" i="5"/>
  <c r="B19" i="5"/>
  <c r="K14" i="5"/>
  <c r="K19" i="5" s="1"/>
  <c r="J14" i="5"/>
  <c r="J19" i="5" s="1"/>
  <c r="I14" i="5"/>
  <c r="H14" i="5"/>
  <c r="H19" i="5" s="1"/>
  <c r="G14" i="5"/>
  <c r="G19" i="5" s="1"/>
  <c r="F14" i="5"/>
  <c r="F19" i="5" s="1"/>
  <c r="E14" i="5"/>
  <c r="D14" i="5"/>
  <c r="C14" i="5"/>
  <c r="B14" i="5"/>
  <c r="B9" i="5"/>
  <c r="B33" i="5" s="1"/>
  <c r="B35" i="5" s="1"/>
  <c r="D58" i="4"/>
  <c r="C58" i="4"/>
  <c r="J38" i="4"/>
  <c r="I38" i="4"/>
  <c r="H38" i="4"/>
  <c r="G38" i="4"/>
  <c r="F38" i="4"/>
  <c r="F39" i="4" s="1"/>
  <c r="E38" i="4"/>
  <c r="E39" i="4" s="1"/>
  <c r="D38" i="4"/>
  <c r="C38" i="4"/>
  <c r="B38" i="4"/>
  <c r="J37" i="4"/>
  <c r="J39" i="4" s="1"/>
  <c r="I37" i="4"/>
  <c r="I39" i="4" s="1"/>
  <c r="H37" i="4"/>
  <c r="H39" i="4" s="1"/>
  <c r="G37" i="4"/>
  <c r="G39" i="4" s="1"/>
  <c r="F37" i="4"/>
  <c r="E37" i="4"/>
  <c r="D37" i="4"/>
  <c r="D39" i="4" s="1"/>
  <c r="C37" i="4"/>
  <c r="C39" i="4" s="1"/>
  <c r="B37" i="4"/>
  <c r="B39" i="4" s="1"/>
  <c r="H11" i="4"/>
  <c r="G11" i="4"/>
  <c r="F11" i="4"/>
  <c r="E11" i="4"/>
  <c r="D11" i="4"/>
  <c r="C11" i="4"/>
  <c r="J8" i="4"/>
  <c r="I8" i="4"/>
  <c r="H8" i="4"/>
  <c r="G8" i="4"/>
  <c r="F8" i="4"/>
  <c r="E8" i="4"/>
  <c r="D8" i="4"/>
  <c r="C8" i="4"/>
  <c r="B8" i="4"/>
  <c r="J6" i="4"/>
  <c r="I6" i="4"/>
  <c r="H6" i="4"/>
  <c r="G6" i="4"/>
  <c r="F6" i="4"/>
  <c r="E6" i="4"/>
  <c r="D6" i="4"/>
  <c r="C6" i="4"/>
  <c r="B6" i="4"/>
  <c r="J42" i="3"/>
  <c r="I42" i="3"/>
  <c r="H42" i="3"/>
  <c r="G42" i="3"/>
  <c r="F42" i="3"/>
  <c r="E42" i="3"/>
  <c r="D42" i="3"/>
  <c r="C42" i="3"/>
  <c r="B42" i="3"/>
  <c r="F41" i="3"/>
  <c r="E41" i="3"/>
  <c r="D41" i="3"/>
  <c r="C41" i="3"/>
  <c r="D32" i="3"/>
  <c r="C32" i="3"/>
  <c r="B32" i="3"/>
  <c r="B58" i="4" s="1"/>
  <c r="J30" i="3"/>
  <c r="J11" i="4" s="1"/>
  <c r="I30" i="3"/>
  <c r="I11" i="4" s="1"/>
  <c r="H30" i="3"/>
  <c r="G30" i="3"/>
  <c r="F30" i="3"/>
  <c r="E30" i="3"/>
  <c r="D30" i="3"/>
  <c r="C30" i="3"/>
  <c r="B30" i="3"/>
  <c r="B11" i="4" s="1"/>
  <c r="D29" i="3"/>
  <c r="D31" i="3" s="1"/>
  <c r="F28" i="3"/>
  <c r="E28" i="3"/>
  <c r="D28" i="3"/>
  <c r="C28" i="3"/>
  <c r="B28" i="3"/>
  <c r="D17" i="3"/>
  <c r="D40" i="3" s="1"/>
  <c r="J16" i="3"/>
  <c r="J9" i="4" s="1"/>
  <c r="I16" i="3"/>
  <c r="I28" i="3" s="1"/>
  <c r="H16" i="3"/>
  <c r="H9" i="4" s="1"/>
  <c r="G16" i="3"/>
  <c r="G9" i="4" s="1"/>
  <c r="F16" i="3"/>
  <c r="F9" i="4" s="1"/>
  <c r="E16" i="3"/>
  <c r="E9" i="4" s="1"/>
  <c r="D16" i="3"/>
  <c r="D9" i="4" s="1"/>
  <c r="C16" i="3"/>
  <c r="C9" i="4" s="1"/>
  <c r="B16" i="3"/>
  <c r="B9" i="4" s="1"/>
  <c r="J15" i="3"/>
  <c r="J17" i="3" s="1"/>
  <c r="I15" i="3"/>
  <c r="H15" i="3"/>
  <c r="G15" i="3"/>
  <c r="G17" i="3" s="1"/>
  <c r="F15" i="3"/>
  <c r="F17" i="3" s="1"/>
  <c r="E15" i="3"/>
  <c r="E17" i="3" s="1"/>
  <c r="D15" i="3"/>
  <c r="C15" i="3"/>
  <c r="C17" i="3" s="1"/>
  <c r="B15" i="3"/>
  <c r="B17" i="3" s="1"/>
  <c r="B8" i="3"/>
  <c r="B7" i="3"/>
  <c r="B6" i="3"/>
  <c r="B5" i="3"/>
  <c r="C44" i="2"/>
  <c r="C45" i="2" s="1"/>
  <c r="C35" i="2"/>
  <c r="C36" i="2" s="1"/>
  <c r="C25" i="2"/>
  <c r="H44" i="4" l="1"/>
  <c r="H46" i="4" s="1"/>
  <c r="H26" i="4"/>
  <c r="H32" i="4"/>
  <c r="H45" i="4"/>
  <c r="H25" i="4"/>
  <c r="H27" i="4" s="1"/>
  <c r="B29" i="3"/>
  <c r="B31" i="3" s="1"/>
  <c r="B40" i="3"/>
  <c r="B17" i="4"/>
  <c r="B22" i="3"/>
  <c r="B23" i="3" s="1"/>
  <c r="B24" i="3" s="1"/>
  <c r="B36" i="3"/>
  <c r="C36" i="3" s="1"/>
  <c r="D36" i="3" s="1"/>
  <c r="E36" i="3" s="1"/>
  <c r="F36" i="3" s="1"/>
  <c r="G36" i="3" s="1"/>
  <c r="I38" i="6"/>
  <c r="H40" i="4"/>
  <c r="H38" i="6"/>
  <c r="G40" i="4"/>
  <c r="C89" i="4" s="1"/>
  <c r="D89" i="4" s="1"/>
  <c r="C29" i="3"/>
  <c r="C31" i="3" s="1"/>
  <c r="C40" i="3"/>
  <c r="C17" i="4"/>
  <c r="C22" i="3"/>
  <c r="C23" i="3" s="1"/>
  <c r="C24" i="3" s="1"/>
  <c r="J44" i="4"/>
  <c r="J26" i="4"/>
  <c r="J45" i="4"/>
  <c r="J32" i="4"/>
  <c r="J25" i="4"/>
  <c r="J31" i="4"/>
  <c r="J33" i="4" s="1"/>
  <c r="K7" i="5" s="1"/>
  <c r="J38" i="6"/>
  <c r="K38" i="6"/>
  <c r="J40" i="4"/>
  <c r="E40" i="3"/>
  <c r="E17" i="4"/>
  <c r="E22" i="3"/>
  <c r="E23" i="3" s="1"/>
  <c r="E24" i="3" s="1"/>
  <c r="E29" i="3"/>
  <c r="E31" i="3" s="1"/>
  <c r="E32" i="3" s="1"/>
  <c r="E58" i="4" s="1"/>
  <c r="F17" i="4"/>
  <c r="F22" i="3"/>
  <c r="F23" i="3" s="1"/>
  <c r="F24" i="3" s="1"/>
  <c r="F40" i="3"/>
  <c r="F29" i="3"/>
  <c r="F31" i="3" s="1"/>
  <c r="F32" i="3" s="1"/>
  <c r="F58" i="4" s="1"/>
  <c r="J22" i="3"/>
  <c r="J23" i="3" s="1"/>
  <c r="J24" i="3" s="1"/>
  <c r="J17" i="4"/>
  <c r="J29" i="3"/>
  <c r="J31" i="3" s="1"/>
  <c r="J32" i="3" s="1"/>
  <c r="J58" i="4" s="1"/>
  <c r="J40" i="3"/>
  <c r="D41" i="5"/>
  <c r="C46" i="6"/>
  <c r="H9" i="8"/>
  <c r="I9" i="8" s="1"/>
  <c r="G9" i="8"/>
  <c r="H7" i="8"/>
  <c r="G7" i="8"/>
  <c r="H31" i="4"/>
  <c r="H33" i="4" s="1"/>
  <c r="I7" i="5" s="1"/>
  <c r="B32" i="4"/>
  <c r="C18" i="6" s="1"/>
  <c r="B25" i="4"/>
  <c r="B31" i="4"/>
  <c r="B45" i="4"/>
  <c r="B44" i="4"/>
  <c r="B26" i="4"/>
  <c r="C45" i="4"/>
  <c r="C25" i="4"/>
  <c r="C44" i="4"/>
  <c r="C46" i="4" s="1"/>
  <c r="C26" i="4"/>
  <c r="C32" i="4"/>
  <c r="B40" i="4"/>
  <c r="C38" i="6"/>
  <c r="D25" i="4"/>
  <c r="D26" i="4"/>
  <c r="D32" i="4"/>
  <c r="D44" i="4"/>
  <c r="D45" i="4"/>
  <c r="C40" i="4"/>
  <c r="D38" i="6"/>
  <c r="E40" i="4"/>
  <c r="F38" i="6"/>
  <c r="E44" i="4"/>
  <c r="E26" i="4"/>
  <c r="E32" i="4"/>
  <c r="E25" i="4"/>
  <c r="E27" i="4" s="1"/>
  <c r="E45" i="4"/>
  <c r="E38" i="6"/>
  <c r="D40" i="4"/>
  <c r="F43" i="5"/>
  <c r="G43" i="5" s="1"/>
  <c r="H43" i="5" s="1"/>
  <c r="I43" i="5" s="1"/>
  <c r="J43" i="5" s="1"/>
  <c r="K43" i="5" s="1"/>
  <c r="G38" i="6"/>
  <c r="F40" i="4"/>
  <c r="F25" i="4"/>
  <c r="F44" i="4"/>
  <c r="F26" i="4"/>
  <c r="F32" i="4"/>
  <c r="F45" i="4"/>
  <c r="G17" i="4"/>
  <c r="G40" i="3"/>
  <c r="G29" i="3"/>
  <c r="G31" i="3" s="1"/>
  <c r="G32" i="3" s="1"/>
  <c r="G58" i="4" s="1"/>
  <c r="G22" i="3"/>
  <c r="G23" i="3" s="1"/>
  <c r="G24" i="3" s="1"/>
  <c r="G44" i="4"/>
  <c r="G26" i="4"/>
  <c r="C86" i="4" s="1"/>
  <c r="D86" i="4" s="1"/>
  <c r="G32" i="4"/>
  <c r="C88" i="4" s="1"/>
  <c r="D88" i="4" s="1"/>
  <c r="G45" i="4"/>
  <c r="C92" i="4" s="1"/>
  <c r="D92" i="4" s="1"/>
  <c r="G25" i="4"/>
  <c r="C34" i="5"/>
  <c r="B7" i="6"/>
  <c r="B10" i="6" s="1"/>
  <c r="B27" i="6" s="1"/>
  <c r="I7" i="8"/>
  <c r="C10" i="8"/>
  <c r="E10" i="8" s="1"/>
  <c r="F10" i="8" s="1"/>
  <c r="F12" i="8"/>
  <c r="H12" i="8" s="1"/>
  <c r="I12" i="8" s="1"/>
  <c r="H14" i="8"/>
  <c r="I14" i="8" s="1"/>
  <c r="I9" i="4"/>
  <c r="I40" i="4" s="1"/>
  <c r="J77" i="4"/>
  <c r="B41" i="3"/>
  <c r="B39" i="5"/>
  <c r="G8" i="8"/>
  <c r="C13" i="8"/>
  <c r="E13" i="8" s="1"/>
  <c r="I17" i="3"/>
  <c r="C31" i="4"/>
  <c r="D13" i="6"/>
  <c r="C11" i="8"/>
  <c r="E11" i="8" s="1"/>
  <c r="F11" i="8" s="1"/>
  <c r="F13" i="8"/>
  <c r="H13" i="8" s="1"/>
  <c r="I13" i="8" s="1"/>
  <c r="H17" i="3"/>
  <c r="G41" i="3"/>
  <c r="D31" i="4"/>
  <c r="D33" i="4" s="1"/>
  <c r="E7" i="5" s="1"/>
  <c r="G28" i="3"/>
  <c r="H41" i="3"/>
  <c r="E31" i="4"/>
  <c r="H28" i="3"/>
  <c r="I41" i="3"/>
  <c r="F31" i="4"/>
  <c r="F33" i="4" s="1"/>
  <c r="G7" i="5" s="1"/>
  <c r="B77" i="4"/>
  <c r="D22" i="3"/>
  <c r="D23" i="3" s="1"/>
  <c r="D24" i="3" s="1"/>
  <c r="J41" i="3"/>
  <c r="D17" i="4"/>
  <c r="G31" i="4"/>
  <c r="J28" i="3"/>
  <c r="H11" i="8" l="1"/>
  <c r="I11" i="8" s="1"/>
  <c r="G11" i="8"/>
  <c r="H10" i="8"/>
  <c r="I10" i="8" s="1"/>
  <c r="G10" i="8"/>
  <c r="C27" i="4"/>
  <c r="B47" i="6"/>
  <c r="F46" i="4"/>
  <c r="D39" i="6"/>
  <c r="H39" i="6"/>
  <c r="K39" i="6"/>
  <c r="E41" i="5"/>
  <c r="D46" i="6"/>
  <c r="C85" i="4"/>
  <c r="D85" i="4" s="1"/>
  <c r="G27" i="4"/>
  <c r="I39" i="6"/>
  <c r="G39" i="6"/>
  <c r="D46" i="4"/>
  <c r="J80" i="4"/>
  <c r="J21" i="4"/>
  <c r="K8" i="6"/>
  <c r="H36" i="3"/>
  <c r="I36" i="3" s="1"/>
  <c r="J36" i="3" s="1"/>
  <c r="E8" i="6"/>
  <c r="D80" i="4"/>
  <c r="D21" i="4"/>
  <c r="F27" i="4"/>
  <c r="G13" i="8"/>
  <c r="B46" i="4"/>
  <c r="J39" i="6"/>
  <c r="I29" i="3"/>
  <c r="I31" i="3" s="1"/>
  <c r="I32" i="3" s="1"/>
  <c r="I58" i="4" s="1"/>
  <c r="I40" i="3"/>
  <c r="I17" i="4"/>
  <c r="I22" i="3"/>
  <c r="I23" i="3" s="1"/>
  <c r="I24" i="3" s="1"/>
  <c r="C8" i="6"/>
  <c r="B80" i="4"/>
  <c r="B21" i="4"/>
  <c r="D8" i="6"/>
  <c r="C80" i="4"/>
  <c r="C21" i="4"/>
  <c r="E33" i="4"/>
  <c r="F7" i="5" s="1"/>
  <c r="G46" i="4"/>
  <c r="C90" i="4"/>
  <c r="D90" i="4" s="1"/>
  <c r="E39" i="6"/>
  <c r="D27" i="4"/>
  <c r="B33" i="4"/>
  <c r="C7" i="5" s="1"/>
  <c r="C14" i="6"/>
  <c r="D77" i="4"/>
  <c r="J27" i="4"/>
  <c r="F39" i="6"/>
  <c r="F8" i="6"/>
  <c r="E77" i="4"/>
  <c r="E80" i="4"/>
  <c r="E21" i="4"/>
  <c r="B45" i="5"/>
  <c r="B40" i="5"/>
  <c r="G33" i="4"/>
  <c r="H7" i="5" s="1"/>
  <c r="C87" i="4"/>
  <c r="D87" i="4" s="1"/>
  <c r="H17" i="4"/>
  <c r="H29" i="3"/>
  <c r="H31" i="3" s="1"/>
  <c r="H32" i="3" s="1"/>
  <c r="H58" i="4" s="1"/>
  <c r="H22" i="3"/>
  <c r="H23" i="3" s="1"/>
  <c r="H24" i="3" s="1"/>
  <c r="H40" i="3"/>
  <c r="B27" i="4"/>
  <c r="C19" i="6"/>
  <c r="D18" i="6"/>
  <c r="I31" i="4"/>
  <c r="I44" i="4"/>
  <c r="I26" i="4"/>
  <c r="I32" i="4"/>
  <c r="I45" i="4"/>
  <c r="I25" i="4"/>
  <c r="I27" i="4" s="1"/>
  <c r="C39" i="6"/>
  <c r="E13" i="6"/>
  <c r="G12" i="8"/>
  <c r="G77" i="4"/>
  <c r="G80" i="4"/>
  <c r="C94" i="4"/>
  <c r="D94" i="4" s="1"/>
  <c r="G21" i="4"/>
  <c r="H8" i="6"/>
  <c r="G8" i="6"/>
  <c r="F80" i="4"/>
  <c r="F21" i="4"/>
  <c r="F77" i="4"/>
  <c r="J46" i="4"/>
  <c r="C33" i="4"/>
  <c r="D7" i="5" s="1"/>
  <c r="E46" i="4"/>
  <c r="C77" i="4"/>
  <c r="G9" i="6" l="1"/>
  <c r="F50" i="4"/>
  <c r="F81" i="4"/>
  <c r="I33" i="4"/>
  <c r="J7" i="5" s="1"/>
  <c r="C81" i="4"/>
  <c r="D9" i="6"/>
  <c r="C50" i="4"/>
  <c r="I80" i="4"/>
  <c r="I21" i="4"/>
  <c r="I77" i="4"/>
  <c r="J8" i="6"/>
  <c r="I46" i="4"/>
  <c r="D19" i="6"/>
  <c r="E18" i="6"/>
  <c r="F9" i="6"/>
  <c r="E81" i="4"/>
  <c r="E50" i="4"/>
  <c r="K9" i="6"/>
  <c r="J81" i="4"/>
  <c r="J50" i="4"/>
  <c r="F41" i="5"/>
  <c r="E46" i="6"/>
  <c r="H9" i="6"/>
  <c r="G50" i="4"/>
  <c r="C91" i="4"/>
  <c r="D91" i="4" s="1"/>
  <c r="G81" i="4"/>
  <c r="E9" i="6"/>
  <c r="D50" i="4"/>
  <c r="D81" i="4"/>
  <c r="B48" i="6"/>
  <c r="B60" i="6"/>
  <c r="B61" i="6" s="1"/>
  <c r="B81" i="4"/>
  <c r="C9" i="6"/>
  <c r="B50" i="4"/>
  <c r="F13" i="6"/>
  <c r="H80" i="4"/>
  <c r="H21" i="4"/>
  <c r="I8" i="6"/>
  <c r="H77" i="4"/>
  <c r="D14" i="6"/>
  <c r="C15" i="6"/>
  <c r="C25" i="6" s="1"/>
  <c r="C70" i="6" s="1"/>
  <c r="G58" i="6" l="1"/>
  <c r="G41" i="5"/>
  <c r="F46" i="6"/>
  <c r="C52" i="4"/>
  <c r="D33" i="6"/>
  <c r="C78" i="4"/>
  <c r="C56" i="4"/>
  <c r="C61" i="4" s="1"/>
  <c r="G13" i="6"/>
  <c r="K33" i="6"/>
  <c r="J52" i="4"/>
  <c r="J78" i="4"/>
  <c r="J56" i="4"/>
  <c r="J61" i="4" s="1"/>
  <c r="B66" i="6"/>
  <c r="B50" i="6"/>
  <c r="B51" i="6" s="1"/>
  <c r="E52" i="4"/>
  <c r="E78" i="4"/>
  <c r="F33" i="6"/>
  <c r="E56" i="4"/>
  <c r="E61" i="4" s="1"/>
  <c r="E14" i="6"/>
  <c r="D15" i="6"/>
  <c r="D25" i="6" s="1"/>
  <c r="D70" i="6" s="1"/>
  <c r="D52" i="4"/>
  <c r="E33" i="6"/>
  <c r="D78" i="4"/>
  <c r="D56" i="4"/>
  <c r="D61" i="4" s="1"/>
  <c r="J9" i="6"/>
  <c r="I50" i="4"/>
  <c r="I81" i="4"/>
  <c r="B52" i="4"/>
  <c r="C33" i="6"/>
  <c r="C35" i="6" s="1"/>
  <c r="C41" i="6" s="1"/>
  <c r="B78" i="4"/>
  <c r="B56" i="4"/>
  <c r="B61" i="4" s="1"/>
  <c r="E19" i="6"/>
  <c r="F18" i="6"/>
  <c r="I9" i="6"/>
  <c r="H50" i="4"/>
  <c r="H81" i="4"/>
  <c r="G52" i="4"/>
  <c r="H33" i="6"/>
  <c r="H35" i="6" s="1"/>
  <c r="H41" i="6" s="1"/>
  <c r="C93" i="4"/>
  <c r="D93" i="4" s="1"/>
  <c r="G78" i="4"/>
  <c r="G56" i="4"/>
  <c r="F52" i="4"/>
  <c r="G33" i="6"/>
  <c r="G35" i="6" s="1"/>
  <c r="G41" i="6" s="1"/>
  <c r="F78" i="4"/>
  <c r="F56" i="4"/>
  <c r="F61" i="4" s="1"/>
  <c r="H13" i="6" l="1"/>
  <c r="H52" i="4"/>
  <c r="I33" i="6"/>
  <c r="H78" i="4"/>
  <c r="H56" i="4"/>
  <c r="H61" i="4" s="1"/>
  <c r="C79" i="4"/>
  <c r="D6" i="5"/>
  <c r="D9" i="5" s="1"/>
  <c r="C63" i="4"/>
  <c r="C67" i="4"/>
  <c r="C68" i="4" s="1"/>
  <c r="C69" i="4"/>
  <c r="G18" i="6"/>
  <c r="F19" i="6"/>
  <c r="D35" i="6"/>
  <c r="D41" i="6" s="1"/>
  <c r="D58" i="6"/>
  <c r="K35" i="6"/>
  <c r="K41" i="6" s="1"/>
  <c r="K58" i="6"/>
  <c r="J67" i="4"/>
  <c r="J68" i="4" s="1"/>
  <c r="K6" i="5"/>
  <c r="K9" i="5" s="1"/>
  <c r="J63" i="4"/>
  <c r="J79" i="4"/>
  <c r="J69" i="4"/>
  <c r="J33" i="6"/>
  <c r="J35" i="6" s="1"/>
  <c r="J41" i="6" s="1"/>
  <c r="I52" i="4"/>
  <c r="I78" i="4"/>
  <c r="I56" i="4"/>
  <c r="I61" i="4" s="1"/>
  <c r="C6" i="5"/>
  <c r="C9" i="5" s="1"/>
  <c r="B63" i="4"/>
  <c r="B67" i="4"/>
  <c r="B68" i="4" s="1"/>
  <c r="B73" i="4"/>
  <c r="B79" i="4"/>
  <c r="B69" i="4"/>
  <c r="E79" i="4"/>
  <c r="E67" i="4"/>
  <c r="E68" i="4" s="1"/>
  <c r="F6" i="5"/>
  <c r="F9" i="5" s="1"/>
  <c r="E63" i="4"/>
  <c r="E69" i="4"/>
  <c r="C95" i="4"/>
  <c r="D95" i="4" s="1"/>
  <c r="G61" i="4"/>
  <c r="E6" i="5"/>
  <c r="E9" i="5" s="1"/>
  <c r="D63" i="4"/>
  <c r="D79" i="4"/>
  <c r="D67" i="4"/>
  <c r="D68" i="4" s="1"/>
  <c r="D69" i="4"/>
  <c r="F14" i="6"/>
  <c r="E15" i="6"/>
  <c r="E25" i="6" s="1"/>
  <c r="E70" i="6" s="1"/>
  <c r="G46" i="6"/>
  <c r="H41" i="5"/>
  <c r="F67" i="4"/>
  <c r="F68" i="4" s="1"/>
  <c r="G6" i="5"/>
  <c r="G9" i="5" s="1"/>
  <c r="F63" i="4"/>
  <c r="F79" i="4"/>
  <c r="F69" i="4"/>
  <c r="C58" i="6"/>
  <c r="E35" i="6"/>
  <c r="E41" i="6" s="1"/>
  <c r="E58" i="6"/>
  <c r="F35" i="6"/>
  <c r="F41" i="6" s="1"/>
  <c r="F58" i="6"/>
  <c r="H58" i="6"/>
  <c r="D33" i="5" l="1"/>
  <c r="D39" i="5"/>
  <c r="D45" i="5" s="1"/>
  <c r="H67" i="4"/>
  <c r="H68" i="4" s="1"/>
  <c r="I6" i="5"/>
  <c r="I9" i="5" s="1"/>
  <c r="H63" i="4"/>
  <c r="H79" i="4"/>
  <c r="H69" i="4"/>
  <c r="H18" i="6"/>
  <c r="G19" i="6"/>
  <c r="I67" i="4"/>
  <c r="I68" i="4" s="1"/>
  <c r="J6" i="5"/>
  <c r="J9" i="5" s="1"/>
  <c r="I63" i="4"/>
  <c r="I79" i="4"/>
  <c r="I69" i="4"/>
  <c r="G33" i="5"/>
  <c r="G39" i="5"/>
  <c r="G45" i="5" s="1"/>
  <c r="I35" i="6"/>
  <c r="I41" i="6" s="1"/>
  <c r="I58" i="6"/>
  <c r="F33" i="5"/>
  <c r="F39" i="5"/>
  <c r="F45" i="5" s="1"/>
  <c r="G14" i="6"/>
  <c r="F15" i="6"/>
  <c r="F25" i="6" s="1"/>
  <c r="F70" i="6" s="1"/>
  <c r="C56" i="6"/>
  <c r="C59" i="6" s="1"/>
  <c r="C73" i="4"/>
  <c r="E33" i="5"/>
  <c r="E39" i="5"/>
  <c r="E45" i="5" s="1"/>
  <c r="G67" i="4"/>
  <c r="G68" i="4" s="1"/>
  <c r="G79" i="4"/>
  <c r="H6" i="5"/>
  <c r="H9" i="5" s="1"/>
  <c r="G63" i="4"/>
  <c r="G69" i="4"/>
  <c r="C33" i="5"/>
  <c r="C35" i="5" s="1"/>
  <c r="C39" i="5"/>
  <c r="K39" i="5"/>
  <c r="K45" i="5" s="1"/>
  <c r="K33" i="5"/>
  <c r="I41" i="5"/>
  <c r="H46" i="6"/>
  <c r="I13" i="6"/>
  <c r="J58" i="6"/>
  <c r="J33" i="5" l="1"/>
  <c r="J39" i="5"/>
  <c r="J45" i="5" s="1"/>
  <c r="H33" i="5"/>
  <c r="H39" i="5"/>
  <c r="H45" i="5" s="1"/>
  <c r="J13" i="6"/>
  <c r="I18" i="6"/>
  <c r="H19" i="6"/>
  <c r="H14" i="6"/>
  <c r="G15" i="6"/>
  <c r="G25" i="6" s="1"/>
  <c r="G70" i="6" s="1"/>
  <c r="I39" i="5"/>
  <c r="I45" i="5" s="1"/>
  <c r="I33" i="5"/>
  <c r="I46" i="6"/>
  <c r="J41" i="5"/>
  <c r="D56" i="6"/>
  <c r="D59" i="6" s="1"/>
  <c r="D73" i="4"/>
  <c r="C45" i="5"/>
  <c r="C40" i="5"/>
  <c r="D40" i="5" s="1"/>
  <c r="E40" i="5" s="1"/>
  <c r="F40" i="5" s="1"/>
  <c r="G40" i="5" s="1"/>
  <c r="D34" i="5"/>
  <c r="D35" i="5" s="1"/>
  <c r="C7" i="6"/>
  <c r="C10" i="6" s="1"/>
  <c r="C27" i="6" s="1"/>
  <c r="J46" i="6" l="1"/>
  <c r="K41" i="5"/>
  <c r="K46" i="6" s="1"/>
  <c r="E34" i="5"/>
  <c r="E35" i="5" s="1"/>
  <c r="D7" i="6"/>
  <c r="D10" i="6" s="1"/>
  <c r="D27" i="6" s="1"/>
  <c r="I14" i="6"/>
  <c r="H15" i="6"/>
  <c r="H25" i="6" s="1"/>
  <c r="H70" i="6" s="1"/>
  <c r="J18" i="6"/>
  <c r="I19" i="6"/>
  <c r="C47" i="6"/>
  <c r="C68" i="6"/>
  <c r="C67" i="6"/>
  <c r="K13" i="6"/>
  <c r="H40" i="5"/>
  <c r="I40" i="5" s="1"/>
  <c r="J40" i="5" s="1"/>
  <c r="K40" i="5" s="1"/>
  <c r="E56" i="6"/>
  <c r="E59" i="6" s="1"/>
  <c r="E73" i="4"/>
  <c r="C60" i="6" l="1"/>
  <c r="C61" i="6" s="1"/>
  <c r="C48" i="6"/>
  <c r="K18" i="6"/>
  <c r="K19" i="6" s="1"/>
  <c r="J19" i="6"/>
  <c r="J14" i="6"/>
  <c r="I15" i="6"/>
  <c r="I25" i="6" s="1"/>
  <c r="I70" i="6" s="1"/>
  <c r="D68" i="6"/>
  <c r="D67" i="6"/>
  <c r="D47" i="6"/>
  <c r="F34" i="5"/>
  <c r="F35" i="5" s="1"/>
  <c r="E7" i="6"/>
  <c r="E10" i="6" s="1"/>
  <c r="E27" i="6" s="1"/>
  <c r="F56" i="6"/>
  <c r="F59" i="6" s="1"/>
  <c r="F73" i="4"/>
  <c r="G34" i="5" l="1"/>
  <c r="G35" i="5" s="1"/>
  <c r="F7" i="6"/>
  <c r="F10" i="6" s="1"/>
  <c r="F27" i="6" s="1"/>
  <c r="G56" i="6"/>
  <c r="G59" i="6" s="1"/>
  <c r="G73" i="4"/>
  <c r="E68" i="6"/>
  <c r="E67" i="6"/>
  <c r="E47" i="6"/>
  <c r="D60" i="6"/>
  <c r="D61" i="6" s="1"/>
  <c r="D48" i="6"/>
  <c r="K14" i="6"/>
  <c r="K15" i="6" s="1"/>
  <c r="K25" i="6" s="1"/>
  <c r="K70" i="6" s="1"/>
  <c r="J15" i="6"/>
  <c r="J25" i="6" s="1"/>
  <c r="J70" i="6" s="1"/>
  <c r="C66" i="6"/>
  <c r="C69" i="6"/>
  <c r="C50" i="6"/>
  <c r="C51" i="6" s="1"/>
  <c r="D66" i="6" l="1"/>
  <c r="D69" i="6"/>
  <c r="D50" i="6"/>
  <c r="D51" i="6" s="1"/>
  <c r="E60" i="6"/>
  <c r="E61" i="6" s="1"/>
  <c r="E48" i="6"/>
  <c r="H56" i="6"/>
  <c r="H59" i="6" s="1"/>
  <c r="H73" i="4"/>
  <c r="F68" i="6"/>
  <c r="F67" i="6"/>
  <c r="F47" i="6"/>
  <c r="H34" i="5"/>
  <c r="H35" i="5" s="1"/>
  <c r="G7" i="6"/>
  <c r="G10" i="6" s="1"/>
  <c r="G27" i="6" s="1"/>
  <c r="G68" i="6" l="1"/>
  <c r="G67" i="6"/>
  <c r="G47" i="6"/>
  <c r="I34" i="5"/>
  <c r="I35" i="5" s="1"/>
  <c r="H7" i="6"/>
  <c r="H10" i="6" s="1"/>
  <c r="H27" i="6" s="1"/>
  <c r="I56" i="6"/>
  <c r="I59" i="6" s="1"/>
  <c r="I73" i="4"/>
  <c r="E66" i="6"/>
  <c r="E69" i="6"/>
  <c r="E50" i="6"/>
  <c r="E51" i="6" s="1"/>
  <c r="F60" i="6"/>
  <c r="F61" i="6" s="1"/>
  <c r="F48" i="6"/>
  <c r="F66" i="6" l="1"/>
  <c r="F69" i="6"/>
  <c r="F50" i="6"/>
  <c r="F51" i="6" s="1"/>
  <c r="J56" i="6"/>
  <c r="J59" i="6" s="1"/>
  <c r="J73" i="4"/>
  <c r="K56" i="6" s="1"/>
  <c r="K59" i="6" s="1"/>
  <c r="H68" i="6"/>
  <c r="H67" i="6"/>
  <c r="H47" i="6"/>
  <c r="J34" i="5"/>
  <c r="J35" i="5" s="1"/>
  <c r="I7" i="6"/>
  <c r="I10" i="6" s="1"/>
  <c r="I27" i="6" s="1"/>
  <c r="G60" i="6"/>
  <c r="G61" i="6" s="1"/>
  <c r="G48" i="6"/>
  <c r="G66" i="6" l="1"/>
  <c r="G69" i="6"/>
  <c r="G50" i="6"/>
  <c r="G51" i="6" s="1"/>
  <c r="K34" i="5"/>
  <c r="K35" i="5" s="1"/>
  <c r="K7" i="6" s="1"/>
  <c r="K10" i="6" s="1"/>
  <c r="K27" i="6" s="1"/>
  <c r="J7" i="6"/>
  <c r="J10" i="6" s="1"/>
  <c r="J27" i="6" s="1"/>
  <c r="H60" i="6"/>
  <c r="H61" i="6" s="1"/>
  <c r="H48" i="6"/>
  <c r="I68" i="6"/>
  <c r="I67" i="6"/>
  <c r="I47" i="6"/>
  <c r="I60" i="6" l="1"/>
  <c r="I61" i="6" s="1"/>
  <c r="I48" i="6"/>
  <c r="K67" i="6"/>
  <c r="K47" i="6"/>
  <c r="K68" i="6"/>
  <c r="H66" i="6"/>
  <c r="H69" i="6"/>
  <c r="H50" i="6"/>
  <c r="H51" i="6" s="1"/>
  <c r="J67" i="6"/>
  <c r="J47" i="6"/>
  <c r="J68" i="6"/>
  <c r="K60" i="6" l="1"/>
  <c r="K61" i="6" s="1"/>
  <c r="K48" i="6"/>
  <c r="J60" i="6"/>
  <c r="J61" i="6" s="1"/>
  <c r="J48" i="6"/>
  <c r="I66" i="6"/>
  <c r="I69" i="6"/>
  <c r="I50" i="6"/>
  <c r="I51" i="6" s="1"/>
  <c r="J66" i="6" l="1"/>
  <c r="J69" i="6"/>
  <c r="J50" i="6"/>
  <c r="J51" i="6" s="1"/>
  <c r="K69" i="6"/>
  <c r="K66" i="6"/>
  <c r="K50" i="6"/>
  <c r="K51" i="6" s="1"/>
</calcChain>
</file>

<file path=xl/sharedStrings.xml><?xml version="1.0" encoding="utf-8"?>
<sst xmlns="http://schemas.openxmlformats.org/spreadsheetml/2006/main" count="1463" uniqueCount="1023">
  <si>
    <t>Dashboard — Coming next</t>
  </si>
  <si>
    <t>AURELIAN MANUFACTURING — ASSUMPTIONS</t>
  </si>
  <si>
    <t>Master Source: 02_Economic_Tables_Projections_REV6 — February 2026</t>
  </si>
  <si>
    <t>Parameter</t>
  </si>
  <si>
    <t>Cell Name</t>
  </si>
  <si>
    <t>Value</t>
  </si>
  <si>
    <t>Unit</t>
  </si>
  <si>
    <t>Source / Note</t>
  </si>
  <si>
    <t>1.1  Core Operating Assumptions</t>
  </si>
  <si>
    <t>Theoretical hours per CNC per year</t>
  </si>
  <si>
    <t>theo_hours</t>
  </si>
  <si>
    <t>hours</t>
  </si>
  <si>
    <t>REV6 §1.1 — 24h × 365d</t>
  </si>
  <si>
    <t>Normalized hourly rate</t>
  </si>
  <si>
    <t>hourly_rate</t>
  </si>
  <si>
    <t>NOK/hour</t>
  </si>
  <si>
    <t>REV6 §1.1 — Conservative floor, defence/O&amp;G higher</t>
  </si>
  <si>
    <t>Customer Program threshold</t>
  </si>
  <si>
    <t>sharing_threshold</t>
  </si>
  <si>
    <t>%</t>
  </si>
  <si>
    <t>REV6 §1.1 — Fleet utilization trigger</t>
  </si>
  <si>
    <t>Customer Program split above threshold</t>
  </si>
  <si>
    <t>sharing_split</t>
  </si>
  <si>
    <t>REV6 §1.1 — Strategic customers only</t>
  </si>
  <si>
    <t>Target utilization (steady state)</t>
  </si>
  <si>
    <t>target_util</t>
  </si>
  <si>
    <t>REV6 §1.1 — 60–65% range, 62.5% midpoint</t>
  </si>
  <si>
    <t>Utilization always refers to % of 8,760 theoretical hours. No intermediate 'available hours' concept.</t>
  </si>
  <si>
    <t>1.1b  Variable Cost Maturity Curve</t>
  </si>
  <si>
    <t>Variable cost — 2027–2028 (startup)</t>
  </si>
  <si>
    <t>var_cost_2027</t>
  </si>
  <si>
    <t>REV6 §1.1b — New processes, testing</t>
  </si>
  <si>
    <t>Variable cost — 2029</t>
  </si>
  <si>
    <t>var_cost_2029</t>
  </si>
  <si>
    <t>REV6 §1.1b — Tooling optimization</t>
  </si>
  <si>
    <t>Variable cost — 2030</t>
  </si>
  <si>
    <t>var_cost_2030</t>
  </si>
  <si>
    <t>REV6 §1.1b — Supplier agreements</t>
  </si>
  <si>
    <t>Variable cost — 2031</t>
  </si>
  <si>
    <t>var_cost_2031</t>
  </si>
  <si>
    <t>REV6 §1.1b — Predictive maintenance</t>
  </si>
  <si>
    <t>Variable cost — 2032+ (mature)</t>
  </si>
  <si>
    <t>var_cost_2032</t>
  </si>
  <si>
    <t>REV6 §1.1b — Steady state</t>
  </si>
  <si>
    <t>Linear decline driven by tooling optimization, supplier agreements, predictive maintenance, process stability.</t>
  </si>
  <si>
    <t>1.2  CNC Machine Economics</t>
  </si>
  <si>
    <t>Cost per CNC incl. automation</t>
  </si>
  <si>
    <t>cnc_cost</t>
  </si>
  <si>
    <t>NOK</t>
  </si>
  <si>
    <t>REV6 §1.2 — Market analysis, MAZAK/DMG Mori</t>
  </si>
  <si>
    <t>Depreciation life</t>
  </si>
  <si>
    <t>depr_life</t>
  </si>
  <si>
    <t>years</t>
  </si>
  <si>
    <t>REV6 §1.2 — Straight-line</t>
  </si>
  <si>
    <t>Annual depreciation per CNC</t>
  </si>
  <si>
    <t>depr_per_cnc</t>
  </si>
  <si>
    <t>REV6 §1.2 — cnc_cost ÷ depr_life</t>
  </si>
  <si>
    <t>Debt interest rate</t>
  </si>
  <si>
    <t>interest_rate</t>
  </si>
  <si>
    <t>REV6 §1.2 — Bank estimate</t>
  </si>
  <si>
    <t>Debt per CNC (Seed, 50% equity)</t>
  </si>
  <si>
    <t>debt_per_cnc_seed</t>
  </si>
  <si>
    <t>REV6 §1.2 — 50% equity requirement</t>
  </si>
  <si>
    <t>Debt per CNC (Serie A, 30% equity)</t>
  </si>
  <si>
    <t>debt_per_cnc_a</t>
  </si>
  <si>
    <t>REV6 §1.2 — 30% EQ (proven operations)</t>
  </si>
  <si>
    <t>Resale value estimate</t>
  </si>
  <si>
    <t>resale_pct</t>
  </si>
  <si>
    <t>REV6 §1.2 — 50–70% range, MAZAK premium</t>
  </si>
  <si>
    <t>1.2b  Debt Structure — Steady State (20 CNC)</t>
  </si>
  <si>
    <t>Seed CNC machines (5 × 5.0M)</t>
  </si>
  <si>
    <t>debt_seed_cnc</t>
  </si>
  <si>
    <t>REV6 §1.2b</t>
  </si>
  <si>
    <t>Shop base equipment debt (50%)</t>
  </si>
  <si>
    <t>debt_shop_base</t>
  </si>
  <si>
    <t>REV6 §1.2b — 8.6M × 50%</t>
  </si>
  <si>
    <t>Serie A CNC machines (15 × 7.0M)</t>
  </si>
  <si>
    <t>debt_seria_cnc</t>
  </si>
  <si>
    <t>Total debt (steady state)</t>
  </si>
  <si>
    <t>total_debt</t>
  </si>
  <si>
    <t>REV6 §1.2b — Sum = 134.3 MNOK</t>
  </si>
  <si>
    <t>Total annual finance cost (7.5%)</t>
  </si>
  <si>
    <t>total_finance</t>
  </si>
  <si>
    <t>REV6 §1.2b — 134.3M × 7.5% = 10.07M</t>
  </si>
  <si>
    <t>1.2c  Shop Base Setup — One-Time per Site</t>
  </si>
  <si>
    <t>Measurement room (Wenzel CMM, Jenoptik)</t>
  </si>
  <si>
    <t>REV6 §1.2c — Supplier quotes</t>
  </si>
  <si>
    <t>Cutting / raw goods (saw, shelving, misc)</t>
  </si>
  <si>
    <t>Compressor (Kaeser)</t>
  </si>
  <si>
    <t>REV6 §1.2c — Supplier quote</t>
  </si>
  <si>
    <t>Machine extraction (Absolent, 4 machines)</t>
  </si>
  <si>
    <t>Forklift (used + top brand)</t>
  </si>
  <si>
    <t>REV6 §1.2c — Market estimate</t>
  </si>
  <si>
    <t>Total shop base (per site)</t>
  </si>
  <si>
    <t>shop_base_total</t>
  </si>
  <si>
    <t>REV6 §1.2c — ~8.6 MNOK</t>
  </si>
  <si>
    <t>Shop base depreciation (per year)</t>
  </si>
  <si>
    <t>shop_depr</t>
  </si>
  <si>
    <t>REV6 §1.2c — 8yr straight-line (~1.08M/yr)</t>
  </si>
  <si>
    <t>Funded 50% equity / 50% bank debt. All items are physical assets with documented resale value.</t>
  </si>
  <si>
    <t>1.3  Staffing Model (Sub-Linear)</t>
  </si>
  <si>
    <t>Staff per CNC (Aurelian)</t>
  </si>
  <si>
    <t>staff_ratio</t>
  </si>
  <si>
    <t>FTE/CNC</t>
  </si>
  <si>
    <t>REV6 §1.3 — Sub-linear scaling</t>
  </si>
  <si>
    <t>Industry avg staff per CNC</t>
  </si>
  <si>
    <t>industry_ratio</t>
  </si>
  <si>
    <t>REV6 §1.3 — Benchmark</t>
  </si>
  <si>
    <t>Admin/Sales FTEs (constant)</t>
  </si>
  <si>
    <t>admin_fte</t>
  </si>
  <si>
    <t>FTE</t>
  </si>
  <si>
    <t>REV6 §1.3 — Incl. BD/strategic sales from day one</t>
  </si>
  <si>
    <t>Avg operational salary (incl. social)</t>
  </si>
  <si>
    <t>ops_salary</t>
  </si>
  <si>
    <t>NOK/year</t>
  </si>
  <si>
    <t>REV6 §1.3</t>
  </si>
  <si>
    <t>Avg admin salary (incl. social)</t>
  </si>
  <si>
    <t>admin_salary</t>
  </si>
  <si>
    <t>1.3b  Pre-Revenue Staffing Timeline</t>
  </si>
  <si>
    <t>Period</t>
  </si>
  <si>
    <t>Total FTE</t>
  </si>
  <si>
    <t>Ops/Technical</t>
  </si>
  <si>
    <t>Admin/Sales</t>
  </si>
  <si>
    <t>Funded By</t>
  </si>
  <si>
    <t>2026 H1</t>
  </si>
  <si>
    <t>Founders</t>
  </si>
  <si>
    <t>2026 H2</t>
  </si>
  <si>
    <t>2027 Q1–Q2</t>
  </si>
  <si>
    <t>Seed</t>
  </si>
  <si>
    <t>2027 Q3+</t>
  </si>
  <si>
    <t>2028</t>
  </si>
  <si>
    <t>Operations</t>
  </si>
  <si>
    <t>2029</t>
  </si>
  <si>
    <t>2030</t>
  </si>
  <si>
    <t>2031</t>
  </si>
  <si>
    <t>2032+</t>
  </si>
  <si>
    <t>1.4  Fixed Costs (Non-Personnel)</t>
  </si>
  <si>
    <t>Facility lease (annual)</t>
  </si>
  <si>
    <t>facility_lease</t>
  </si>
  <si>
    <t>REV6 §1.4 — Starts Q3 2027</t>
  </si>
  <si>
    <t>Non-facility opex at 20 CNC</t>
  </si>
  <si>
    <t>other_opex_20</t>
  </si>
  <si>
    <t>REV6 §1.4 — IT, insurance, consumables</t>
  </si>
  <si>
    <t>Opex scaling factor</t>
  </si>
  <si>
    <t>opex_scale</t>
  </si>
  <si>
    <t>NOK/CNC/year</t>
  </si>
  <si>
    <t>REV6 §1.4 — 3.0M ÷ 20 CNC</t>
  </si>
  <si>
    <t>Shop base depreciation (annual)</t>
  </si>
  <si>
    <t>shop_base_depr</t>
  </si>
  <si>
    <t>REV6 §1.4 — 8.6M ÷ 8yr, per site</t>
  </si>
  <si>
    <t>1.5  Revenue Formula</t>
  </si>
  <si>
    <t>Revenue per CNC = theo_hours × utilization% × hourly_rate</t>
  </si>
  <si>
    <t>Reconciliation: 8,760 × 60% × 3,000 = 15.768 MNOK per CNC. At 20 CNC = ~315 MNOK.</t>
  </si>
  <si>
    <t>3,000 NOK is conservative floor. Defence/O&amp;G rates higher — represents unmodeled upside.</t>
  </si>
  <si>
    <t>4.1  Fundraising Rounds</t>
  </si>
  <si>
    <t>PreSeed</t>
  </si>
  <si>
    <t>Serie A</t>
  </si>
  <si>
    <t>Capital raised (equity)</t>
  </si>
  <si>
    <t>MNOK</t>
  </si>
  <si>
    <t>Pre-money valuation</t>
  </si>
  <si>
    <t>Post-money valuation</t>
  </si>
  <si>
    <t>Machines funded</t>
  </si>
  <si>
    <t>CNC</t>
  </si>
  <si>
    <t>5 + shop base</t>
  </si>
  <si>
    <t>15 (3×5)</t>
  </si>
  <si>
    <t>Bank debt raised</t>
  </si>
  <si>
    <t>Total capital deployed</t>
  </si>
  <si>
    <t>2.1  Machine Deployment Timeline</t>
  </si>
  <si>
    <t>Event</t>
  </si>
  <si>
    <t>CNC (EOY)</t>
  </si>
  <si>
    <t>Funding</t>
  </si>
  <si>
    <t>Jun 2027</t>
  </si>
  <si>
    <t>5 CNC delivered, commissioning</t>
  </si>
  <si>
    <t>Aug 2027</t>
  </si>
  <si>
    <t>Production starts</t>
  </si>
  <si>
    <t>Q4 2028</t>
  </si>
  <si>
    <t>Serie A Tranche 1 arrives</t>
  </si>
  <si>
    <t>Q1 2029</t>
  </si>
  <si>
    <t>Tranche 1 operational</t>
  </si>
  <si>
    <t>Q3 2029</t>
  </si>
  <si>
    <t>Tranche 2 operational</t>
  </si>
  <si>
    <t>Q3 2030</t>
  </si>
  <si>
    <t>Tranche 3 operational</t>
  </si>
  <si>
    <t>8.0  Validation Checkpoints (REV6 §8)</t>
  </si>
  <si>
    <t>#</t>
  </si>
  <si>
    <t>Checkpoint</t>
  </si>
  <si>
    <t>Status</t>
  </si>
  <si>
    <t>#1</t>
  </si>
  <si>
    <t>Revenue at 20 CNC, 60% utilization</t>
  </si>
  <si>
    <t>~315 MNOK</t>
  </si>
  <si>
    <t>✓</t>
  </si>
  <si>
    <t>#2</t>
  </si>
  <si>
    <t>Total cost at 20 CNC steady state (8% var)</t>
  </si>
  <si>
    <t>~92.75 MNOK</t>
  </si>
  <si>
    <t>#3</t>
  </si>
  <si>
    <t>Break-even at 5 CNC (Seed config)</t>
  </si>
  <si>
    <t>~24% utilization</t>
  </si>
  <si>
    <t>#4</t>
  </si>
  <si>
    <t>Staff ratio</t>
  </si>
  <si>
    <t>0.8 FTE per CNC</t>
  </si>
  <si>
    <t>#5</t>
  </si>
  <si>
    <t>Variable cost (steady state)</t>
  </si>
  <si>
    <t>8%</t>
  </si>
  <si>
    <t>#6</t>
  </si>
  <si>
    <t>Exit valuation (base case)</t>
  </si>
  <si>
    <t>2.3B NOK @ 10x EBITDA</t>
  </si>
  <si>
    <t>#7</t>
  </si>
  <si>
    <t>Founders post-Serie A</t>
  </si>
  <si>
    <t>50.6%</t>
  </si>
  <si>
    <t>#8</t>
  </si>
  <si>
    <t>Accumulated profit 2027–2035</t>
  </si>
  <si>
    <t>~1,254 MNOK</t>
  </si>
  <si>
    <t>#9</t>
  </si>
  <si>
    <t>Seed pre-money</t>
  </si>
  <si>
    <t>130 MNOK</t>
  </si>
  <si>
    <t>#10</t>
  </si>
  <si>
    <t>CAPEX per CNC (incl. automation)</t>
  </si>
  <si>
    <t>10 MNOK</t>
  </si>
  <si>
    <t>#11</t>
  </si>
  <si>
    <t>First revenue</t>
  </si>
  <si>
    <t>August 2027</t>
  </si>
  <si>
    <t>#12</t>
  </si>
  <si>
    <t>Seed machines</t>
  </si>
  <si>
    <t>5 CNC</t>
  </si>
  <si>
    <t>#13</t>
  </si>
  <si>
    <t>Serie A machines</t>
  </si>
  <si>
    <t>15 CNC (3×5 tranches)</t>
  </si>
  <si>
    <t>#14</t>
  </si>
  <si>
    <t>Total equity raised (all rounds)</t>
  </si>
  <si>
    <t>101.3 MNOK</t>
  </si>
  <si>
    <t>#15</t>
  </si>
  <si>
    <t>Self-funded scaling capability</t>
  </si>
  <si>
    <t>From ~2030</t>
  </si>
  <si>
    <t>#16</t>
  </si>
  <si>
    <t>Shop base setup (per site)</t>
  </si>
  <si>
    <t>8.6 MNOK</t>
  </si>
  <si>
    <t>#17</t>
  </si>
  <si>
    <t>Founder contribution valuation basis</t>
  </si>
  <si>
    <t>See VDR 2.3</t>
  </si>
  <si>
    <t>AURELIAN MANUFACTURING — REVENUE MODEL</t>
  </si>
  <si>
    <t>All amounts in MNOK. Revenue = CNC (avg) × theo_hours × utilization% × hourly_rate. Source: REV6 §2.2</t>
  </si>
  <si>
    <t>Key Assumptions (from Assumptions sheet)</t>
  </si>
  <si>
    <t>Theoretical hours / CNC / year</t>
  </si>
  <si>
    <t>utilization</t>
  </si>
  <si>
    <t>Revenue per CNC at 60% utilization</t>
  </si>
  <si>
    <t>MNOK — checkpoint ✓</t>
  </si>
  <si>
    <t>Revenue Build-Up</t>
  </si>
  <si>
    <t>2027 H2</t>
  </si>
  <si>
    <t>2032</t>
  </si>
  <si>
    <t>2033</t>
  </si>
  <si>
    <t>2034</t>
  </si>
  <si>
    <t>2035</t>
  </si>
  <si>
    <t>Notes</t>
  </si>
  <si>
    <t>CNC machines (avg operating)</t>
  </si>
  <si>
    <t>REV6 §2.2 — average operating CNC per period</t>
  </si>
  <si>
    <t>Utilization (%)</t>
  </si>
  <si>
    <t>REV6 §2.2 — ramp from 20% to 65%</t>
  </si>
  <si>
    <t>Operating months in period</t>
  </si>
  <si>
    <t>2027 H2: Aug–Dec (5 months). Full year thereafter.</t>
  </si>
  <si>
    <t>Revenue per CNC (annualized, MNOK)</t>
  </si>
  <si>
    <t>Formula: theo_hours × util% × rate / 1M</t>
  </si>
  <si>
    <t>Period adjustment (months/12)</t>
  </si>
  <si>
    <t>TOTAL REVENUE (MNOK)</t>
  </si>
  <si>
    <t>Formula: CNC_avg × rev_per_CNC × period_adj</t>
  </si>
  <si>
    <t>Verification vs REV6 §2.2</t>
  </si>
  <si>
    <t>REV6 target revenue (MNOK)</t>
  </si>
  <si>
    <t>Model calculated revenue (MNOK)</t>
  </si>
  <si>
    <t>Difference (MNOK)</t>
  </si>
  <si>
    <t>Difference (%)</t>
  </si>
  <si>
    <t>Revenue Split for Customer Program</t>
  </si>
  <si>
    <t>Revenue at 45% threshold (MNOK)</t>
  </si>
  <si>
    <t>Formula: CNC × hours × 45% × rate × adj / 1M</t>
  </si>
  <si>
    <t>Revenue ABOVE threshold (MNOK)</t>
  </si>
  <si>
    <t>Variable cost % (maturity curve)</t>
  </si>
  <si>
    <t>REV6 §1.1b maturity curve</t>
  </si>
  <si>
    <t>Marginal profit above threshold (MNOK)</t>
  </si>
  <si>
    <t>Customer Program (50/50 share, MNOK)</t>
  </si>
  <si>
    <t>Only when util &gt; 45%, strategic customers only</t>
  </si>
  <si>
    <t>REV6 Customer Program target (MNOK)</t>
  </si>
  <si>
    <t>Cumulative Revenue</t>
  </si>
  <si>
    <t>Cumulative revenue (MNOK)</t>
  </si>
  <si>
    <t>Revenue per CNC Analysis</t>
  </si>
  <si>
    <t>Revenue per CNC (period, MNOK)</t>
  </si>
  <si>
    <t>Productive hours per CNC (period)</t>
  </si>
  <si>
    <t>Effective hourly rate (NOK)</t>
  </si>
  <si>
    <t>Constant 3,000 NOK — defence/O&amp;G upside not modeled</t>
  </si>
  <si>
    <t>• 2027 H2: Production starts August 2027. 5 months of operations (Aug–Dec).</t>
  </si>
  <si>
    <t>• Utilization ramps conservatively from 20% (startup) to 65% (steady state by 2035).</t>
  </si>
  <si>
    <t>• Customer Program applies fleet-wide in model (conservative). In practice, per-customer → ~20 MNOK less sharing.</t>
  </si>
  <si>
    <t>• Hourly rate of 3,000 NOK is floor. Defence/O&amp;G premiums represent unmodeled upside.</t>
  </si>
  <si>
    <t>• Serie A tranches are customer-driven. Deployment may accelerate or decelerate based on order book.</t>
  </si>
  <si>
    <t>• REV6 §3.5: Realistic Customer Program ~20–25 MNOK/yr vs modeled ~42 MNOK → +22 MNOK unmodeled upside at steady state.</t>
  </si>
  <si>
    <t>• NOTE: Customer Program formula follows REV6 §3.4 exactly. Minor differences vs §2.2 table are due to:</t>
  </si>
  <si>
    <t xml:space="preserve">  (a) 2030: Model triggers at 47.5% &gt; 45%, REV6 table shows 0 — likely deferred activation during ramp-up.</t>
  </si>
  <si>
    <t xml:space="preserve">  (b) Later years: REV6 §3.5 notes fleet-wide model overestimates vs per-customer reality by ~20–25 MNOK/yr.</t>
  </si>
  <si>
    <t xml:space="preserve">  (c) P&amp;L sheet will reconcile to REV6 §2.2 exact values. This sheet shows formula-derived figures.</t>
  </si>
  <si>
    <t>AURELIAN MANUFACTURING — PROFIT &amp; LOSS</t>
  </si>
  <si>
    <t>All amounts in MNOK. Source: REV6 §2.2, §3. Formulas reference Assumptions &amp; Revenue sheets.</t>
  </si>
  <si>
    <t>Operating Inputs (from Revenue &amp; Assumptions)</t>
  </si>
  <si>
    <t>From Revenue sheet</t>
  </si>
  <si>
    <t>CNC for cost basis (avg deployed in period)</t>
  </si>
  <si>
    <t>Matches avg deployment per REV6 §2.1</t>
  </si>
  <si>
    <t>Operational FTEs</t>
  </si>
  <si>
    <t>REV6 §1.3b + §3.6: sub-linear, 0.8 FTE/CNC</t>
  </si>
  <si>
    <t>REV6 §1.1b via Revenue sheet</t>
  </si>
  <si>
    <t>Seed CNC machines (for debt)</t>
  </si>
  <si>
    <t>Constant from Seed round</t>
  </si>
  <si>
    <t>Serie A CNC machines deployed (EOY)</t>
  </si>
  <si>
    <t>REV6 §2.1 — avg Serie A CNC for cost calc</t>
  </si>
  <si>
    <t>Revenue</t>
  </si>
  <si>
    <t>TOTAL REVENUE</t>
  </si>
  <si>
    <t>Variable Costs</t>
  </si>
  <si>
    <t>Variable costs (materials, tooling, consumables)</t>
  </si>
  <si>
    <t>Revenue × var_cost%</t>
  </si>
  <si>
    <t>Personnel Costs</t>
  </si>
  <si>
    <t>Operational payroll</t>
  </si>
  <si>
    <t>Ops FTE × 1.1M × period adj</t>
  </si>
  <si>
    <t>Administration &amp; sales payroll</t>
  </si>
  <si>
    <t>4 FTE × 1.4M × period adj</t>
  </si>
  <si>
    <t>Total personnel</t>
  </si>
  <si>
    <t>Sum ops + admin</t>
  </si>
  <si>
    <t>Depreciation</t>
  </si>
  <si>
    <t>CNC machine depreciation</t>
  </si>
  <si>
    <t>EOY CNC × 1.25M × period adj</t>
  </si>
  <si>
    <t>Shop base depreciation</t>
  </si>
  <si>
    <t>1.075M/yr × period adj</t>
  </si>
  <si>
    <t>Total depreciation</t>
  </si>
  <si>
    <t>CNC + shop base</t>
  </si>
  <si>
    <t>Finance Costs</t>
  </si>
  <si>
    <t>Seed debt outstanding (MNOK)</t>
  </si>
  <si>
    <t>5 CNC × 5M + 4.3M shop base</t>
  </si>
  <si>
    <t>Serie A debt outstanding (MNOK)</t>
  </si>
  <si>
    <t>Serie A CNC × 7M</t>
  </si>
  <si>
    <t>Total debt outstanding (MNOK)</t>
  </si>
  <si>
    <t>Finance cost (interest expense)</t>
  </si>
  <si>
    <t>Total debt × 7.5% × period adj</t>
  </si>
  <si>
    <t>Other Operating Costs</t>
  </si>
  <si>
    <t>Facility lease</t>
  </si>
  <si>
    <t>5.2M/yr × period adj. From Q3 2027.</t>
  </si>
  <si>
    <t>Other operating costs (IT, insurance, etc.)</t>
  </si>
  <si>
    <t>EOY CNC × 150K × period adj</t>
  </si>
  <si>
    <t>Total other operating costs</t>
  </si>
  <si>
    <t>Facility + other opex</t>
  </si>
  <si>
    <t>Total Costs</t>
  </si>
  <si>
    <t>TOTAL COSTS</t>
  </si>
  <si>
    <t>Sum all cost categories</t>
  </si>
  <si>
    <t>REV6 §2.2 target cost (MNOK)</t>
  </si>
  <si>
    <t>For verification</t>
  </si>
  <si>
    <t>Cost difference vs REV6</t>
  </si>
  <si>
    <t>Negative = model has higher costs</t>
  </si>
  <si>
    <t>Profitability</t>
  </si>
  <si>
    <t>GROSS PROFIT (before Customer Program)</t>
  </si>
  <si>
    <t>Revenue + Total Costs (costs are negative)</t>
  </si>
  <si>
    <t>REV6 §2.2 target gross profit</t>
  </si>
  <si>
    <t>Customer Program (50/50 sharing)</t>
  </si>
  <si>
    <t>From Revenue sheet, negative = paid out</t>
  </si>
  <si>
    <t>REV6 §2.2 Customer Program target</t>
  </si>
  <si>
    <t>AURELIAN PROFIT (EBIT)</t>
  </si>
  <si>
    <t>Gross Profit - Customer Program</t>
  </si>
  <si>
    <t>REV6 §2.2 Aurelian Profit target</t>
  </si>
  <si>
    <t>EBIT difference vs REV6</t>
  </si>
  <si>
    <t>Model vs target</t>
  </si>
  <si>
    <t>EBITDA Reconciliation</t>
  </si>
  <si>
    <t>EBITDA</t>
  </si>
  <si>
    <t>EBIT + Depreciation add-back</t>
  </si>
  <si>
    <t>EBITDA margin (%)</t>
  </si>
  <si>
    <t>EBITDA / Revenue</t>
  </si>
  <si>
    <t>EBIT margin (%)</t>
  </si>
  <si>
    <t>EBIT / Revenue</t>
  </si>
  <si>
    <t>Cumulative Aurelian Profit</t>
  </si>
  <si>
    <t>Cumulative Aurelian Profit (MNOK)</t>
  </si>
  <si>
    <t>REV6 §2.2 target: ~1,254 MNOK</t>
  </si>
  <si>
    <t>Key Metrics</t>
  </si>
  <si>
    <t>Revenue per CNC (MNOK)</t>
  </si>
  <si>
    <t>Total revenue / avg CNC</t>
  </si>
  <si>
    <t>Cost per CNC (MNOK)</t>
  </si>
  <si>
    <t>Total cost / avg CNC</t>
  </si>
  <si>
    <t>Aurelian Profit per CNC (MNOK)</t>
  </si>
  <si>
    <t>EBIT / avg CNC</t>
  </si>
  <si>
    <t>Revenue per FTE (MNOK)</t>
  </si>
  <si>
    <t>Revenue / total staff</t>
  </si>
  <si>
    <t>Variable costs (absolute, MNOK)</t>
  </si>
  <si>
    <t>For reference</t>
  </si>
  <si>
    <t>Steady State Validation — REV6 §3.6 (20 CNC @ 60%, 8% var cost)</t>
  </si>
  <si>
    <t>Component</t>
  </si>
  <si>
    <t>REV6 Target</t>
  </si>
  <si>
    <t>Model (2032)</t>
  </si>
  <si>
    <t>Difference</t>
  </si>
  <si>
    <t>Administration</t>
  </si>
  <si>
    <t>CNC depreciation</t>
  </si>
  <si>
    <t>Finance cost</t>
  </si>
  <si>
    <t>Variable costs (8%)</t>
  </si>
  <si>
    <t>Other operating costs</t>
  </si>
  <si>
    <t>Total cost</t>
  </si>
  <si>
    <t>Revenue @ 60%</t>
  </si>
  <si>
    <t>Result before tax</t>
  </si>
  <si>
    <t>AURELIAN MANUFACTURING — CASH FLOW STATEMENT</t>
  </si>
  <si>
    <t>All amounts in MNOK. Source: REV6 §2, §3, §7. Includes pre-revenue 2026.</t>
  </si>
  <si>
    <t>A. Operating Cash Flow</t>
  </si>
  <si>
    <t>2026</t>
  </si>
  <si>
    <t>EBIT (from P&amp;L)</t>
  </si>
  <si>
    <t>P&amp;L: AURELIAN PROFIT (EBIT)</t>
  </si>
  <si>
    <t>(+) Depreciation add-back</t>
  </si>
  <si>
    <t>Non-cash: CNC + shop base depr</t>
  </si>
  <si>
    <t>(-) Working capital changes</t>
  </si>
  <si>
    <t>From Balance Sheet NWC change</t>
  </si>
  <si>
    <t>NET OPERATING CASH FLOW</t>
  </si>
  <si>
    <t>EBIT + Depreciation + WC changes</t>
  </si>
  <si>
    <t>B. Investing Cash Flow (CAPEX)</t>
  </si>
  <si>
    <t>New CNC machines purchased (units)</t>
  </si>
  <si>
    <t>REV6 §2.1: 5+5+5+5=20 core, then organic</t>
  </si>
  <si>
    <t>(-) CNC machine purchases</t>
  </si>
  <si>
    <t>Units × 10M per CNC</t>
  </si>
  <si>
    <t>(-) Shop base setup</t>
  </si>
  <si>
    <t>REV6 §1.2c — One-time per site, 8.6M</t>
  </si>
  <si>
    <t>(-) Facility setup &amp; commissioning</t>
  </si>
  <si>
    <t>REV6 §7.2 — IT/OT, tooling, automation</t>
  </si>
  <si>
    <t>(-) Certifications (AS9100, AQAP, ISO)</t>
  </si>
  <si>
    <t>REV6 §7.2 — Defence market access</t>
  </si>
  <si>
    <t>(-) Platform engineering (self-funded)</t>
  </si>
  <si>
    <t>REV6 §7.4 — 4-5 FTE from Q1 2030, ~5.6M/yr</t>
  </si>
  <si>
    <t>NET INVESTING CASH FLOW</t>
  </si>
  <si>
    <t>Total CAPEX</t>
  </si>
  <si>
    <t>C. Financing Cash Flow</t>
  </si>
  <si>
    <t>(+) PreSeed equity</t>
  </si>
  <si>
    <t>REV6 §4.1 — 5 MNOK</t>
  </si>
  <si>
    <t>(+) Seed equity</t>
  </si>
  <si>
    <t>REV6 §4.1 — 51.3 MNOK</t>
  </si>
  <si>
    <t>(+) Seed bank debt</t>
  </si>
  <si>
    <t>REV6 §4.1 — 5 CNC × 5M + 4.3M shop base</t>
  </si>
  <si>
    <t>(+) Serie A equity (tranches)</t>
  </si>
  <si>
    <t>REV6 §7.3 — 3 × 15M, milestone-based</t>
  </si>
  <si>
    <t>(+) Serie A bank debt (tranches)</t>
  </si>
  <si>
    <t>REV6 §7.3 — 3 × 35M, secured by machines</t>
  </si>
  <si>
    <t>(-) Debt amortization</t>
  </si>
  <si>
    <t>Interest-only assumed during growth phase</t>
  </si>
  <si>
    <t>NET FINANCING CASH FLOW</t>
  </si>
  <si>
    <t>Total equity + debt raises</t>
  </si>
  <si>
    <t>Net Cash Flow &amp; Cash Position</t>
  </si>
  <si>
    <t>NET CASH FLOW</t>
  </si>
  <si>
    <t>Operating + Investing + Financing</t>
  </si>
  <si>
    <t>Opening cash balance</t>
  </si>
  <si>
    <t>Previous period closing balance</t>
  </si>
  <si>
    <t>CLOSING CASH BALANCE</t>
  </si>
  <si>
    <t>Opening + Net Cash Flow</t>
  </si>
  <si>
    <t>Cash Flow Summary &amp; Key Metrics</t>
  </si>
  <si>
    <t>FREE CASH FLOW (OpCF + InvCF)</t>
  </si>
  <si>
    <t>Before financing — shows self-funding ability</t>
  </si>
  <si>
    <t>Cumulative Free Cash Flow</t>
  </si>
  <si>
    <t>When positive = self-funding</t>
  </si>
  <si>
    <t>Cumulative equity raised</t>
  </si>
  <si>
    <t>REV6 §4.1 target: 101.3 MNOK total</t>
  </si>
  <si>
    <t>Cumulative debt raised</t>
  </si>
  <si>
    <t>REV6 target: 134.3 MNOK total</t>
  </si>
  <si>
    <t>Cumulative CAPEX deployed</t>
  </si>
  <si>
    <t>Positive = invested</t>
  </si>
  <si>
    <t>Self-funding indicator</t>
  </si>
  <si>
    <t>REV6: Self-funded scaling from ~2030</t>
  </si>
  <si>
    <t>Use of Funds Reconciliation (REV6 §7)</t>
  </si>
  <si>
    <t>Round</t>
  </si>
  <si>
    <t>Category</t>
  </si>
  <si>
    <t>Source</t>
  </si>
  <si>
    <t>Concept validation &amp; customer discovery</t>
  </si>
  <si>
    <t>Equity</t>
  </si>
  <si>
    <t>Supplier LOIs &amp; regulatory</t>
  </si>
  <si>
    <t>Team &amp; advisory</t>
  </si>
  <si>
    <t>Planning &amp; engineering</t>
  </si>
  <si>
    <t>Buffer</t>
  </si>
  <si>
    <t>CNC machines equity (5 x 5.0M)</t>
  </si>
  <si>
    <t>CNC machines debt (5 x 5.0M)</t>
  </si>
  <si>
    <t>Bank</t>
  </si>
  <si>
    <t>Shop base setup &amp; technical equipment</t>
  </si>
  <si>
    <t>Shop base debt (50%)</t>
  </si>
  <si>
    <t>Pre-revenue staffing (Jan-Jul 2027)</t>
  </si>
  <si>
    <t>Facility setup &amp; commissioning</t>
  </si>
  <si>
    <t>Facility lease pre-revenue (Q3-Q4)</t>
  </si>
  <si>
    <t>Certifications (AS9100, AQAP, ISO)</t>
  </si>
  <si>
    <t>CNC machines equity (15 x 3.0M)</t>
  </si>
  <si>
    <t>CNC machines debt (15 x 7.0M)</t>
  </si>
  <si>
    <t>Notes &amp; Assumptions</t>
  </si>
  <si>
    <t>1. Interest expense is included in EBIT (P&amp;L), so it flows through Operating Cash Flow. No double-counting.</t>
  </si>
  <si>
    <t>2. Debt is assumed interest-only during the projection period (no principal amortization). Common for growth-stage companies.</t>
  </si>
  <si>
    <t>3. Working capital changes are estimated conservatively. Manufacturing typically requires receivables and inventory build-up.</t>
  </si>
  <si>
    <t>4. Serie A tranches deploy based on milestones (&gt;30% utilization). Timing shown is base case per REV6 §7.3.</t>
  </si>
  <si>
    <t>5. Platform engineering team (REV6 §7.4): Self-funded from Site Zero cash flow starting Q1 2030. ~5.6-7.0 MNOK/yr.</t>
  </si>
  <si>
    <t>6. By H2 2028+, the business is cash-flow positive from operations (REV6 §7.3). Certs, team expansion, WC funded from operations.</t>
  </si>
  <si>
    <t>7. No dividends are modeled. All profits reinvested for growth.</t>
  </si>
  <si>
    <t>8. CNC machines funded per phase: Seed 50% EQ / 50% debt, Serie A 30% EQ / 70% debt (REV6 §1.2).</t>
  </si>
  <si>
    <t>AURELIAN MANUFACTURING — BALANCE SHEET</t>
  </si>
  <si>
    <t>All amounts in MNOK. End-of-period balances. Year-end for full years, end-H2 for 2027.</t>
  </si>
  <si>
    <t>ASSETS</t>
  </si>
  <si>
    <t>Current Assets</t>
  </si>
  <si>
    <t xml:space="preserve">   Cash &amp; cash equivalents</t>
  </si>
  <si>
    <t>Cash Flow: Closing cash balance</t>
  </si>
  <si>
    <t xml:space="preserve">   Accounts receivable</t>
  </si>
  <si>
    <t>~30 days outstanding revenue</t>
  </si>
  <si>
    <t xml:space="preserve">   Inventory (materials &amp; WIP)</t>
  </si>
  <si>
    <t>~2 months variable cost buffer</t>
  </si>
  <si>
    <t>Total Current Assets</t>
  </si>
  <si>
    <t>Fixed Assets (Property, Plant &amp; Equipment)</t>
  </si>
  <si>
    <t xml:space="preserve">   CNC machines (gross cost)</t>
  </si>
  <si>
    <t>Cumulative units × 10M NOK each</t>
  </si>
  <si>
    <t xml:space="preserve">   CNC accumulated depreciation</t>
  </si>
  <si>
    <t>Cumulative from P&amp;L</t>
  </si>
  <si>
    <t xml:space="preserve">   CNC machines (net book value)</t>
  </si>
  <si>
    <t>Gross - accumulated depreciation</t>
  </si>
  <si>
    <t xml:space="preserve">   Shop base equipment (gross cost)</t>
  </si>
  <si>
    <t>REV6 §1.2c — 8.62M one-time</t>
  </si>
  <si>
    <t xml:space="preserve">   Shop base accumulated depreciation</t>
  </si>
  <si>
    <t>Cumulative from P&amp;L (1.075M/yr)</t>
  </si>
  <si>
    <t xml:space="preserve">   Shop base equipment (net book value)</t>
  </si>
  <si>
    <t xml:space="preserve">   Other capitalized (facility, certs, platform)</t>
  </si>
  <si>
    <t>Facility 3M + Certs 2M + Platform 5.6M/yr</t>
  </si>
  <si>
    <t xml:space="preserve">   Other accumulated amortization</t>
  </si>
  <si>
    <t>5-year straight-line amortization</t>
  </si>
  <si>
    <t xml:space="preserve">   Other capitalized (net book value)</t>
  </si>
  <si>
    <t>Total Fixed Assets (PP&amp;E)</t>
  </si>
  <si>
    <t>TOTAL ASSETS</t>
  </si>
  <si>
    <t>LIABILITIES</t>
  </si>
  <si>
    <t>Current Liabilities</t>
  </si>
  <si>
    <t xml:space="preserve">   Accounts payable</t>
  </si>
  <si>
    <t>~30 days of operating costs</t>
  </si>
  <si>
    <t xml:space="preserve">   Accrued expenses</t>
  </si>
  <si>
    <t>Payroll, taxes, other accruals</t>
  </si>
  <si>
    <t>Total Current Liabilities</t>
  </si>
  <si>
    <t>Long-Term Liabilities</t>
  </si>
  <si>
    <t xml:space="preserve">   Bank debt (secured by CNC machines)</t>
  </si>
  <si>
    <t>P&amp;L: Total debt outstanding</t>
  </si>
  <si>
    <t>Total Long-Term Liabilities</t>
  </si>
  <si>
    <t>TOTAL LIABILITIES</t>
  </si>
  <si>
    <t>SHAREHOLDERS' EQUITY</t>
  </si>
  <si>
    <t xml:space="preserve">   Paid-in capital (share capital + premium)</t>
  </si>
  <si>
    <t>Cash Flow: Cumulative equity raised</t>
  </si>
  <si>
    <t xml:space="preserve">   Retained earnings (accumulated)</t>
  </si>
  <si>
    <t>Plug: Assets - Liabilities - Share capital</t>
  </si>
  <si>
    <t>TOTAL SHAREHOLDERS' EQUITY</t>
  </si>
  <si>
    <t>TOTAL LIABILITIES + EQUITY</t>
  </si>
  <si>
    <t>BALANCE CHECK (should = 0)</t>
  </si>
  <si>
    <t>Retained Earnings Reconciliation</t>
  </si>
  <si>
    <t>Cumulative P&amp;L Profit (EBIT)</t>
  </si>
  <si>
    <t>P&amp;L: Cumulative Aurelian Profit</t>
  </si>
  <si>
    <t>(-) Cumulative other amortization</t>
  </si>
  <si>
    <t>Facility + cert + platform amortization (not in P&amp;L)</t>
  </si>
  <si>
    <t>(+/-) Net working capital effect</t>
  </si>
  <si>
    <t>AR + Inventory - AP - Accruals</t>
  </si>
  <si>
    <t>Adjusted Retained Earnings (est.)</t>
  </si>
  <si>
    <t>P&amp;L + amort adj + WC</t>
  </si>
  <si>
    <t>Balance Sheet Retained Earnings</t>
  </si>
  <si>
    <t>From equity section</t>
  </si>
  <si>
    <t>Difference (residual)</t>
  </si>
  <si>
    <t>WC cash timing + capitalization effects</t>
  </si>
  <si>
    <t>Key Balance Sheet Ratios</t>
  </si>
  <si>
    <t>Debt-to-Equity Ratio</t>
  </si>
  <si>
    <t>Target: &lt;2.0x for bankable structure</t>
  </si>
  <si>
    <t>Asset Turnover (Revenue / Assets)</t>
  </si>
  <si>
    <t>Efficiency of asset utilization</t>
  </si>
  <si>
    <t>Return on Assets (EBIT / Assets)</t>
  </si>
  <si>
    <t>Profitability relative to asset base</t>
  </si>
  <si>
    <t>Return on Equity (EBIT / Equity)</t>
  </si>
  <si>
    <t>Investor return on book equity</t>
  </si>
  <si>
    <t>Fixed Assets / Debt Coverage</t>
  </si>
  <si>
    <t>Collateral coverage for bank debt</t>
  </si>
  <si>
    <t>1. Balance Sheet constructed so Assets = Liabilities + Equity by definition. Retained earnings is the balancing item.</t>
  </si>
  <si>
    <t>2. CNC machines at historical cost (10M NOK each), straight-line depreciation over 8 years per REV6 §1.2.</t>
  </si>
  <si>
    <t>3. Resale value analysis supports 55-65% residual at 3yr, 35-45% at 5yr — not reflected in book values.</t>
  </si>
  <si>
    <t>4. Working capital estimated from revenue/cost profiles. Detailed WC model recommended for Seed DD.</t>
  </si>
  <si>
    <t>5. Other capitalized: facility setup (3M), certifications (2M), platform engineering (5.6M/yr from 2030). Amortized over 5yr.</t>
  </si>
  <si>
    <t>6. Bank debt interest-only during projection. No principal amortization (growth-stage assumption).</t>
  </si>
  <si>
    <t>7. Debt from 2032+ includes organic growth CNC machines at 7M debt each (per P&amp;L Serie A terms).</t>
  </si>
  <si>
    <t>8. RE reconciliation: small differences from WC cash timing and items capitalized on BS but expensed differently in CF.</t>
  </si>
  <si>
    <t>AURELIAN MANUFACTURING — CAP TABLE &amp; OWNERSHIP EVOLUTION</t>
  </si>
  <si>
    <t>Source: REV6 §4. All ownership is at parent (Holdingselskap) level. ESOP at daughter (Site) level.</t>
  </si>
  <si>
    <t>1. Financing Round Parameters</t>
  </si>
  <si>
    <t>Capital raised (equity, MNOK)</t>
  </si>
  <si>
    <t>REV6 §4.1</t>
  </si>
  <si>
    <t>Pre-money valuation (MNOK)</t>
  </si>
  <si>
    <t>Post-money valuation (MNOK)</t>
  </si>
  <si>
    <t>PreMoney + Capital</t>
  </si>
  <si>
    <t>Dilution this round (%)</t>
  </si>
  <si>
    <t>Capital / PostMoney</t>
  </si>
  <si>
    <t>Bank debt raised (MNOK)</t>
  </si>
  <si>
    <t>Asset-backed, secured by CNC</t>
  </si>
  <si>
    <t>Total capital deployed (MNOK)</t>
  </si>
  <si>
    <t>Equity + Debt</t>
  </si>
  <si>
    <t>5 CNC + shop</t>
  </si>
  <si>
    <t>15 CNC (3×5)</t>
  </si>
  <si>
    <t>2. Ownership Evolution (% of Parent Company)</t>
  </si>
  <si>
    <t>Founding</t>
  </si>
  <si>
    <t>Post PreSeed</t>
  </si>
  <si>
    <t>Post Seed</t>
  </si>
  <si>
    <t>Post Serie A</t>
  </si>
  <si>
    <t>Eier A</t>
  </si>
  <si>
    <t>Eier B</t>
  </si>
  <si>
    <t>Eier C</t>
  </si>
  <si>
    <t>FOUNDERS TOTAL</t>
  </si>
  <si>
    <t>Founders retain majority control</t>
  </si>
  <si>
    <t>PreSeed investors</t>
  </si>
  <si>
    <t>Seed investors</t>
  </si>
  <si>
    <t>Serie A investors</t>
  </si>
  <si>
    <t>INVESTORS TOTAL</t>
  </si>
  <si>
    <t>TOTAL (verification = 100%)</t>
  </si>
  <si>
    <t>Must equal 100.00%</t>
  </si>
  <si>
    <t>3. Dilution Waterfall (Founders)</t>
  </si>
  <si>
    <t>Cumulative</t>
  </si>
  <si>
    <t>Eier A starting %</t>
  </si>
  <si>
    <t>Eier A ending %</t>
  </si>
  <si>
    <t>Eier A dilution (pp)</t>
  </si>
  <si>
    <t>Eier B starting %</t>
  </si>
  <si>
    <t>Eier B ending %</t>
  </si>
  <si>
    <t>Eier B dilution (pp)</t>
  </si>
  <si>
    <t>Eier C starting %</t>
  </si>
  <si>
    <t>Eier C ending %</t>
  </si>
  <si>
    <t>Eier C dilution (pp)</t>
  </si>
  <si>
    <t>European VC Dilution Benchmarks</t>
  </si>
  <si>
    <t>Typical Seed dilution (Europe)</t>
  </si>
  <si>
    <t>10-25%</t>
  </si>
  <si>
    <t>Aurelian: 28.3% (capital intensity premium)</t>
  </si>
  <si>
    <t>Typical Serie A dilution (Europe)</t>
  </si>
  <si>
    <t>20-30%</t>
  </si>
  <si>
    <t>Aurelian: 15.3% (below market — strong position)</t>
  </si>
  <si>
    <t>Founders retaining &gt;50% post-A</t>
  </si>
  <si>
    <t>Best practice</t>
  </si>
  <si>
    <t>Aurelian: 50.6% ✓ — maintains control</t>
  </si>
  <si>
    <t>4. Exit Value Allocation (2035 Scenario)</t>
  </si>
  <si>
    <t>Exit Parameters</t>
  </si>
  <si>
    <t>EBITDA at exit (MNOK)</t>
  </si>
  <si>
    <t>P&amp;L: steady state after Customer Program</t>
  </si>
  <si>
    <t>EBITDA multiple (Industry 4.0)</t>
  </si>
  <si>
    <t>10-11x</t>
  </si>
  <si>
    <t>Industrial IoT range (European benchmarks)</t>
  </si>
  <si>
    <t>Exit valuation (MNOK)</t>
  </si>
  <si>
    <t>Conservative: 222 × 10.4x ≈ 2,300</t>
  </si>
  <si>
    <t>Ownership %</t>
  </si>
  <si>
    <t>Value (MNOK)</t>
  </si>
  <si>
    <t>Investment</t>
  </si>
  <si>
    <t>ROI (x)</t>
  </si>
  <si>
    <t>Market Exp.</t>
  </si>
  <si>
    <t>Sweat equity ~7-9 MNOK</t>
  </si>
  <si>
    <t>20-40x ✓</t>
  </si>
  <si>
    <t>10-25x ✓</t>
  </si>
  <si>
    <t>5-10x ✓</t>
  </si>
  <si>
    <t>Weighted avg</t>
  </si>
  <si>
    <t>TOTAL EXIT VALUE</t>
  </si>
  <si>
    <t>5. Investor ROI Sensitivity (Exit Multiple)</t>
  </si>
  <si>
    <t>8x
(Bear)</t>
  </si>
  <si>
    <t>10x
(Base)</t>
  </si>
  <si>
    <t>11x
(Bull)</t>
  </si>
  <si>
    <t>13x
(Upside)</t>
  </si>
  <si>
    <t>PreSeed ROI (invested 5M)</t>
  </si>
  <si>
    <t>Seed ROI (invested 51.3M)</t>
  </si>
  <si>
    <t>Serie A ROI (invested 45M)</t>
  </si>
  <si>
    <t>Founders value (MNOK)</t>
  </si>
  <si>
    <t>6. Founder Vesting Schedule</t>
  </si>
  <si>
    <t>Vesting period</t>
  </si>
  <si>
    <t>4 years</t>
  </si>
  <si>
    <t>Standard VC practice</t>
  </si>
  <si>
    <t>Cliff period</t>
  </si>
  <si>
    <t>1 year</t>
  </si>
  <si>
    <t>No vesting if departure before 12 months</t>
  </si>
  <si>
    <t>Vesting frequency</t>
  </si>
  <si>
    <t>Monthly (after cliff)</t>
  </si>
  <si>
    <t>1/48 per month after cliff</t>
  </si>
  <si>
    <t>Acceleration (exit)</t>
  </si>
  <si>
    <t>Double-trigger, 50%</t>
  </si>
  <si>
    <t>50% immediate vest on acquisition</t>
  </si>
  <si>
    <t>Acceleration (termination w/o cause)</t>
  </si>
  <si>
    <t>12-month</t>
  </si>
  <si>
    <t>Protects founders</t>
  </si>
  <si>
    <t>Employee incentive (ESOP)</t>
  </si>
  <si>
    <t>10% at Site level</t>
  </si>
  <si>
    <t>Daughter company — no parent dilution</t>
  </si>
  <si>
    <t>Vesting Timeline (cumulative %)</t>
  </si>
  <si>
    <t>Month 0</t>
  </si>
  <si>
    <t>Month 12
(Cliff)</t>
  </si>
  <si>
    <t>Month 24</t>
  </si>
  <si>
    <t>Month 36</t>
  </si>
  <si>
    <t>Month 48
(Full)</t>
  </si>
  <si>
    <t>Eier A vested %</t>
  </si>
  <si>
    <t>Eier A vested shares (of 56.25%)</t>
  </si>
  <si>
    <t>Eier B vested %</t>
  </si>
  <si>
    <t>Eier B vested shares (of 33.75%)</t>
  </si>
  <si>
    <t>Eier C vested %</t>
  </si>
  <si>
    <t>Eier C vested shares (of 10.00%)</t>
  </si>
  <si>
    <t>7. Board Composition &amp; Governance</t>
  </si>
  <si>
    <t>Pre-Seed
(Current)</t>
  </si>
  <si>
    <t>Post-Seed</t>
  </si>
  <si>
    <t>Post-Serie A</t>
  </si>
  <si>
    <t>Founder seats</t>
  </si>
  <si>
    <t>André Tandberg (CEO), Tore Ausland (BD)</t>
  </si>
  <si>
    <t>Independent seats</t>
  </si>
  <si>
    <t>Henrik Strøm (Financial expertise)</t>
  </si>
  <si>
    <t>Investor seats</t>
  </si>
  <si>
    <t>1-2</t>
  </si>
  <si>
    <t>Lead investor from each round</t>
  </si>
  <si>
    <t>Total board seats</t>
  </si>
  <si>
    <t>4-5</t>
  </si>
  <si>
    <t>Founder voting control</t>
  </si>
  <si>
    <t>Majority</t>
  </si>
  <si>
    <t>Shared</t>
  </si>
  <si>
    <t>50.6% ownership post-Serie A</t>
  </si>
  <si>
    <t>Pro-rata rights</t>
  </si>
  <si>
    <t>N/A</t>
  </si>
  <si>
    <t>Yes</t>
  </si>
  <si>
    <t>Right to participate in future rounds</t>
  </si>
  <si>
    <t>Board observer</t>
  </si>
  <si>
    <t>Optional</t>
  </si>
  <si>
    <t>Non-voting seat for co-investors</t>
  </si>
  <si>
    <t>Liquidation preference</t>
  </si>
  <si>
    <t>1x NP</t>
  </si>
  <si>
    <t>Non-participating — investors get back first</t>
  </si>
  <si>
    <t>Anti-dilution</t>
  </si>
  <si>
    <t>WA</t>
  </si>
  <si>
    <t>Weighted average protection</t>
  </si>
  <si>
    <t>1. All ownership percentages are at parent (Holdingselskap) level. REV6 §4.2 is authoritative source.</t>
  </si>
  <si>
    <t>2. Employee incentive programs (10%) structured within each daughter company (Site), not at parent level.</t>
  </si>
  <si>
    <t>3. No further dilution at parent level after Serie A in base case.</t>
  </si>
  <si>
    <t>4. REV6 numbers: PreSeed 5M@25M pre, Seed 51.3M@130M pre, Serie A 45M@250M pre.</t>
  </si>
  <si>
    <t>5. Exit scenario uses conservative 10x EBITDA (range 10-11x for Industrial IoT per European benchmarks).</t>
  </si>
  <si>
    <t>6. Founder sweat equity contribution estimated at 7-9 MNOK (see 02_Founder_Contribution_PreSeed_Valuation).</t>
  </si>
  <si>
    <t>7. All three investor groups deliver ROI within or above European VC market expectations.</t>
  </si>
  <si>
    <t>8. Vesting terms are recommended structure — to be finalized in shareholder agreement.</t>
  </si>
  <si>
    <t>AURELIAN MANUFACTURING — SENSITIVITY ANALYSIS</t>
  </si>
  <si>
    <t>Source: REV6 §5. All tables use Assumptions sheet inputs. Steady state = 20 CNC, 8% variable cost, before Customer Program.</t>
  </si>
  <si>
    <t>1. Utilization Sensitivity — 20 CNC, Steady State (Before Customer Program)</t>
  </si>
  <si>
    <t>Constants:</t>
  </si>
  <si>
    <t>CNC machines =</t>
  </si>
  <si>
    <t>Variable cost % =</t>
  </si>
  <si>
    <t>Hourly rate =</t>
  </si>
  <si>
    <t>Utilization %</t>
  </si>
  <si>
    <t>Revenue
(MNOK)</t>
  </si>
  <si>
    <t>Variable
Costs (8%)</t>
  </si>
  <si>
    <t>Fixed
Costs</t>
  </si>
  <si>
    <t>Total
Costs</t>
  </si>
  <si>
    <t>EBIT
(MNOK)</t>
  </si>
  <si>
    <t>EBIT
Margin %</t>
  </si>
  <si>
    <t>EBITDA
(MNOK)</t>
  </si>
  <si>
    <t>EBITDA
Margin %</t>
  </si>
  <si>
    <t>Machine-level break-even zone</t>
  </si>
  <si>
    <t>Company break-even (~14-20%)</t>
  </si>
  <si>
    <t>BASE CASE (REV6 target)</t>
  </si>
  <si>
    <t>Bull case target</t>
  </si>
  <si>
    <t>KEY: 10pp utilization increase ≈ 50 MNOK EBIT impact at 20 CNC scale. Operating leverage is extreme.</t>
  </si>
  <si>
    <t>2. Two-Way Sensitivity — EBIT by CNC Count × Utilization (MNOK, Before Customer Program)</t>
  </si>
  <si>
    <t>EBIT (MNOK)</t>
  </si>
  <si>
    <t>10 CNC</t>
  </si>
  <si>
    <t>15 CNC</t>
  </si>
  <si>
    <t>20 CNC</t>
  </si>
  <si>
    <t>25 CNC</t>
  </si>
  <si>
    <t>30 CNC</t>
  </si>
  <si>
    <t>Green = profitable, Red = loss, Blue highlight = Base case (20 CNC @ 60%)</t>
  </si>
  <si>
    <t>3. Hourly Rate Sensitivity — 20 CNC @ 60% Utilization</t>
  </si>
  <si>
    <t>Hourly Rate
(NOK)</t>
  </si>
  <si>
    <t>Δ Revenue
vs Base</t>
  </si>
  <si>
    <t>Δ EBIT
vs Base</t>
  </si>
  <si>
    <t>REV6 §8.1: Defence/O&amp;G premiums above 3,000 NOK are documented but NOT modeled (conservative buffer).</t>
  </si>
  <si>
    <t>4. Exit Scenario Analysis (REV6 §5.3)</t>
  </si>
  <si>
    <t>Scenario</t>
  </si>
  <si>
    <t>CNC
Count</t>
  </si>
  <si>
    <t>Utilization</t>
  </si>
  <si>
    <t>Multiple</t>
  </si>
  <si>
    <t>Exit Value
(MNOK)</t>
  </si>
  <si>
    <t>PreSeed
ROI</t>
  </si>
  <si>
    <t>Seed
ROI</t>
  </si>
  <si>
    <t>Serie A
ROI</t>
  </si>
  <si>
    <t>Founders
Value (MNOK)</t>
  </si>
  <si>
    <t>Deep bear</t>
  </si>
  <si>
    <t>Bear</t>
  </si>
  <si>
    <t>Conservative</t>
  </si>
  <si>
    <t>BASE CASE</t>
  </si>
  <si>
    <t>Bull</t>
  </si>
  <si>
    <t>Multi-site</t>
  </si>
  <si>
    <t>Market expectations:</t>
  </si>
  <si>
    <t>20-40x</t>
  </si>
  <si>
    <t>10-25x</t>
  </si>
  <si>
    <t>5-10x</t>
  </si>
  <si>
    <t>5. Operating Leverage — Revenue Change vs. EBIT Change</t>
  </si>
  <si>
    <t>Change from Base</t>
  </si>
  <si>
    <t>Δ Revenue
(%)</t>
  </si>
  <si>
    <t>Δ EBIT
(%)</t>
  </si>
  <si>
    <t>Leverage
Factor</t>
  </si>
  <si>
    <t>Util = 40%</t>
  </si>
  <si>
    <t>Util = 45%</t>
  </si>
  <si>
    <t>Util = 50%</t>
  </si>
  <si>
    <t>Util = 55%</t>
  </si>
  <si>
    <t>Util = 60% (BASE)</t>
  </si>
  <si>
    <t>—</t>
  </si>
  <si>
    <t>Util = 65%</t>
  </si>
  <si>
    <t>Util = 70%</t>
  </si>
  <si>
    <t>Leverage Factor &gt;1x means EBIT grows faster than revenue. At ~1.1x, a 10% revenue increase → 11% EBIT increase.</t>
  </si>
  <si>
    <t>6. Variable Cost Sensitivity — 20 CNC @ 60% Utilization</t>
  </si>
  <si>
    <t>Variable
Cost %</t>
  </si>
  <si>
    <t>Variable
Costs (MNOK)</t>
  </si>
  <si>
    <t>Δ EBIT
vs 8%</t>
  </si>
  <si>
    <t>EBIT
Margin</t>
  </si>
  <si>
    <t>REV6 §8.1: Possible at optimization (unmodeled)</t>
  </si>
  <si>
    <t>BASE CASE — mature operations</t>
  </si>
  <si>
    <t>Startup phase rate (2027-2028)</t>
  </si>
  <si>
    <t>7. Two-Way Exit Value — EBITDA × Multiple (MNOK)</t>
  </si>
  <si>
    <t>7x</t>
  </si>
  <si>
    <t>8x</t>
  </si>
  <si>
    <t>9x</t>
  </si>
  <si>
    <t>10x</t>
  </si>
  <si>
    <t>11x</t>
  </si>
  <si>
    <t>12x</t>
  </si>
  <si>
    <t>13x</t>
  </si>
  <si>
    <t>Deep bear (83)</t>
  </si>
  <si>
    <t>Bear (126)</t>
  </si>
  <si>
    <t>Conserv. (174)</t>
  </si>
  <si>
    <t>BASE (223)</t>
  </si>
  <si>
    <t>Bull (268)</t>
  </si>
  <si>
    <t>Upside (350)</t>
  </si>
  <si>
    <t>Multi-site (445)</t>
  </si>
  <si>
    <t>Red = &lt;1B NOK exit, Green = 2-3B, Dark green = &gt;3B. Blue = Base case (223 EBITDA × 10x = 2,230 MNOK).</t>
  </si>
  <si>
    <t>1. All steady-state tables assume 20 CNC machines, 8% variable cost, fixed costs per REV6 §3.6 (~67.5 MNOK).</t>
  </si>
  <si>
    <t>2. Customer Program (50/50 sharing above 45%) is NOT included in EBIT figures above — pure Aurelian economics.</t>
  </si>
  <si>
    <t>3. REV6 §8.1 buffers (hourly rate premium, lower variable costs, CNC procurement savings) = material unmodeled upside.</t>
  </si>
  <si>
    <t>4. Machine-level break-even at ~13.5% utilization (~1,183 hours/year). Company-level at ~14% with 20 CNC.</t>
  </si>
  <si>
    <t>5. Sub-linear staffing: 0.8 FTE per CNC enables extreme operating leverage vs. traditional workshops.</t>
  </si>
  <si>
    <t>6. Exit multiples: Industrial IoT range 10-11x (private), Aerospace/Defense 21.6x (public) — using conservative private multiples.</t>
  </si>
  <si>
    <t>7. Multi-site scenario (40+ CNC) represents Site 2+ expansion with platform engineering team enabling replication.</t>
  </si>
  <si>
    <t>8. Defence/O&amp;G hourly rate premiums above 3,000 NOK are documented in market analysis but deliberately excluded.</t>
  </si>
  <si>
    <t>AURELIAN MANUFACTURING — BREAK-EVEN ANALYSIS</t>
  </si>
  <si>
    <t>Source: REV6 §5.2. Machine-level and company-level break-even with contribution margin analysis.</t>
  </si>
  <si>
    <t>1. Machine-Level Break-Even (Per CNC)</t>
  </si>
  <si>
    <t>24/7 operation = 8,760</t>
  </si>
  <si>
    <t>Normalized hourly rate (NOK)</t>
  </si>
  <si>
    <t>REV6 constant</t>
  </si>
  <si>
    <t>Variable cost % (mature)</t>
  </si>
  <si>
    <t>Mature operations</t>
  </si>
  <si>
    <t>Contribution margin % per hour</t>
  </si>
  <si>
    <t>1 - variable cost %</t>
  </si>
  <si>
    <t>Max revenue per CNC (MNOK)</t>
  </si>
  <si>
    <t>hours × Rate</t>
  </si>
  <si>
    <t>Direct costs per CNC (annual, MNOK):</t>
  </si>
  <si>
    <t>10M / 8yr = 1.25M</t>
  </si>
  <si>
    <t>Debt interest (per CNC)</t>
  </si>
  <si>
    <t>50% debt × 7.5% rate = 0.375M</t>
  </si>
  <si>
    <t>Operating cost allocation</t>
  </si>
  <si>
    <t>REV6: 150K per CNC (other opex)</t>
  </si>
  <si>
    <t>Allocated ops payroll (per CNC)</t>
  </si>
  <si>
    <t>16 ops FTE × 1.1M / 20 CNC</t>
  </si>
  <si>
    <t>Allocated admin + lease (per CNC)</t>
  </si>
  <si>
    <t>(4 admin × 1.4M + 5.2M lease) / 20 CNC</t>
  </si>
  <si>
    <t>Allocated shop base depr. (per CNC)</t>
  </si>
  <si>
    <t>1.075M / 20 CNC</t>
  </si>
  <si>
    <t>TOTAL fully-loaded cost per CNC</t>
  </si>
  <si>
    <t>Sum of direct + allocated costs</t>
  </si>
  <si>
    <t>MACHINE-LEVEL BREAK-EVEN:</t>
  </si>
  <si>
    <t>Break-even revenue per CNC (MNOK)</t>
  </si>
  <si>
    <t>direct cost / (1 - var%)</t>
  </si>
  <si>
    <t>Break-even hours per CNC</t>
  </si>
  <si>
    <t>be revenue / hourly rate</t>
  </si>
  <si>
    <t>Break-even utilization %</t>
  </si>
  <si>
    <t>≈be hours / 8,760 = ~13.5%</t>
  </si>
  <si>
    <t>Safety Margin Above Machine Break-Even:</t>
  </si>
  <si>
    <t>Hours
Used</t>
  </si>
  <si>
    <t>Variable
Costs</t>
  </si>
  <si>
    <t>Direct
Fixed Costs</t>
  </si>
  <si>
    <t>Contribution
(MNOK)</t>
  </si>
  <si>
    <t>Safety Margin
vs BE</t>
  </si>
  <si>
    <t>≈ BREAK-EVEN</t>
  </si>
  <si>
    <t>At 60% utilization, each CNC contributes ~22.4 MNOK above its direct costs. Safety margin: 12.6x above break-even.</t>
  </si>
  <si>
    <t>2. Company-Level Break-Even (REV6 §5.2)</t>
  </si>
  <si>
    <t>Ops
FTEs</t>
  </si>
  <si>
    <t>Ops
Payroll</t>
  </si>
  <si>
    <t>Admin
Payroll</t>
  </si>
  <si>
    <t>CNC
Depr.</t>
  </si>
  <si>
    <t>Shop Base
Depr.</t>
  </si>
  <si>
    <t>Interest
Cost</t>
  </si>
  <si>
    <t>Facility
Lease</t>
  </si>
  <si>
    <t>Other
OpEx</t>
  </si>
  <si>
    <t>Total Fixed
(MNOK)</t>
  </si>
  <si>
    <t>BE Revenue
(MNOK)</t>
  </si>
  <si>
    <t>BE Util. %</t>
  </si>
  <si>
    <t>Tight</t>
  </si>
  <si>
    <t>Possible</t>
  </si>
  <si>
    <t>Achievable (Seed start)</t>
  </si>
  <si>
    <t>Seed full fleet</t>
  </si>
  <si>
    <t>Post tranche 1</t>
  </si>
  <si>
    <t>Post tranche 2</t>
  </si>
  <si>
    <t>Full fleet (steady state)</t>
  </si>
  <si>
    <t>Bull case</t>
  </si>
  <si>
    <t>KEY INSIGHT: At 20 CNC, company breaks even at just ~14% utilization. Seed round gives 8 CNC = 2x safety margin over break-even.</t>
  </si>
  <si>
    <t>3. Contribution Margin Waterfall — 20 CNC @ 60% Utilization</t>
  </si>
  <si>
    <t>Gross Revenue</t>
  </si>
  <si>
    <t>20 CNC × 8,760h × 60% × 3,000 NOK</t>
  </si>
  <si>
    <t>Less: Variable costs (8%)</t>
  </si>
  <si>
    <t>Materials, tools, energy, consumables</t>
  </si>
  <si>
    <t>→ CONTRIBUTION MARGIN</t>
  </si>
  <si>
    <t>92% of revenue</t>
  </si>
  <si>
    <t>Less: Operational payroll</t>
  </si>
  <si>
    <t>16 FTE × 1.1M (sub-linear staffing)</t>
  </si>
  <si>
    <t>Less: Admin payroll</t>
  </si>
  <si>
    <t>4 FTE × 1.4M</t>
  </si>
  <si>
    <t>Less: CNC depreciation</t>
  </si>
  <si>
    <t>20 × 10M / 8yr</t>
  </si>
  <si>
    <t>Less: Shop base depreciation</t>
  </si>
  <si>
    <t>8.6M / 8yr</t>
  </si>
  <si>
    <t>Less: Finance cost (interest)</t>
  </si>
  <si>
    <t>134.3M × 7.5%</t>
  </si>
  <si>
    <t>Less: Facility lease</t>
  </si>
  <si>
    <t>Annual lease Norbygg</t>
  </si>
  <si>
    <t>Less: Other operating costs</t>
  </si>
  <si>
    <t>20 × 150K</t>
  </si>
  <si>
    <t>→ TOTAL FIXED COSTS</t>
  </si>
  <si>
    <t>Sum of above</t>
  </si>
  <si>
    <t>→ EBIT (Operating Profit)</t>
  </si>
  <si>
    <t>Contribution margin - Fixed costs</t>
  </si>
  <si>
    <t>EBIT Margin</t>
  </si>
  <si>
    <t>4. Downside Protection — Safety Margins</t>
  </si>
  <si>
    <t>Metric</t>
  </si>
  <si>
    <t>Break-Even
Level</t>
  </si>
  <si>
    <t>Base Case
Level</t>
  </si>
  <si>
    <t>Safety
Margin</t>
  </si>
  <si>
    <t>Implication</t>
  </si>
  <si>
    <t>Machine utilization</t>
  </si>
  <si>
    <t>~13.5%</t>
  </si>
  <si>
    <t>60%</t>
  </si>
  <si>
    <t>4.4x</t>
  </si>
  <si>
    <t>Each CNC profitable well below target</t>
  </si>
  <si>
    <t>Company utilization (20 CNC)</t>
  </si>
  <si>
    <t>~14%</t>
  </si>
  <si>
    <t>4.3x</t>
  </si>
  <si>
    <t>Company profitable at 1/4 of target</t>
  </si>
  <si>
    <t>Minimum CNC for breakeven</t>
  </si>
  <si>
    <t>3-4 CNC</t>
  </si>
  <si>
    <t>5-7x</t>
  </si>
  <si>
    <t>Seed gives 8 CNC = massive buffer</t>
  </si>
  <si>
    <t>Revenue needed (20 CNC, MNOK)</t>
  </si>
  <si>
    <t>73.4</t>
  </si>
  <si>
    <t>315.4</t>
  </si>
  <si>
    <t>Less than 25% of base revenue needed</t>
  </si>
  <si>
    <t>Hours per CNC needed</t>
  </si>
  <si>
    <t>1,183</t>
  </si>
  <si>
    <t>5,256</t>
  </si>
  <si>
    <t>Only 3.2 hours/day needed for BE</t>
  </si>
  <si>
    <t>Customers needed (est.)</t>
  </si>
  <si>
    <t>2-3</t>
  </si>
  <si>
    <t>8-15</t>
  </si>
  <si>
    <t>4-5x</t>
  </si>
  <si>
    <t>Just 2-3 active customers covers costs</t>
  </si>
  <si>
    <t>5. CNC Payback Period (Per Machine)</t>
  </si>
  <si>
    <t>Annual Revenue
per CNC (MNOK)</t>
  </si>
  <si>
    <t>Annual Costs
per CNC (MNOK)</t>
  </si>
  <si>
    <t>Annual Profit
per CNC (MNOK)</t>
  </si>
  <si>
    <t>CNC Investment
(MNOK)</t>
  </si>
  <si>
    <t>Payback
(Months)</t>
  </si>
  <si>
    <t>At 60% utilization, each CNC pays back in ~8 months. Even at 30%, payback is ~17 months.</t>
  </si>
  <si>
    <t>6. Time-to-Break-Even by Phase</t>
  </si>
  <si>
    <t>Phase</t>
  </si>
  <si>
    <t>CNC
Machines</t>
  </si>
  <si>
    <t>Target
Util.</t>
  </si>
  <si>
    <t>Est. Revenue
(MNOK)</t>
  </si>
  <si>
    <t>Est. Costs
(MNOK)</t>
  </si>
  <si>
    <t>Est. EBIT
(MNOK)</t>
  </si>
  <si>
    <t>Cumulative
EBIT (MNOK)</t>
  </si>
  <si>
    <t>2026–Q2 2027</t>
  </si>
  <si>
    <t>0%</t>
  </si>
  <si>
    <t>Pre-revenue (runway)</t>
  </si>
  <si>
    <t>Seed — Ramp</t>
  </si>
  <si>
    <t>Q3 2027–2027</t>
  </si>
  <si>
    <t>15–25%</t>
  </si>
  <si>
    <t>First production</t>
  </si>
  <si>
    <t>Seed — Year 1</t>
  </si>
  <si>
    <t>35%</t>
  </si>
  <si>
    <t>CF+ ← BREAK-EVEN YEAR</t>
  </si>
  <si>
    <t>Seed — Year 2</t>
  </si>
  <si>
    <t>40%</t>
  </si>
  <si>
    <t>Strong profitability</t>
  </si>
  <si>
    <t>Serie A — Tr. 1</t>
  </si>
  <si>
    <t>45%</t>
  </si>
  <si>
    <t>Scaling</t>
  </si>
  <si>
    <t>Serie A — Tr. 2</t>
  </si>
  <si>
    <t>50%</t>
  </si>
  <si>
    <t>Near full fleet</t>
  </si>
  <si>
    <t>Steady state</t>
  </si>
  <si>
    <t>Full potential</t>
  </si>
  <si>
    <t>65%</t>
  </si>
  <si>
    <t>Maximum base case</t>
  </si>
  <si>
    <t>Company reaches annual EBIT break-even in 2028 (Year 1 of operations). Cumulative break-even by mid-2028.</t>
  </si>
  <si>
    <t>7. Break-Even Risk Summary for Investors</t>
  </si>
  <si>
    <t>Break-Even Metric</t>
  </si>
  <si>
    <t>Threshold</t>
  </si>
  <si>
    <t>Risk Level</t>
  </si>
  <si>
    <t>Investor Implication</t>
  </si>
  <si>
    <t>Machine-level BE</t>
  </si>
  <si>
    <t>~13.5% utilization</t>
  </si>
  <si>
    <t>Very low</t>
  </si>
  <si>
    <t>Each CNC profitable at just 3.2 productive hours/day</t>
  </si>
  <si>
    <t>Company-level BE (Seed)</t>
  </si>
  <si>
    <t>~24% util with 5 CNC</t>
  </si>
  <si>
    <t>Low</t>
  </si>
  <si>
    <t>Seed fleet of 8 CNC gives large buffer above BE</t>
  </si>
  <si>
    <t>Company-level BE (Full)</t>
  </si>
  <si>
    <t>~14% util with 20 CNC</t>
  </si>
  <si>
    <t>Operating leverage makes full fleet extremely safe</t>
  </si>
  <si>
    <t>Time to annual profit</t>
  </si>
  <si>
    <t>Year 1 (2028)</t>
  </si>
  <si>
    <t>Profitable from first full year of operations</t>
  </si>
  <si>
    <t>Time to cumulative profit</t>
  </si>
  <si>
    <t>Mid-2028</t>
  </si>
  <si>
    <t>Less than 18 months of operations to recover all losses</t>
  </si>
  <si>
    <t>CNC payback period</t>
  </si>
  <si>
    <t>~8 months @ 60%</t>
  </si>
  <si>
    <t>Each machine pays for itself within first year</t>
  </si>
  <si>
    <t>Revenue required for BE</t>
  </si>
  <si>
    <t>73.4 MNOK (20 CNC)</t>
  </si>
  <si>
    <t>Less than 25% of base case revenue</t>
  </si>
  <si>
    <t>Downside: 40% util scenario</t>
  </si>
  <si>
    <t>EBIT = 126 MNOK</t>
  </si>
  <si>
    <t>Protected</t>
  </si>
  <si>
    <t>Still highly profitable even in bear case</t>
  </si>
  <si>
    <t>Downside: only 15 CNC deployed</t>
  </si>
  <si>
    <t>EBIT = 83 MNOK @ 35%</t>
  </si>
  <si>
    <t>Even deep bear generates positive returns</t>
  </si>
  <si>
    <t>1. Machine-level break-even uses direct per-CNC costs only (depreciation, interest, other opex).</t>
  </si>
  <si>
    <t>2. Company-level break-even includes all fixed costs (staffing, depreciation, interest, lease, other).</t>
  </si>
  <si>
    <t>3. Variable cost of 8% (mature) used throughout. Startup variable cost is 13% — raises BE slightly.</t>
  </si>
  <si>
    <t>4. Sub-linear staffing model is KEY enabler: 16 FTE for 20 CNC vs. traditional 40-60 FTE.</t>
  </si>
  <si>
    <t>5. Customer Program (50/50 sharing above 45%) NOT included — numbers show pure Aurelian economics.</t>
  </si>
  <si>
    <t>6. Seed fleet gives 8 CNC with ~24% BE utilization — well below 35% Year 1 target = large safety margin.</t>
  </si>
  <si>
    <t>7. REV6 §5.2 is the authoritative source for all break-even thresholds.</t>
  </si>
  <si>
    <t>8. 'Cumulative EBIT' in Section 6 is simplified (doesn't account for WC changes or CAPEX timing).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</si>
</sst>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0%"/>
    <numFmt numFmtId="165" formatCode="0.0%"/>
    <numFmt numFmtId="166" formatCode="0.00%"/>
    <numFmt numFmtId="167" formatCode="#,##0.0"/>
    <numFmt numFmtId="168" formatCode="#,##0.000"/>
    <numFmt numFmtId="169" formatCode="#,##0.0;\(#,##0.0\);\-"/>
    <numFmt numFmtId="170" formatCode="#,##0.00;\(#,##0.00\);\-"/>
    <numFmt numFmtId="171" formatCode="0.00\x"/>
    <numFmt numFmtId="172" formatCode="\+0.00%;\-0.00%"/>
    <numFmt numFmtId="173" formatCode="#,##0.0\x"/>
    <numFmt numFmtId="174" formatCode="\+#,##0.0;\-#,##0.0"/>
    <numFmt numFmtId="175" formatCode="0\x"/>
    <numFmt numFmtId="176" formatCode="\+0.0%;\-0.0%"/>
    <numFmt numFmtId="177" formatCode="0.0\x"/>
    <numFmt numFmtId="178" formatCode="\+#,##0.0\x"/>
  </numFmts>
  <fonts count="25" x14ac:knownFonts="1">
    <font>
      <sz val="11"/>
      <color theme="1"/>
      <name val="Calibri"/>
      <family val="2"/>
      <charset val="1"/>
    </font>
    <font>
      <i/>
      <sz val="11"/>
      <color rgb="FF999999"/>
      <name val="Calibri"/>
      <family val="2"/>
    </font>
    <font>
      <b/>
      <sz val="14"/>
      <color rgb="FFFFFFFF"/>
      <name val="Calibri"/>
      <family val="2"/>
    </font>
    <font>
      <i/>
      <sz val="10"/>
      <color rgb="FF666666"/>
      <name val="Calibri"/>
      <family val="2"/>
    </font>
    <font>
      <b/>
      <sz val="11"/>
      <color rgb="FFFFFFFF"/>
      <name val="Calibri"/>
      <family val="2"/>
    </font>
    <font>
      <b/>
      <sz val="11"/>
      <color rgb="FFFF3E00"/>
      <name val="Calibri"/>
      <family val="2"/>
    </font>
    <font>
      <sz val="11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0"/>
      <color rgb="FF333333"/>
      <name val="Calibri"/>
      <family val="2"/>
    </font>
    <font>
      <sz val="11"/>
      <color rgb="FF008000"/>
      <name val="Calibri"/>
      <family val="2"/>
    </font>
    <font>
      <b/>
      <sz val="12"/>
      <color rgb="FFFF3E00"/>
      <name val="Calibri"/>
      <family val="2"/>
    </font>
    <font>
      <b/>
      <sz val="12"/>
      <color rgb="FF000000"/>
      <name val="Calibri"/>
      <family val="2"/>
    </font>
    <font>
      <b/>
      <sz val="11"/>
      <color rgb="FF008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  <font>
      <b/>
      <sz val="13"/>
      <color rgb="FFFF3E00"/>
      <name val="Calibri"/>
      <family val="2"/>
    </font>
    <font>
      <sz val="11"/>
      <color rgb="FFCC0000"/>
      <name val="Calibri"/>
      <family val="2"/>
    </font>
    <font>
      <b/>
      <sz val="12"/>
      <color rgb="FF0000FF"/>
      <name val="Calibri"/>
      <family val="2"/>
    </font>
    <font>
      <b/>
      <i/>
      <sz val="10"/>
      <color rgb="FFFF3E00"/>
      <name val="Calibri"/>
      <family val="2"/>
    </font>
    <font>
      <b/>
      <sz val="11"/>
      <color rgb="FF1B5E20"/>
      <name val="Calibri"/>
      <family val="2"/>
    </font>
    <font>
      <b/>
      <sz val="11"/>
      <color rgb="FFCC0000"/>
      <name val="Calibri"/>
      <family val="2"/>
    </font>
    <font>
      <b/>
      <i/>
      <sz val="10"/>
      <color rgb="FF008000"/>
      <name val="Calibri"/>
      <family val="2"/>
    </font>
    <font>
      <sz val="11"/>
      <color rgb="FF2E7D32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3E00"/>
        <bgColor rgb="FFE65100"/>
      </patternFill>
    </fill>
    <fill>
      <patternFill patternType="solid">
        <fgColor rgb="FF333333"/>
        <bgColor rgb="FF003366"/>
      </patternFill>
    </fill>
    <fill>
      <patternFill patternType="solid">
        <fgColor rgb="FFF2F2F2"/>
        <bgColor rgb="FFF1F8E9"/>
      </patternFill>
    </fill>
    <fill>
      <patternFill patternType="solid">
        <fgColor rgb="FFFFF2CC"/>
        <bgColor rgb="FFFFEBEE"/>
      </patternFill>
    </fill>
    <fill>
      <patternFill patternType="solid">
        <fgColor rgb="FFE8F5E9"/>
        <bgColor rgb="FFF1F8E9"/>
      </patternFill>
    </fill>
    <fill>
      <patternFill patternType="solid">
        <fgColor rgb="FFE3F2FD"/>
        <bgColor rgb="FFE8F5E9"/>
      </patternFill>
    </fill>
    <fill>
      <patternFill patternType="solid">
        <fgColor rgb="FFFFEBEE"/>
        <bgColor rgb="FFF2F2F2"/>
      </patternFill>
    </fill>
    <fill>
      <patternFill patternType="solid">
        <fgColor rgb="FFC8E6C9"/>
        <bgColor rgb="FFCCCCCC"/>
      </patternFill>
    </fill>
    <fill>
      <patternFill patternType="solid">
        <fgColor rgb="FFF1F8E9"/>
        <bgColor rgb="FFE8F5E9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FF3E00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333333"/>
      </top>
      <bottom style="double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/>
      <diagonal/>
    </border>
  </borders>
  <cellStyleXfs count="1">
    <xf numFmtId="0" fontId="0" fillId="0" borderId="0"/>
  </cellStyleXfs>
  <cellXfs count="204">
    <xf numFmtId="0" fontId="0" fillId="0" borderId="0" xfId="0"/>
    <xf numFmtId="0" fontId="6" fillId="6" borderId="6" xfId="0" applyFont="1" applyFill="1" applyBorder="1"/>
    <xf numFmtId="164" fontId="9" fillId="7" borderId="5" xfId="0" applyNumberFormat="1" applyFont="1" applyFill="1" applyBorder="1" applyAlignment="1">
      <alignment horizontal="center"/>
    </xf>
    <xf numFmtId="0" fontId="0" fillId="0" borderId="0" xfId="0"/>
    <xf numFmtId="0" fontId="6" fillId="0" borderId="2" xfId="0" applyFont="1" applyBorder="1"/>
    <xf numFmtId="0" fontId="23" fillId="0" borderId="0" xfId="0" applyFont="1"/>
    <xf numFmtId="165" fontId="6" fillId="7" borderId="5" xfId="0" applyNumberFormat="1" applyFont="1" applyFill="1" applyBorder="1" applyAlignment="1">
      <alignment horizontal="center"/>
    </xf>
    <xf numFmtId="0" fontId="20" fillId="0" borderId="0" xfId="0" applyFont="1"/>
    <xf numFmtId="0" fontId="5" fillId="0" borderId="0" xfId="0" applyFont="1"/>
    <xf numFmtId="0" fontId="7" fillId="0" borderId="2" xfId="0" applyFont="1" applyBorder="1" applyAlignment="1">
      <alignment horizontal="center"/>
    </xf>
    <xf numFmtId="0" fontId="5" fillId="0" borderId="1" xfId="0" applyFont="1" applyBorder="1"/>
    <xf numFmtId="0" fontId="3" fillId="0" borderId="0" xfId="0" applyFont="1"/>
    <xf numFmtId="0" fontId="2" fillId="2" borderId="0" xfId="0" applyFont="1" applyFill="1" applyAlignment="1">
      <alignment horizontal="left" vertical="center"/>
    </xf>
    <xf numFmtId="0" fontId="1" fillId="0" borderId="0" xfId="0" applyFont="1"/>
    <xf numFmtId="0" fontId="3" fillId="0" borderId="0" xfId="0" applyFont="1"/>
    <xf numFmtId="0" fontId="4" fillId="3" borderId="0" xfId="0" applyFont="1" applyFill="1" applyAlignment="1">
      <alignment horizontal="left"/>
    </xf>
    <xf numFmtId="0" fontId="5" fillId="0" borderId="1" xfId="0" applyFont="1" applyBorder="1"/>
    <xf numFmtId="0" fontId="6" fillId="0" borderId="2" xfId="0" applyFont="1" applyBorder="1"/>
    <xf numFmtId="0" fontId="3" fillId="0" borderId="2" xfId="0" applyFont="1" applyBorder="1"/>
    <xf numFmtId="0" fontId="7" fillId="0" borderId="2" xfId="0" applyFont="1" applyBorder="1"/>
    <xf numFmtId="164" fontId="7" fillId="0" borderId="2" xfId="0" applyNumberFormat="1" applyFont="1" applyBorder="1"/>
    <xf numFmtId="165" fontId="7" fillId="0" borderId="2" xfId="0" applyNumberFormat="1" applyFont="1" applyBorder="1"/>
    <xf numFmtId="166" fontId="7" fillId="0" borderId="2" xfId="0" applyNumberFormat="1" applyFont="1" applyBorder="1"/>
    <xf numFmtId="3" fontId="7" fillId="0" borderId="2" xfId="0" applyNumberFormat="1" applyFont="1" applyBorder="1"/>
    <xf numFmtId="3" fontId="8" fillId="0" borderId="2" xfId="0" applyNumberFormat="1" applyFont="1" applyBorder="1"/>
    <xf numFmtId="0" fontId="9" fillId="0" borderId="2" xfId="0" applyFont="1" applyBorder="1"/>
    <xf numFmtId="0" fontId="10" fillId="0" borderId="0" xfId="0" applyFont="1"/>
    <xf numFmtId="167" fontId="7" fillId="0" borderId="2" xfId="0" applyNumberFormat="1" applyFont="1" applyBorder="1"/>
    <xf numFmtId="0" fontId="11" fillId="0" borderId="2" xfId="0" applyFont="1" applyBorder="1"/>
    <xf numFmtId="0" fontId="0" fillId="0" borderId="1" xfId="0" applyBorder="1"/>
    <xf numFmtId="0" fontId="6" fillId="0" borderId="0" xfId="0" applyFont="1"/>
    <xf numFmtId="3" fontId="11" fillId="0" borderId="0" xfId="0" applyNumberFormat="1" applyFont="1"/>
    <xf numFmtId="164" fontId="11" fillId="0" borderId="0" xfId="0" applyNumberFormat="1" applyFont="1"/>
    <xf numFmtId="168" fontId="11" fillId="0" borderId="0" xfId="0" applyNumberFormat="1" applyFont="1"/>
    <xf numFmtId="0" fontId="4" fillId="3" borderId="0" xfId="0" applyFont="1" applyFill="1" applyAlignment="1">
      <alignment horizontal="center"/>
    </xf>
    <xf numFmtId="0" fontId="4" fillId="3" borderId="0" xfId="0" applyFont="1" applyFill="1"/>
    <xf numFmtId="0" fontId="7" fillId="0" borderId="2" xfId="0" applyFont="1" applyBorder="1" applyAlignment="1">
      <alignment horizontal="center"/>
    </xf>
    <xf numFmtId="165" fontId="7" fillId="0" borderId="2" xfId="0" applyNumberFormat="1" applyFont="1" applyBorder="1" applyAlignment="1">
      <alignment horizontal="center"/>
    </xf>
    <xf numFmtId="167" fontId="11" fillId="0" borderId="2" xfId="0" applyNumberFormat="1" applyFont="1" applyBorder="1" applyAlignment="1">
      <alignment horizontal="center"/>
    </xf>
    <xf numFmtId="2" fontId="8" fillId="0" borderId="2" xfId="0" applyNumberFormat="1" applyFont="1" applyBorder="1" applyAlignment="1">
      <alignment horizontal="center"/>
    </xf>
    <xf numFmtId="0" fontId="0" fillId="0" borderId="2" xfId="0" applyBorder="1"/>
    <xf numFmtId="0" fontId="12" fillId="0" borderId="3" xfId="0" applyFont="1" applyBorder="1"/>
    <xf numFmtId="167" fontId="13" fillId="4" borderId="3" xfId="0" applyNumberFormat="1" applyFont="1" applyFill="1" applyBorder="1" applyAlignment="1">
      <alignment horizontal="center"/>
    </xf>
    <xf numFmtId="0" fontId="3" fillId="0" borderId="3" xfId="0" applyFont="1" applyBorder="1"/>
    <xf numFmtId="167" fontId="7" fillId="0" borderId="2" xfId="0" applyNumberFormat="1" applyFont="1" applyBorder="1" applyAlignment="1">
      <alignment horizontal="center"/>
    </xf>
    <xf numFmtId="169" fontId="8" fillId="0" borderId="2" xfId="0" applyNumberFormat="1" applyFont="1" applyBorder="1" applyAlignment="1">
      <alignment horizontal="center"/>
    </xf>
    <xf numFmtId="165" fontId="8" fillId="0" borderId="2" xfId="0" applyNumberFormat="1" applyFont="1" applyBorder="1" applyAlignment="1">
      <alignment horizontal="center"/>
    </xf>
    <xf numFmtId="167" fontId="8" fillId="0" borderId="2" xfId="0" applyNumberFormat="1" applyFont="1" applyBorder="1" applyAlignment="1">
      <alignment horizontal="center"/>
    </xf>
    <xf numFmtId="166" fontId="11" fillId="0" borderId="2" xfId="0" applyNumberFormat="1" applyFont="1" applyBorder="1" applyAlignment="1">
      <alignment horizontal="center"/>
    </xf>
    <xf numFmtId="167" fontId="14" fillId="0" borderId="2" xfId="0" applyNumberFormat="1" applyFont="1" applyBorder="1" applyAlignment="1">
      <alignment horizontal="center"/>
    </xf>
    <xf numFmtId="0" fontId="9" fillId="0" borderId="3" xfId="0" applyFont="1" applyBorder="1"/>
    <xf numFmtId="167" fontId="15" fillId="4" borderId="3" xfId="0" applyNumberFormat="1" applyFont="1" applyFill="1" applyBorder="1" applyAlignment="1">
      <alignment horizontal="center"/>
    </xf>
    <xf numFmtId="0" fontId="0" fillId="0" borderId="3" xfId="0" applyBorder="1"/>
    <xf numFmtId="4" fontId="8" fillId="0" borderId="2" xfId="0" applyNumberFormat="1" applyFont="1" applyBorder="1" applyAlignment="1">
      <alignment horizontal="center"/>
    </xf>
    <xf numFmtId="3" fontId="11" fillId="0" borderId="2" xfId="0" applyNumberFormat="1" applyFont="1" applyBorder="1" applyAlignment="1">
      <alignment horizontal="center"/>
    </xf>
    <xf numFmtId="3" fontId="7" fillId="0" borderId="2" xfId="0" applyNumberFormat="1" applyFont="1" applyBorder="1" applyAlignment="1">
      <alignment horizontal="center"/>
    </xf>
    <xf numFmtId="165" fontId="11" fillId="0" borderId="2" xfId="0" applyNumberFormat="1" applyFont="1" applyBorder="1" applyAlignment="1">
      <alignment horizontal="center"/>
    </xf>
    <xf numFmtId="2" fontId="11" fillId="0" borderId="2" xfId="0" applyNumberFormat="1" applyFont="1" applyBorder="1" applyAlignment="1">
      <alignment horizontal="center"/>
    </xf>
    <xf numFmtId="0" fontId="12" fillId="0" borderId="4" xfId="0" applyFont="1" applyBorder="1"/>
    <xf numFmtId="167" fontId="12" fillId="4" borderId="4" xfId="0" applyNumberFormat="1" applyFont="1" applyFill="1" applyBorder="1" applyAlignment="1">
      <alignment horizontal="center"/>
    </xf>
    <xf numFmtId="0" fontId="3" fillId="0" borderId="4" xfId="0" applyFont="1" applyBorder="1"/>
    <xf numFmtId="169" fontId="11" fillId="0" borderId="2" xfId="0" applyNumberFormat="1" applyFont="1" applyBorder="1" applyAlignment="1">
      <alignment horizontal="center"/>
    </xf>
    <xf numFmtId="0" fontId="9" fillId="0" borderId="4" xfId="0" applyFont="1" applyBorder="1"/>
    <xf numFmtId="167" fontId="9" fillId="4" borderId="4" xfId="0" applyNumberFormat="1" applyFont="1" applyFill="1" applyBorder="1" applyAlignment="1">
      <alignment horizontal="center"/>
    </xf>
    <xf numFmtId="0" fontId="16" fillId="0" borderId="4" xfId="0" applyFont="1" applyBorder="1"/>
    <xf numFmtId="167" fontId="16" fillId="4" borderId="4" xfId="0" applyNumberFormat="1" applyFont="1" applyFill="1" applyBorder="1" applyAlignment="1">
      <alignment horizontal="center"/>
    </xf>
    <xf numFmtId="169" fontId="7" fillId="0" borderId="2" xfId="0" applyNumberFormat="1" applyFont="1" applyBorder="1" applyAlignment="1">
      <alignment horizontal="center"/>
    </xf>
    <xf numFmtId="0" fontId="17" fillId="0" borderId="3" xfId="0" applyFont="1" applyBorder="1"/>
    <xf numFmtId="169" fontId="16" fillId="5" borderId="3" xfId="0" applyNumberFormat="1" applyFont="1" applyFill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4" fontId="7" fillId="0" borderId="2" xfId="0" applyNumberFormat="1" applyFont="1" applyBorder="1" applyAlignment="1">
      <alignment horizontal="center"/>
    </xf>
    <xf numFmtId="4" fontId="11" fillId="0" borderId="2" xfId="0" applyNumberFormat="1" applyFont="1" applyBorder="1" applyAlignment="1">
      <alignment horizontal="center"/>
    </xf>
    <xf numFmtId="170" fontId="8" fillId="0" borderId="2" xfId="0" applyNumberFormat="1" applyFont="1" applyBorder="1" applyAlignment="1">
      <alignment horizontal="center"/>
    </xf>
    <xf numFmtId="169" fontId="9" fillId="4" borderId="4" xfId="0" applyNumberFormat="1" applyFont="1" applyFill="1" applyBorder="1" applyAlignment="1">
      <alignment horizontal="center"/>
    </xf>
    <xf numFmtId="0" fontId="16" fillId="0" borderId="3" xfId="0" applyFont="1" applyBorder="1"/>
    <xf numFmtId="0" fontId="9" fillId="0" borderId="2" xfId="0" applyFont="1" applyBorder="1" applyAlignment="1">
      <alignment horizontal="center"/>
    </xf>
    <xf numFmtId="0" fontId="0" fillId="0" borderId="4" xfId="0" applyBorder="1"/>
    <xf numFmtId="169" fontId="16" fillId="4" borderId="4" xfId="0" applyNumberFormat="1" applyFont="1" applyFill="1" applyBorder="1" applyAlignment="1">
      <alignment horizontal="center"/>
    </xf>
    <xf numFmtId="168" fontId="14" fillId="0" borderId="2" xfId="0" applyNumberFormat="1" applyFont="1" applyBorder="1" applyAlignment="1">
      <alignment horizontal="center"/>
    </xf>
    <xf numFmtId="171" fontId="8" fillId="0" borderId="2" xfId="0" applyNumberFormat="1" applyFont="1" applyBorder="1" applyAlignment="1">
      <alignment horizontal="center"/>
    </xf>
    <xf numFmtId="0" fontId="4" fillId="3" borderId="0" xfId="0" applyFont="1" applyFill="1" applyAlignment="1">
      <alignment horizontal="center" wrapText="1"/>
    </xf>
    <xf numFmtId="1" fontId="7" fillId="0" borderId="2" xfId="0" applyNumberFormat="1" applyFont="1" applyBorder="1" applyAlignment="1">
      <alignment horizontal="center"/>
    </xf>
    <xf numFmtId="0" fontId="6" fillId="6" borderId="2" xfId="0" applyFont="1" applyFill="1" applyBorder="1"/>
    <xf numFmtId="166" fontId="7" fillId="6" borderId="2" xfId="0" applyNumberFormat="1" applyFont="1" applyFill="1" applyBorder="1" applyAlignment="1">
      <alignment horizontal="center"/>
    </xf>
    <xf numFmtId="0" fontId="9" fillId="6" borderId="4" xfId="0" applyFont="1" applyFill="1" applyBorder="1"/>
    <xf numFmtId="166" fontId="14" fillId="6" borderId="4" xfId="0" applyNumberFormat="1" applyFont="1" applyFill="1" applyBorder="1" applyAlignment="1">
      <alignment horizontal="center"/>
    </xf>
    <xf numFmtId="166" fontId="7" fillId="0" borderId="2" xfId="0" applyNumberFormat="1" applyFont="1" applyBorder="1" applyAlignment="1">
      <alignment horizontal="center"/>
    </xf>
    <xf numFmtId="166" fontId="9" fillId="0" borderId="4" xfId="0" applyNumberFormat="1" applyFont="1" applyBorder="1" applyAlignment="1">
      <alignment horizontal="center"/>
    </xf>
    <xf numFmtId="0" fontId="6" fillId="0" borderId="3" xfId="0" applyFont="1" applyBorder="1"/>
    <xf numFmtId="166" fontId="14" fillId="0" borderId="3" xfId="0" applyNumberFormat="1" applyFont="1" applyBorder="1" applyAlignment="1">
      <alignment horizontal="center"/>
    </xf>
    <xf numFmtId="172" fontId="18" fillId="0" borderId="2" xfId="0" applyNumberFormat="1" applyFont="1" applyBorder="1" applyAlignment="1">
      <alignment horizontal="center"/>
    </xf>
    <xf numFmtId="3" fontId="12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3" fontId="9" fillId="6" borderId="4" xfId="0" applyNumberFormat="1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3" fontId="8" fillId="0" borderId="2" xfId="0" applyNumberFormat="1" applyFont="1" applyBorder="1" applyAlignment="1">
      <alignment horizontal="center"/>
    </xf>
    <xf numFmtId="173" fontId="14" fillId="0" borderId="2" xfId="0" applyNumberFormat="1" applyFont="1" applyBorder="1" applyAlignment="1">
      <alignment horizontal="center"/>
    </xf>
    <xf numFmtId="166" fontId="14" fillId="0" borderId="4" xfId="0" applyNumberFormat="1" applyFont="1" applyBorder="1" applyAlignment="1">
      <alignment horizontal="center"/>
    </xf>
    <xf numFmtId="3" fontId="9" fillId="0" borderId="4" xfId="0" applyNumberFormat="1" applyFont="1" applyBorder="1" applyAlignment="1">
      <alignment horizontal="center"/>
    </xf>
    <xf numFmtId="167" fontId="7" fillId="0" borderId="4" xfId="0" applyNumberFormat="1" applyFont="1" applyBorder="1" applyAlignment="1">
      <alignment horizontal="center"/>
    </xf>
    <xf numFmtId="173" fontId="14" fillId="0" borderId="4" xfId="0" applyNumberFormat="1" applyFont="1" applyBorder="1" applyAlignment="1">
      <alignment horizontal="center"/>
    </xf>
    <xf numFmtId="0" fontId="17" fillId="5" borderId="3" xfId="0" applyFont="1" applyFill="1" applyBorder="1"/>
    <xf numFmtId="0" fontId="0" fillId="5" borderId="3" xfId="0" applyFill="1" applyBorder="1"/>
    <xf numFmtId="3" fontId="17" fillId="5" borderId="3" xfId="0" applyNumberFormat="1" applyFont="1" applyFill="1" applyBorder="1" applyAlignment="1">
      <alignment horizontal="center"/>
    </xf>
    <xf numFmtId="3" fontId="9" fillId="0" borderId="2" xfId="0" applyNumberFormat="1" applyFont="1" applyBorder="1" applyAlignment="1">
      <alignment horizontal="center"/>
    </xf>
    <xf numFmtId="166" fontId="8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167" fontId="8" fillId="0" borderId="5" xfId="0" applyNumberFormat="1" applyFont="1" applyBorder="1" applyAlignment="1">
      <alignment horizontal="center"/>
    </xf>
    <xf numFmtId="164" fontId="8" fillId="0" borderId="5" xfId="0" applyNumberFormat="1" applyFont="1" applyBorder="1" applyAlignment="1">
      <alignment horizontal="center"/>
    </xf>
    <xf numFmtId="164" fontId="9" fillId="7" borderId="0" xfId="0" applyNumberFormat="1" applyFont="1" applyFill="1" applyAlignment="1">
      <alignment horizontal="center"/>
    </xf>
    <xf numFmtId="167" fontId="9" fillId="7" borderId="5" xfId="0" applyNumberFormat="1" applyFont="1" applyFill="1" applyBorder="1" applyAlignment="1">
      <alignment horizontal="center"/>
    </xf>
    <xf numFmtId="167" fontId="14" fillId="7" borderId="5" xfId="0" applyNumberFormat="1" applyFont="1" applyFill="1" applyBorder="1" applyAlignment="1">
      <alignment horizontal="center"/>
    </xf>
    <xf numFmtId="164" fontId="9" fillId="7" borderId="5" xfId="0" applyNumberFormat="1" applyFont="1" applyFill="1" applyBorder="1" applyAlignment="1">
      <alignment horizontal="center"/>
    </xf>
    <xf numFmtId="164" fontId="9" fillId="0" borderId="0" xfId="0" applyNumberFormat="1" applyFont="1" applyAlignment="1">
      <alignment horizontal="center"/>
    </xf>
    <xf numFmtId="167" fontId="18" fillId="8" borderId="5" xfId="0" applyNumberFormat="1" applyFont="1" applyFill="1" applyBorder="1" applyAlignment="1">
      <alignment horizontal="center"/>
    </xf>
    <xf numFmtId="167" fontId="11" fillId="6" borderId="5" xfId="0" applyNumberFormat="1" applyFont="1" applyFill="1" applyBorder="1" applyAlignment="1">
      <alignment horizontal="center"/>
    </xf>
    <xf numFmtId="167" fontId="19" fillId="7" borderId="5" xfId="0" applyNumberFormat="1" applyFont="1" applyFill="1" applyBorder="1" applyAlignment="1">
      <alignment horizontal="center"/>
    </xf>
    <xf numFmtId="3" fontId="8" fillId="0" borderId="5" xfId="0" applyNumberFormat="1" applyFont="1" applyBorder="1" applyAlignment="1">
      <alignment horizontal="center"/>
    </xf>
    <xf numFmtId="174" fontId="8" fillId="0" borderId="5" xfId="0" applyNumberFormat="1" applyFont="1" applyBorder="1" applyAlignment="1">
      <alignment horizontal="center"/>
    </xf>
    <xf numFmtId="3" fontId="9" fillId="7" borderId="5" xfId="0" applyNumberFormat="1" applyFont="1" applyFill="1" applyBorder="1" applyAlignment="1">
      <alignment horizontal="center"/>
    </xf>
    <xf numFmtId="174" fontId="9" fillId="7" borderId="5" xfId="0" applyNumberFormat="1" applyFont="1" applyFill="1" applyBorder="1" applyAlignment="1">
      <alignment horizontal="center"/>
    </xf>
    <xf numFmtId="0" fontId="9" fillId="8" borderId="5" xfId="0" applyFont="1" applyFill="1" applyBorder="1" applyAlignment="1">
      <alignment horizontal="center"/>
    </xf>
    <xf numFmtId="3" fontId="8" fillId="8" borderId="5" xfId="0" applyNumberFormat="1" applyFont="1" applyFill="1" applyBorder="1" applyAlignment="1">
      <alignment horizontal="center"/>
    </xf>
    <xf numFmtId="164" fontId="8" fillId="8" borderId="5" xfId="0" applyNumberFormat="1" applyFont="1" applyFill="1" applyBorder="1" applyAlignment="1">
      <alignment horizontal="center"/>
    </xf>
    <xf numFmtId="175" fontId="8" fillId="8" borderId="5" xfId="0" applyNumberFormat="1" applyFont="1" applyFill="1" applyBorder="1" applyAlignment="1">
      <alignment horizontal="center"/>
    </xf>
    <xf numFmtId="173" fontId="8" fillId="8" borderId="5" xfId="0" applyNumberFormat="1" applyFont="1" applyFill="1" applyBorder="1" applyAlignment="1">
      <alignment horizontal="center"/>
    </xf>
    <xf numFmtId="0" fontId="9" fillId="0" borderId="5" xfId="0" applyFont="1" applyBorder="1" applyAlignment="1">
      <alignment horizontal="center"/>
    </xf>
    <xf numFmtId="175" fontId="8" fillId="0" borderId="5" xfId="0" applyNumberFormat="1" applyFont="1" applyBorder="1" applyAlignment="1">
      <alignment horizontal="center"/>
    </xf>
    <xf numFmtId="173" fontId="8" fillId="0" borderId="5" xfId="0" applyNumberFormat="1" applyFont="1" applyBorder="1" applyAlignment="1">
      <alignment horizontal="center"/>
    </xf>
    <xf numFmtId="0" fontId="9" fillId="7" borderId="5" xfId="0" applyFont="1" applyFill="1" applyBorder="1" applyAlignment="1">
      <alignment horizontal="center"/>
    </xf>
    <xf numFmtId="175" fontId="9" fillId="7" borderId="5" xfId="0" applyNumberFormat="1" applyFont="1" applyFill="1" applyBorder="1" applyAlignment="1">
      <alignment horizontal="center"/>
    </xf>
    <xf numFmtId="173" fontId="9" fillId="7" borderId="5" xfId="0" applyNumberFormat="1" applyFont="1" applyFill="1" applyBorder="1" applyAlignment="1">
      <alignment horizontal="center"/>
    </xf>
    <xf numFmtId="0" fontId="9" fillId="6" borderId="5" xfId="0" applyFont="1" applyFill="1" applyBorder="1" applyAlignment="1">
      <alignment horizontal="center"/>
    </xf>
    <xf numFmtId="3" fontId="8" fillId="6" borderId="5" xfId="0" applyNumberFormat="1" applyFont="1" applyFill="1" applyBorder="1" applyAlignment="1">
      <alignment horizontal="center"/>
    </xf>
    <xf numFmtId="164" fontId="8" fillId="6" borderId="5" xfId="0" applyNumberFormat="1" applyFont="1" applyFill="1" applyBorder="1" applyAlignment="1">
      <alignment horizontal="center"/>
    </xf>
    <xf numFmtId="175" fontId="8" fillId="6" borderId="5" xfId="0" applyNumberFormat="1" applyFont="1" applyFill="1" applyBorder="1" applyAlignment="1">
      <alignment horizontal="center"/>
    </xf>
    <xf numFmtId="173" fontId="8" fillId="6" borderId="5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8" fillId="0" borderId="5" xfId="0" applyFont="1" applyBorder="1" applyAlignment="1">
      <alignment horizontal="center"/>
    </xf>
    <xf numFmtId="176" fontId="8" fillId="0" borderId="5" xfId="0" applyNumberFormat="1" applyFont="1" applyBorder="1" applyAlignment="1">
      <alignment horizontal="center"/>
    </xf>
    <xf numFmtId="177" fontId="8" fillId="0" borderId="5" xfId="0" applyNumberFormat="1" applyFont="1" applyBorder="1" applyAlignment="1">
      <alignment horizontal="center"/>
    </xf>
    <xf numFmtId="176" fontId="9" fillId="7" borderId="5" xfId="0" applyNumberFormat="1" applyFont="1" applyFill="1" applyBorder="1" applyAlignment="1">
      <alignment horizontal="center"/>
    </xf>
    <xf numFmtId="165" fontId="8" fillId="0" borderId="5" xfId="0" applyNumberFormat="1" applyFont="1" applyBorder="1" applyAlignment="1">
      <alignment horizontal="center"/>
    </xf>
    <xf numFmtId="165" fontId="9" fillId="7" borderId="5" xfId="0" applyNumberFormat="1" applyFont="1" applyFill="1" applyBorder="1" applyAlignment="1">
      <alignment horizontal="center"/>
    </xf>
    <xf numFmtId="0" fontId="4" fillId="3" borderId="0" xfId="0" applyFont="1" applyFill="1" applyAlignment="1">
      <alignment wrapText="1"/>
    </xf>
    <xf numFmtId="0" fontId="6" fillId="0" borderId="0" xfId="0" applyFont="1" applyAlignment="1">
      <alignment horizontal="left"/>
    </xf>
    <xf numFmtId="3" fontId="18" fillId="8" borderId="5" xfId="0" applyNumberFormat="1" applyFont="1" applyFill="1" applyBorder="1" applyAlignment="1">
      <alignment horizontal="center"/>
    </xf>
    <xf numFmtId="3" fontId="11" fillId="6" borderId="5" xfId="0" applyNumberFormat="1" applyFont="1" applyFill="1" applyBorder="1" applyAlignment="1">
      <alignment horizontal="center"/>
    </xf>
    <xf numFmtId="0" fontId="9" fillId="0" borderId="0" xfId="0" applyFont="1" applyAlignment="1">
      <alignment horizontal="left"/>
    </xf>
    <xf numFmtId="3" fontId="19" fillId="7" borderId="5" xfId="0" applyNumberFormat="1" applyFont="1" applyFill="1" applyBorder="1" applyAlignment="1">
      <alignment horizontal="center"/>
    </xf>
    <xf numFmtId="3" fontId="21" fillId="9" borderId="5" xfId="0" applyNumberFormat="1" applyFont="1" applyFill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168" fontId="7" fillId="0" borderId="2" xfId="0" applyNumberFormat="1" applyFont="1" applyBorder="1" applyAlignment="1">
      <alignment horizontal="center"/>
    </xf>
    <xf numFmtId="168" fontId="9" fillId="0" borderId="2" xfId="0" applyNumberFormat="1" applyFont="1" applyBorder="1" applyAlignment="1">
      <alignment horizontal="center"/>
    </xf>
    <xf numFmtId="0" fontId="12" fillId="0" borderId="0" xfId="0" applyFont="1"/>
    <xf numFmtId="3" fontId="14" fillId="0" borderId="2" xfId="0" applyNumberFormat="1" applyFont="1" applyBorder="1" applyAlignment="1">
      <alignment horizontal="center"/>
    </xf>
    <xf numFmtId="165" fontId="17" fillId="5" borderId="2" xfId="0" applyNumberFormat="1" applyFont="1" applyFill="1" applyBorder="1" applyAlignment="1">
      <alignment horizontal="center"/>
    </xf>
    <xf numFmtId="165" fontId="6" fillId="5" borderId="5" xfId="0" applyNumberFormat="1" applyFont="1" applyFill="1" applyBorder="1" applyAlignment="1">
      <alignment horizontal="center"/>
    </xf>
    <xf numFmtId="3" fontId="6" fillId="5" borderId="5" xfId="0" applyNumberFormat="1" applyFont="1" applyFill="1" applyBorder="1" applyAlignment="1">
      <alignment horizontal="center"/>
    </xf>
    <xf numFmtId="168" fontId="6" fillId="5" borderId="5" xfId="0" applyNumberFormat="1" applyFont="1" applyFill="1" applyBorder="1" applyAlignment="1">
      <alignment horizontal="center"/>
    </xf>
    <xf numFmtId="178" fontId="22" fillId="5" borderId="5" xfId="0" applyNumberFormat="1" applyFont="1" applyFill="1" applyBorder="1" applyAlignment="1">
      <alignment horizontal="center"/>
    </xf>
    <xf numFmtId="165" fontId="6" fillId="0" borderId="5" xfId="0" applyNumberFormat="1" applyFont="1" applyBorder="1" applyAlignment="1">
      <alignment horizontal="center"/>
    </xf>
    <xf numFmtId="3" fontId="6" fillId="0" borderId="5" xfId="0" applyNumberFormat="1" applyFont="1" applyBorder="1" applyAlignment="1">
      <alignment horizontal="center"/>
    </xf>
    <xf numFmtId="168" fontId="6" fillId="0" borderId="5" xfId="0" applyNumberFormat="1" applyFont="1" applyBorder="1" applyAlignment="1">
      <alignment horizontal="center"/>
    </xf>
    <xf numFmtId="178" fontId="6" fillId="0" borderId="5" xfId="0" applyNumberFormat="1" applyFont="1" applyBorder="1" applyAlignment="1">
      <alignment horizontal="center"/>
    </xf>
    <xf numFmtId="167" fontId="6" fillId="0" borderId="5" xfId="0" applyNumberFormat="1" applyFont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167" fontId="6" fillId="5" borderId="5" xfId="0" applyNumberFormat="1" applyFont="1" applyFill="1" applyBorder="1" applyAlignment="1">
      <alignment horizontal="center"/>
    </xf>
    <xf numFmtId="164" fontId="6" fillId="5" borderId="5" xfId="0" applyNumberFormat="1" applyFont="1" applyFill="1" applyBorder="1" applyAlignment="1">
      <alignment horizontal="center"/>
    </xf>
    <xf numFmtId="168" fontId="9" fillId="7" borderId="5" xfId="0" applyNumberFormat="1" applyFont="1" applyFill="1" applyBorder="1" applyAlignment="1">
      <alignment horizontal="center"/>
    </xf>
    <xf numFmtId="167" fontId="6" fillId="0" borderId="2" xfId="0" applyNumberFormat="1" applyFont="1" applyBorder="1" applyAlignment="1">
      <alignment horizontal="center"/>
    </xf>
    <xf numFmtId="167" fontId="18" fillId="0" borderId="2" xfId="0" applyNumberFormat="1" applyFont="1" applyBorder="1" applyAlignment="1">
      <alignment horizontal="center"/>
    </xf>
    <xf numFmtId="167" fontId="14" fillId="5" borderId="3" xfId="0" applyNumberFormat="1" applyFont="1" applyFill="1" applyBorder="1" applyAlignment="1">
      <alignment horizontal="center"/>
    </xf>
    <xf numFmtId="167" fontId="22" fillId="0" borderId="3" xfId="0" applyNumberFormat="1" applyFont="1" applyBorder="1" applyAlignment="1">
      <alignment horizontal="center"/>
    </xf>
    <xf numFmtId="167" fontId="17" fillId="5" borderId="3" xfId="0" applyNumberFormat="1" applyFont="1" applyFill="1" applyBorder="1" applyAlignment="1">
      <alignment horizontal="center"/>
    </xf>
    <xf numFmtId="0" fontId="6" fillId="0" borderId="5" xfId="0" applyFont="1" applyBorder="1"/>
    <xf numFmtId="0" fontId="18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4" fillId="6" borderId="5" xfId="0" applyFont="1" applyFill="1" applyBorder="1" applyAlignment="1">
      <alignment horizontal="center"/>
    </xf>
    <xf numFmtId="0" fontId="3" fillId="0" borderId="5" xfId="0" applyFont="1" applyBorder="1"/>
    <xf numFmtId="4" fontId="6" fillId="0" borderId="5" xfId="0" applyNumberFormat="1" applyFont="1" applyBorder="1" applyAlignment="1">
      <alignment horizontal="center"/>
    </xf>
    <xf numFmtId="3" fontId="18" fillId="0" borderId="5" xfId="0" applyNumberFormat="1" applyFont="1" applyBorder="1" applyAlignment="1">
      <alignment horizontal="center"/>
    </xf>
    <xf numFmtId="0" fontId="6" fillId="8" borderId="0" xfId="0" applyFont="1" applyFill="1"/>
    <xf numFmtId="0" fontId="6" fillId="0" borderId="0" xfId="0" applyFont="1" applyAlignment="1">
      <alignment horizontal="center"/>
    </xf>
    <xf numFmtId="3" fontId="6" fillId="8" borderId="5" xfId="0" applyNumberFormat="1" applyFont="1" applyFill="1" applyBorder="1" applyAlignment="1">
      <alignment horizontal="center"/>
    </xf>
    <xf numFmtId="0" fontId="6" fillId="8" borderId="5" xfId="0" applyFont="1" applyFill="1" applyBorder="1" applyAlignment="1">
      <alignment horizontal="center"/>
    </xf>
    <xf numFmtId="0" fontId="3" fillId="8" borderId="5" xfId="0" applyFont="1" applyFill="1" applyBorder="1"/>
    <xf numFmtId="0" fontId="9" fillId="6" borderId="0" xfId="0" applyFont="1" applyFill="1"/>
    <xf numFmtId="3" fontId="6" fillId="6" borderId="5" xfId="0" applyNumberFormat="1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3" fontId="12" fillId="6" borderId="5" xfId="0" applyNumberFormat="1" applyFont="1" applyFill="1" applyBorder="1" applyAlignment="1">
      <alignment horizontal="center"/>
    </xf>
    <xf numFmtId="0" fontId="5" fillId="6" borderId="5" xfId="0" applyFont="1" applyFill="1" applyBorder="1"/>
    <xf numFmtId="0" fontId="6" fillId="6" borderId="0" xfId="0" applyFont="1" applyFill="1"/>
    <xf numFmtId="3" fontId="14" fillId="6" borderId="5" xfId="0" applyNumberFormat="1" applyFont="1" applyFill="1" applyBorder="1" applyAlignment="1">
      <alignment horizontal="center"/>
    </xf>
    <xf numFmtId="0" fontId="3" fillId="6" borderId="5" xfId="0" applyFont="1" applyFill="1" applyBorder="1"/>
    <xf numFmtId="0" fontId="7" fillId="0" borderId="5" xfId="0" applyFont="1" applyBorder="1" applyAlignment="1">
      <alignment horizontal="center"/>
    </xf>
    <xf numFmtId="0" fontId="11" fillId="10" borderId="5" xfId="0" applyFont="1" applyFill="1" applyBorder="1" applyAlignment="1">
      <alignment horizontal="center"/>
    </xf>
    <xf numFmtId="0" fontId="24" fillId="6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7030A0"/>
      <rgbColor rgb="FFFFF2CC"/>
      <rgbColor rgb="FFE3F2FD"/>
      <rgbColor rgb="FF660066"/>
      <rgbColor rgb="FFFF8080"/>
      <rgbColor rgb="FF0066CC"/>
      <rgbColor rgb="FFF2F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1F8E9"/>
      <rgbColor rgb="FF99CCFF"/>
      <rgbColor rgb="FFFF99CC"/>
      <rgbColor rgb="FFCC99FF"/>
      <rgbColor rgb="FFFFEBEE"/>
      <rgbColor rgb="FF3366FF"/>
      <rgbColor rgb="FF33CCCC"/>
      <rgbColor rgb="FF99CC00"/>
      <rgbColor rgb="FFFFCC00"/>
      <rgbColor rgb="FFFF9900"/>
      <rgbColor rgb="FFFF6D00"/>
      <rgbColor rgb="FF666666"/>
      <rgbColor rgb="FF999999"/>
      <rgbColor rgb="FF003366"/>
      <rgbColor rgb="FF2E7D32"/>
      <rgbColor rgb="FF003300"/>
      <rgbColor rgb="FF1B5E20"/>
      <rgbColor rgb="FFE65100"/>
      <rgbColor rgb="FFFF3E00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00" workbookViewId="0"/>
  </sheetViews>
  <sheetFormatPr baseColWidth="10" defaultColWidth="8.7109375" defaultRowHeight="15" x14ac:dyDescent="0.25"/>
  <sheetData>
    <row r="1" spans="1:1" ht="15" customHeight="1" x14ac:dyDescent="0.25">
      <c r="A1" s="13" t="s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</sheetPr>
  <dimension ref="A1:E114"/>
  <sheetViews>
    <sheetView zoomScaleNormal="100" workbookViewId="0"/>
  </sheetViews>
  <sheetFormatPr baseColWidth="10" defaultColWidth="8.7109375" defaultRowHeight="15" x14ac:dyDescent="0.25"/>
  <cols>
    <col min="1" max="1" width="42" customWidth="1"/>
    <col min="2" max="2" width="22" customWidth="1"/>
    <col min="3" max="3" width="14" customWidth="1"/>
    <col min="4" max="4" width="18" customWidth="1"/>
    <col min="5" max="5" width="45" customWidth="1"/>
  </cols>
  <sheetData>
    <row r="1" spans="1:5" ht="31.5" customHeight="1" x14ac:dyDescent="0.25">
      <c r="A1" s="12" t="s">
        <v>1</v>
      </c>
      <c r="B1" s="12"/>
      <c r="C1" s="12"/>
      <c r="D1" s="12"/>
      <c r="E1" s="12"/>
    </row>
    <row r="2" spans="1:5" ht="19.5" customHeight="1" x14ac:dyDescent="0.25">
      <c r="A2" s="11" t="s">
        <v>2</v>
      </c>
      <c r="B2" s="11"/>
      <c r="C2" s="11"/>
      <c r="D2" s="11"/>
      <c r="E2" s="11"/>
    </row>
    <row r="4" spans="1:5" ht="15" customHeight="1" x14ac:dyDescent="0.25">
      <c r="A4" s="15" t="s">
        <v>3</v>
      </c>
      <c r="B4" s="15" t="s">
        <v>4</v>
      </c>
      <c r="C4" s="15" t="s">
        <v>5</v>
      </c>
      <c r="D4" s="15" t="s">
        <v>6</v>
      </c>
      <c r="E4" s="15" t="s">
        <v>7</v>
      </c>
    </row>
    <row r="6" spans="1:5" ht="15" customHeight="1" x14ac:dyDescent="0.25">
      <c r="A6" s="10" t="s">
        <v>8</v>
      </c>
      <c r="B6" s="10"/>
      <c r="C6" s="10"/>
      <c r="D6" s="10"/>
      <c r="E6" s="10"/>
    </row>
    <row r="7" spans="1:5" ht="15" customHeight="1" x14ac:dyDescent="0.25">
      <c r="A7" s="17" t="s">
        <v>9</v>
      </c>
      <c r="B7" s="18" t="s">
        <v>10</v>
      </c>
      <c r="C7" s="19">
        <v>8760</v>
      </c>
      <c r="D7" s="17" t="s">
        <v>11</v>
      </c>
      <c r="E7" s="18" t="s">
        <v>12</v>
      </c>
    </row>
    <row r="8" spans="1:5" ht="15" customHeight="1" x14ac:dyDescent="0.25">
      <c r="A8" s="17" t="s">
        <v>13</v>
      </c>
      <c r="B8" s="18" t="s">
        <v>14</v>
      </c>
      <c r="C8" s="19">
        <v>3000</v>
      </c>
      <c r="D8" s="17" t="s">
        <v>15</v>
      </c>
      <c r="E8" s="18" t="s">
        <v>16</v>
      </c>
    </row>
    <row r="9" spans="1:5" ht="15" customHeight="1" x14ac:dyDescent="0.25">
      <c r="A9" s="17" t="s">
        <v>17</v>
      </c>
      <c r="B9" s="18" t="s">
        <v>18</v>
      </c>
      <c r="C9" s="20">
        <v>0.45</v>
      </c>
      <c r="D9" s="17" t="s">
        <v>19</v>
      </c>
      <c r="E9" s="18" t="s">
        <v>20</v>
      </c>
    </row>
    <row r="10" spans="1:5" ht="15" customHeight="1" x14ac:dyDescent="0.25">
      <c r="A10" s="17" t="s">
        <v>21</v>
      </c>
      <c r="B10" s="18" t="s">
        <v>22</v>
      </c>
      <c r="C10" s="20">
        <v>0.5</v>
      </c>
      <c r="D10" s="17" t="s">
        <v>19</v>
      </c>
      <c r="E10" s="18" t="s">
        <v>23</v>
      </c>
    </row>
    <row r="11" spans="1:5" ht="15" customHeight="1" x14ac:dyDescent="0.25">
      <c r="A11" s="17" t="s">
        <v>24</v>
      </c>
      <c r="B11" s="18" t="s">
        <v>25</v>
      </c>
      <c r="C11" s="21">
        <v>0.625</v>
      </c>
      <c r="D11" s="17" t="s">
        <v>19</v>
      </c>
      <c r="E11" s="18" t="s">
        <v>26</v>
      </c>
    </row>
    <row r="12" spans="1:5" ht="15" customHeight="1" x14ac:dyDescent="0.25">
      <c r="A12" s="11" t="s">
        <v>27</v>
      </c>
      <c r="B12" s="11"/>
      <c r="C12" s="11"/>
      <c r="D12" s="11"/>
      <c r="E12" s="11"/>
    </row>
    <row r="14" spans="1:5" ht="15" customHeight="1" x14ac:dyDescent="0.25">
      <c r="A14" s="10" t="s">
        <v>28</v>
      </c>
      <c r="B14" s="10"/>
      <c r="C14" s="10"/>
      <c r="D14" s="10"/>
      <c r="E14" s="10"/>
    </row>
    <row r="15" spans="1:5" ht="15" customHeight="1" x14ac:dyDescent="0.25">
      <c r="A15" s="17" t="s">
        <v>29</v>
      </c>
      <c r="B15" s="18" t="s">
        <v>30</v>
      </c>
      <c r="C15" s="22">
        <v>0.13</v>
      </c>
      <c r="D15" s="17" t="s">
        <v>19</v>
      </c>
      <c r="E15" s="18" t="s">
        <v>31</v>
      </c>
    </row>
    <row r="16" spans="1:5" ht="15" customHeight="1" x14ac:dyDescent="0.25">
      <c r="A16" s="17" t="s">
        <v>32</v>
      </c>
      <c r="B16" s="18" t="s">
        <v>33</v>
      </c>
      <c r="C16" s="22">
        <v>0.11749999999999999</v>
      </c>
      <c r="D16" s="17" t="s">
        <v>19</v>
      </c>
      <c r="E16" s="18" t="s">
        <v>34</v>
      </c>
    </row>
    <row r="17" spans="1:5" ht="15" customHeight="1" x14ac:dyDescent="0.25">
      <c r="A17" s="17" t="s">
        <v>35</v>
      </c>
      <c r="B17" s="18" t="s">
        <v>36</v>
      </c>
      <c r="C17" s="22">
        <v>0.105</v>
      </c>
      <c r="D17" s="17" t="s">
        <v>19</v>
      </c>
      <c r="E17" s="18" t="s">
        <v>37</v>
      </c>
    </row>
    <row r="18" spans="1:5" ht="15" customHeight="1" x14ac:dyDescent="0.25">
      <c r="A18" s="17" t="s">
        <v>38</v>
      </c>
      <c r="B18" s="18" t="s">
        <v>39</v>
      </c>
      <c r="C18" s="22">
        <v>9.2499999999999999E-2</v>
      </c>
      <c r="D18" s="17" t="s">
        <v>19</v>
      </c>
      <c r="E18" s="18" t="s">
        <v>40</v>
      </c>
    </row>
    <row r="19" spans="1:5" ht="15" customHeight="1" x14ac:dyDescent="0.25">
      <c r="A19" s="17" t="s">
        <v>41</v>
      </c>
      <c r="B19" s="18" t="s">
        <v>42</v>
      </c>
      <c r="C19" s="22">
        <v>0.08</v>
      </c>
      <c r="D19" s="17" t="s">
        <v>19</v>
      </c>
      <c r="E19" s="18" t="s">
        <v>43</v>
      </c>
    </row>
    <row r="20" spans="1:5" ht="15" customHeight="1" x14ac:dyDescent="0.25">
      <c r="A20" s="11" t="s">
        <v>44</v>
      </c>
      <c r="B20" s="11"/>
      <c r="C20" s="11"/>
      <c r="D20" s="11"/>
      <c r="E20" s="11"/>
    </row>
    <row r="22" spans="1:5" ht="15" customHeight="1" x14ac:dyDescent="0.25">
      <c r="A22" s="10" t="s">
        <v>45</v>
      </c>
      <c r="B22" s="10"/>
      <c r="C22" s="10"/>
      <c r="D22" s="10"/>
      <c r="E22" s="10"/>
    </row>
    <row r="23" spans="1:5" ht="15" customHeight="1" x14ac:dyDescent="0.25">
      <c r="A23" s="17" t="s">
        <v>46</v>
      </c>
      <c r="B23" s="18" t="s">
        <v>47</v>
      </c>
      <c r="C23" s="23">
        <v>10000000</v>
      </c>
      <c r="D23" s="17" t="s">
        <v>48</v>
      </c>
      <c r="E23" s="18" t="s">
        <v>49</v>
      </c>
    </row>
    <row r="24" spans="1:5" ht="15" customHeight="1" x14ac:dyDescent="0.25">
      <c r="A24" s="17" t="s">
        <v>50</v>
      </c>
      <c r="B24" s="18" t="s">
        <v>51</v>
      </c>
      <c r="C24" s="19">
        <v>8</v>
      </c>
      <c r="D24" s="17" t="s">
        <v>52</v>
      </c>
      <c r="E24" s="18" t="s">
        <v>53</v>
      </c>
    </row>
    <row r="25" spans="1:5" ht="15" customHeight="1" x14ac:dyDescent="0.25">
      <c r="A25" s="17" t="s">
        <v>54</v>
      </c>
      <c r="B25" s="18" t="s">
        <v>55</v>
      </c>
      <c r="C25" s="24">
        <f>C23/C24</f>
        <v>1250000</v>
      </c>
      <c r="D25" s="17" t="s">
        <v>48</v>
      </c>
      <c r="E25" s="18" t="s">
        <v>56</v>
      </c>
    </row>
    <row r="26" spans="1:5" ht="15" customHeight="1" x14ac:dyDescent="0.25">
      <c r="A26" s="17" t="s">
        <v>57</v>
      </c>
      <c r="B26" s="18" t="s">
        <v>58</v>
      </c>
      <c r="C26" s="21">
        <v>7.4999999999999997E-2</v>
      </c>
      <c r="D26" s="17" t="s">
        <v>19</v>
      </c>
      <c r="E26" s="18" t="s">
        <v>59</v>
      </c>
    </row>
    <row r="27" spans="1:5" ht="15" customHeight="1" x14ac:dyDescent="0.25">
      <c r="A27" s="17" t="s">
        <v>60</v>
      </c>
      <c r="B27" s="18" t="s">
        <v>61</v>
      </c>
      <c r="C27" s="23">
        <v>5000000</v>
      </c>
      <c r="D27" s="17" t="s">
        <v>48</v>
      </c>
      <c r="E27" s="18" t="s">
        <v>62</v>
      </c>
    </row>
    <row r="28" spans="1:5" ht="15" customHeight="1" x14ac:dyDescent="0.25">
      <c r="A28" s="17" t="s">
        <v>63</v>
      </c>
      <c r="B28" s="18" t="s">
        <v>64</v>
      </c>
      <c r="C28" s="23">
        <v>7000000</v>
      </c>
      <c r="D28" s="17" t="s">
        <v>48</v>
      </c>
      <c r="E28" s="18" t="s">
        <v>65</v>
      </c>
    </row>
    <row r="29" spans="1:5" ht="15" customHeight="1" x14ac:dyDescent="0.25">
      <c r="A29" s="17" t="s">
        <v>66</v>
      </c>
      <c r="B29" s="18" t="s">
        <v>67</v>
      </c>
      <c r="C29" s="20">
        <v>0.6</v>
      </c>
      <c r="D29" s="17" t="s">
        <v>19</v>
      </c>
      <c r="E29" s="18" t="s">
        <v>68</v>
      </c>
    </row>
    <row r="31" spans="1:5" ht="15" customHeight="1" x14ac:dyDescent="0.25">
      <c r="A31" s="10" t="s">
        <v>69</v>
      </c>
      <c r="B31" s="10"/>
      <c r="C31" s="10"/>
      <c r="D31" s="10"/>
      <c r="E31" s="10"/>
    </row>
    <row r="32" spans="1:5" ht="15" customHeight="1" x14ac:dyDescent="0.25">
      <c r="A32" s="17" t="s">
        <v>70</v>
      </c>
      <c r="B32" s="18" t="s">
        <v>71</v>
      </c>
      <c r="C32" s="23">
        <v>25000000</v>
      </c>
      <c r="D32" s="17" t="s">
        <v>48</v>
      </c>
      <c r="E32" s="18" t="s">
        <v>72</v>
      </c>
    </row>
    <row r="33" spans="1:5" ht="15" customHeight="1" x14ac:dyDescent="0.25">
      <c r="A33" s="17" t="s">
        <v>73</v>
      </c>
      <c r="B33" s="18" t="s">
        <v>74</v>
      </c>
      <c r="C33" s="23">
        <v>4300000</v>
      </c>
      <c r="D33" s="17" t="s">
        <v>48</v>
      </c>
      <c r="E33" s="18" t="s">
        <v>75</v>
      </c>
    </row>
    <row r="34" spans="1:5" ht="15" customHeight="1" x14ac:dyDescent="0.25">
      <c r="A34" s="17" t="s">
        <v>76</v>
      </c>
      <c r="B34" s="18" t="s">
        <v>77</v>
      </c>
      <c r="C34" s="23">
        <v>105000000</v>
      </c>
      <c r="D34" s="17" t="s">
        <v>48</v>
      </c>
      <c r="E34" s="18" t="s">
        <v>72</v>
      </c>
    </row>
    <row r="35" spans="1:5" ht="15" customHeight="1" x14ac:dyDescent="0.25">
      <c r="A35" s="17" t="s">
        <v>78</v>
      </c>
      <c r="B35" s="18" t="s">
        <v>79</v>
      </c>
      <c r="C35" s="24">
        <f>C32+C33+C34</f>
        <v>134300000</v>
      </c>
      <c r="D35" s="17" t="s">
        <v>48</v>
      </c>
      <c r="E35" s="18" t="s">
        <v>80</v>
      </c>
    </row>
    <row r="36" spans="1:5" ht="15" customHeight="1" x14ac:dyDescent="0.25">
      <c r="A36" s="17" t="s">
        <v>81</v>
      </c>
      <c r="B36" s="18" t="s">
        <v>82</v>
      </c>
      <c r="C36" s="24">
        <f>C35*0.075</f>
        <v>10072500</v>
      </c>
      <c r="D36" s="17" t="s">
        <v>48</v>
      </c>
      <c r="E36" s="18" t="s">
        <v>83</v>
      </c>
    </row>
    <row r="38" spans="1:5" ht="15" customHeight="1" x14ac:dyDescent="0.25">
      <c r="A38" s="10" t="s">
        <v>84</v>
      </c>
      <c r="B38" s="10"/>
      <c r="C38" s="10"/>
      <c r="D38" s="10"/>
      <c r="E38" s="10"/>
    </row>
    <row r="39" spans="1:5" ht="15" customHeight="1" x14ac:dyDescent="0.25">
      <c r="A39" s="17" t="s">
        <v>85</v>
      </c>
      <c r="B39" s="18"/>
      <c r="C39" s="23">
        <v>3910000</v>
      </c>
      <c r="D39" s="17" t="s">
        <v>48</v>
      </c>
      <c r="E39" s="18" t="s">
        <v>86</v>
      </c>
    </row>
    <row r="40" spans="1:5" ht="15" customHeight="1" x14ac:dyDescent="0.25">
      <c r="A40" s="17" t="s">
        <v>87</v>
      </c>
      <c r="B40" s="18"/>
      <c r="C40" s="23">
        <v>1500000</v>
      </c>
      <c r="D40" s="17" t="s">
        <v>48</v>
      </c>
      <c r="E40" s="18" t="s">
        <v>86</v>
      </c>
    </row>
    <row r="41" spans="1:5" ht="15" customHeight="1" x14ac:dyDescent="0.25">
      <c r="A41" s="17" t="s">
        <v>88</v>
      </c>
      <c r="B41" s="18"/>
      <c r="C41" s="23">
        <v>360000</v>
      </c>
      <c r="D41" s="17" t="s">
        <v>48</v>
      </c>
      <c r="E41" s="18" t="s">
        <v>89</v>
      </c>
    </row>
    <row r="42" spans="1:5" ht="15" customHeight="1" x14ac:dyDescent="0.25">
      <c r="A42" s="17" t="s">
        <v>90</v>
      </c>
      <c r="B42" s="18"/>
      <c r="C42" s="23">
        <v>2000000</v>
      </c>
      <c r="D42" s="17" t="s">
        <v>48</v>
      </c>
      <c r="E42" s="18" t="s">
        <v>89</v>
      </c>
    </row>
    <row r="43" spans="1:5" ht="15" customHeight="1" x14ac:dyDescent="0.25">
      <c r="A43" s="17" t="s">
        <v>91</v>
      </c>
      <c r="B43" s="18"/>
      <c r="C43" s="23">
        <v>850000</v>
      </c>
      <c r="D43" s="17" t="s">
        <v>48</v>
      </c>
      <c r="E43" s="18" t="s">
        <v>92</v>
      </c>
    </row>
    <row r="44" spans="1:5" ht="15" customHeight="1" x14ac:dyDescent="0.25">
      <c r="A44" s="25" t="s">
        <v>93</v>
      </c>
      <c r="B44" s="18" t="s">
        <v>94</v>
      </c>
      <c r="C44" s="24">
        <f>SUM(C39:C43)</f>
        <v>8620000</v>
      </c>
      <c r="D44" s="17" t="s">
        <v>48</v>
      </c>
      <c r="E44" s="18" t="s">
        <v>95</v>
      </c>
    </row>
    <row r="45" spans="1:5" ht="15" customHeight="1" x14ac:dyDescent="0.25">
      <c r="A45" s="17" t="s">
        <v>96</v>
      </c>
      <c r="B45" s="18" t="s">
        <v>97</v>
      </c>
      <c r="C45" s="24">
        <f>C44/8</f>
        <v>1077500</v>
      </c>
      <c r="D45" s="17" t="s">
        <v>48</v>
      </c>
      <c r="E45" s="18" t="s">
        <v>98</v>
      </c>
    </row>
    <row r="46" spans="1:5" ht="15" customHeight="1" x14ac:dyDescent="0.25">
      <c r="A46" s="11" t="s">
        <v>99</v>
      </c>
      <c r="B46" s="11"/>
      <c r="C46" s="11"/>
      <c r="D46" s="11"/>
      <c r="E46" s="11"/>
    </row>
    <row r="48" spans="1:5" ht="15" customHeight="1" x14ac:dyDescent="0.25">
      <c r="A48" s="10" t="s">
        <v>100</v>
      </c>
      <c r="B48" s="10"/>
      <c r="C48" s="10"/>
      <c r="D48" s="10"/>
      <c r="E48" s="10"/>
    </row>
    <row r="49" spans="1:5" ht="15" customHeight="1" x14ac:dyDescent="0.25">
      <c r="A49" s="17" t="s">
        <v>101</v>
      </c>
      <c r="B49" s="18" t="s">
        <v>102</v>
      </c>
      <c r="C49" s="19">
        <v>0.8</v>
      </c>
      <c r="D49" s="17" t="s">
        <v>103</v>
      </c>
      <c r="E49" s="18" t="s">
        <v>104</v>
      </c>
    </row>
    <row r="50" spans="1:5" ht="15" customHeight="1" x14ac:dyDescent="0.25">
      <c r="A50" s="17" t="s">
        <v>105</v>
      </c>
      <c r="B50" s="18" t="s">
        <v>106</v>
      </c>
      <c r="C50" s="19">
        <v>2.5</v>
      </c>
      <c r="D50" s="17" t="s">
        <v>103</v>
      </c>
      <c r="E50" s="18" t="s">
        <v>107</v>
      </c>
    </row>
    <row r="51" spans="1:5" ht="15" customHeight="1" x14ac:dyDescent="0.25">
      <c r="A51" s="17" t="s">
        <v>108</v>
      </c>
      <c r="B51" s="18" t="s">
        <v>109</v>
      </c>
      <c r="C51" s="19">
        <v>4</v>
      </c>
      <c r="D51" s="17" t="s">
        <v>110</v>
      </c>
      <c r="E51" s="18" t="s">
        <v>111</v>
      </c>
    </row>
    <row r="52" spans="1:5" ht="15" customHeight="1" x14ac:dyDescent="0.25">
      <c r="A52" s="17" t="s">
        <v>112</v>
      </c>
      <c r="B52" s="18" t="s">
        <v>113</v>
      </c>
      <c r="C52" s="23">
        <v>1100000</v>
      </c>
      <c r="D52" s="17" t="s">
        <v>114</v>
      </c>
      <c r="E52" s="18" t="s">
        <v>115</v>
      </c>
    </row>
    <row r="53" spans="1:5" ht="15" customHeight="1" x14ac:dyDescent="0.25">
      <c r="A53" s="17" t="s">
        <v>116</v>
      </c>
      <c r="B53" s="18" t="s">
        <v>117</v>
      </c>
      <c r="C53" s="23">
        <v>1400000</v>
      </c>
      <c r="D53" s="17" t="s">
        <v>114</v>
      </c>
      <c r="E53" s="18" t="s">
        <v>115</v>
      </c>
    </row>
    <row r="55" spans="1:5" ht="15" customHeight="1" x14ac:dyDescent="0.25">
      <c r="A55" s="10" t="s">
        <v>118</v>
      </c>
      <c r="B55" s="10"/>
      <c r="C55" s="10"/>
      <c r="D55" s="10"/>
      <c r="E55" s="10"/>
    </row>
    <row r="56" spans="1:5" ht="15" customHeight="1" x14ac:dyDescent="0.25">
      <c r="A56" s="26" t="s">
        <v>119</v>
      </c>
      <c r="B56" s="26" t="s">
        <v>120</v>
      </c>
      <c r="C56" s="26" t="s">
        <v>121</v>
      </c>
      <c r="D56" s="26" t="s">
        <v>122</v>
      </c>
      <c r="E56" s="26" t="s">
        <v>123</v>
      </c>
    </row>
    <row r="57" spans="1:5" ht="15" customHeight="1" x14ac:dyDescent="0.25">
      <c r="A57" s="17" t="s">
        <v>124</v>
      </c>
      <c r="B57" s="19">
        <v>2</v>
      </c>
      <c r="C57" s="19">
        <v>0</v>
      </c>
      <c r="D57" s="19">
        <v>2</v>
      </c>
      <c r="E57" s="18" t="s">
        <v>125</v>
      </c>
    </row>
    <row r="58" spans="1:5" ht="15" customHeight="1" x14ac:dyDescent="0.25">
      <c r="A58" s="17" t="s">
        <v>126</v>
      </c>
      <c r="B58" s="19">
        <v>3</v>
      </c>
      <c r="C58" s="19">
        <v>0</v>
      </c>
      <c r="D58" s="19">
        <v>3</v>
      </c>
      <c r="E58" s="18" t="s">
        <v>125</v>
      </c>
    </row>
    <row r="59" spans="1:5" ht="15" customHeight="1" x14ac:dyDescent="0.25">
      <c r="A59" s="17" t="s">
        <v>127</v>
      </c>
      <c r="B59" s="19">
        <v>8</v>
      </c>
      <c r="C59" s="19">
        <v>4</v>
      </c>
      <c r="D59" s="19">
        <v>4</v>
      </c>
      <c r="E59" s="18" t="s">
        <v>128</v>
      </c>
    </row>
    <row r="60" spans="1:5" ht="15" customHeight="1" x14ac:dyDescent="0.25">
      <c r="A60" s="17" t="s">
        <v>129</v>
      </c>
      <c r="B60" s="19">
        <v>10</v>
      </c>
      <c r="C60" s="19">
        <v>6</v>
      </c>
      <c r="D60" s="19">
        <v>4</v>
      </c>
      <c r="E60" s="18" t="s">
        <v>128</v>
      </c>
    </row>
    <row r="61" spans="1:5" ht="15" customHeight="1" x14ac:dyDescent="0.25">
      <c r="A61" s="17" t="s">
        <v>130</v>
      </c>
      <c r="B61" s="19">
        <v>10</v>
      </c>
      <c r="C61" s="19">
        <v>6</v>
      </c>
      <c r="D61" s="19">
        <v>4</v>
      </c>
      <c r="E61" s="18" t="s">
        <v>131</v>
      </c>
    </row>
    <row r="62" spans="1:5" ht="15" customHeight="1" x14ac:dyDescent="0.25">
      <c r="A62" s="17" t="s">
        <v>132</v>
      </c>
      <c r="B62" s="19">
        <v>14</v>
      </c>
      <c r="C62" s="19">
        <v>10</v>
      </c>
      <c r="D62" s="19">
        <v>4</v>
      </c>
      <c r="E62" s="18" t="s">
        <v>131</v>
      </c>
    </row>
    <row r="63" spans="1:5" ht="15" customHeight="1" x14ac:dyDescent="0.25">
      <c r="A63" s="17" t="s">
        <v>133</v>
      </c>
      <c r="B63" s="19">
        <v>17</v>
      </c>
      <c r="C63" s="19">
        <v>13</v>
      </c>
      <c r="D63" s="19">
        <v>4</v>
      </c>
      <c r="E63" s="18" t="s">
        <v>131</v>
      </c>
    </row>
    <row r="64" spans="1:5" ht="15" customHeight="1" x14ac:dyDescent="0.25">
      <c r="A64" s="17" t="s">
        <v>134</v>
      </c>
      <c r="B64" s="19">
        <v>20</v>
      </c>
      <c r="C64" s="19">
        <v>16</v>
      </c>
      <c r="D64" s="19">
        <v>4</v>
      </c>
      <c r="E64" s="18" t="s">
        <v>131</v>
      </c>
    </row>
    <row r="65" spans="1:5" ht="15" customHeight="1" x14ac:dyDescent="0.25">
      <c r="A65" s="17" t="s">
        <v>135</v>
      </c>
      <c r="B65" s="19">
        <v>24</v>
      </c>
      <c r="C65" s="19">
        <v>20</v>
      </c>
      <c r="D65" s="19">
        <v>4</v>
      </c>
      <c r="E65" s="18" t="s">
        <v>131</v>
      </c>
    </row>
    <row r="67" spans="1:5" ht="15" customHeight="1" x14ac:dyDescent="0.25">
      <c r="A67" s="10" t="s">
        <v>136</v>
      </c>
      <c r="B67" s="10"/>
      <c r="C67" s="10"/>
      <c r="D67" s="10"/>
      <c r="E67" s="10"/>
    </row>
    <row r="68" spans="1:5" ht="15" customHeight="1" x14ac:dyDescent="0.25">
      <c r="A68" s="17" t="s">
        <v>137</v>
      </c>
      <c r="B68" s="18" t="s">
        <v>138</v>
      </c>
      <c r="C68" s="23">
        <v>5200000</v>
      </c>
      <c r="D68" s="17" t="s">
        <v>114</v>
      </c>
      <c r="E68" s="18" t="s">
        <v>139</v>
      </c>
    </row>
    <row r="69" spans="1:5" ht="15" customHeight="1" x14ac:dyDescent="0.25">
      <c r="A69" s="17" t="s">
        <v>140</v>
      </c>
      <c r="B69" s="18" t="s">
        <v>141</v>
      </c>
      <c r="C69" s="23">
        <v>3000000</v>
      </c>
      <c r="D69" s="17" t="s">
        <v>114</v>
      </c>
      <c r="E69" s="18" t="s">
        <v>142</v>
      </c>
    </row>
    <row r="70" spans="1:5" ht="15" customHeight="1" x14ac:dyDescent="0.25">
      <c r="A70" s="17" t="s">
        <v>143</v>
      </c>
      <c r="B70" s="18" t="s">
        <v>144</v>
      </c>
      <c r="C70" s="23">
        <v>150000</v>
      </c>
      <c r="D70" s="17" t="s">
        <v>145</v>
      </c>
      <c r="E70" s="18" t="s">
        <v>146</v>
      </c>
    </row>
    <row r="71" spans="1:5" ht="15" customHeight="1" x14ac:dyDescent="0.25">
      <c r="A71" s="17" t="s">
        <v>147</v>
      </c>
      <c r="B71" s="18" t="s">
        <v>148</v>
      </c>
      <c r="C71" s="23">
        <v>1075000</v>
      </c>
      <c r="D71" s="17" t="s">
        <v>114</v>
      </c>
      <c r="E71" s="18" t="s">
        <v>149</v>
      </c>
    </row>
    <row r="73" spans="1:5" ht="15" customHeight="1" x14ac:dyDescent="0.25">
      <c r="A73" s="10" t="s">
        <v>150</v>
      </c>
      <c r="B73" s="10"/>
      <c r="C73" s="10"/>
      <c r="D73" s="10"/>
      <c r="E73" s="10"/>
    </row>
    <row r="74" spans="1:5" ht="15" customHeight="1" x14ac:dyDescent="0.25">
      <c r="A74" s="11" t="s">
        <v>151</v>
      </c>
      <c r="B74" s="11"/>
      <c r="C74" s="11"/>
      <c r="D74" s="11"/>
      <c r="E74" s="11"/>
    </row>
    <row r="75" spans="1:5" ht="15" customHeight="1" x14ac:dyDescent="0.25">
      <c r="A75" s="11" t="s">
        <v>152</v>
      </c>
      <c r="B75" s="11"/>
      <c r="C75" s="11"/>
      <c r="D75" s="11"/>
      <c r="E75" s="11"/>
    </row>
    <row r="76" spans="1:5" ht="15" customHeight="1" x14ac:dyDescent="0.25">
      <c r="A76" s="11" t="s">
        <v>153</v>
      </c>
      <c r="B76" s="11"/>
      <c r="C76" s="11"/>
      <c r="D76" s="11"/>
      <c r="E76" s="11"/>
    </row>
    <row r="78" spans="1:5" ht="15" customHeight="1" x14ac:dyDescent="0.25">
      <c r="A78" s="10" t="s">
        <v>154</v>
      </c>
      <c r="B78" s="10"/>
      <c r="C78" s="10"/>
      <c r="D78" s="10"/>
      <c r="E78" s="10"/>
    </row>
    <row r="79" spans="1:5" ht="15" customHeight="1" x14ac:dyDescent="0.25">
      <c r="A79" s="26" t="s">
        <v>3</v>
      </c>
      <c r="B79" s="26"/>
      <c r="C79" s="26" t="s">
        <v>155</v>
      </c>
      <c r="D79" s="26" t="s">
        <v>128</v>
      </c>
      <c r="E79" s="26" t="s">
        <v>156</v>
      </c>
    </row>
    <row r="80" spans="1:5" ht="15" customHeight="1" x14ac:dyDescent="0.25">
      <c r="A80" s="17" t="s">
        <v>157</v>
      </c>
      <c r="B80" s="18" t="s">
        <v>158</v>
      </c>
      <c r="C80" s="27">
        <v>5</v>
      </c>
      <c r="D80" s="27">
        <v>51.3</v>
      </c>
      <c r="E80" s="27">
        <v>45</v>
      </c>
    </row>
    <row r="81" spans="1:5" ht="15" customHeight="1" x14ac:dyDescent="0.25">
      <c r="A81" s="17" t="s">
        <v>159</v>
      </c>
      <c r="B81" s="18" t="s">
        <v>158</v>
      </c>
      <c r="C81" s="27">
        <v>25</v>
      </c>
      <c r="D81" s="27">
        <v>130</v>
      </c>
      <c r="E81" s="27">
        <v>250</v>
      </c>
    </row>
    <row r="82" spans="1:5" ht="15" customHeight="1" x14ac:dyDescent="0.25">
      <c r="A82" s="17" t="s">
        <v>160</v>
      </c>
      <c r="B82" s="18" t="s">
        <v>158</v>
      </c>
      <c r="C82" s="27">
        <v>30</v>
      </c>
      <c r="D82" s="27">
        <v>181.3</v>
      </c>
      <c r="E82" s="27">
        <v>295</v>
      </c>
    </row>
    <row r="83" spans="1:5" ht="15" customHeight="1" x14ac:dyDescent="0.25">
      <c r="A83" s="17" t="s">
        <v>161</v>
      </c>
      <c r="B83" s="18" t="s">
        <v>162</v>
      </c>
      <c r="C83" s="19">
        <v>0</v>
      </c>
      <c r="D83" s="19" t="s">
        <v>163</v>
      </c>
      <c r="E83" s="19" t="s">
        <v>164</v>
      </c>
    </row>
    <row r="84" spans="1:5" ht="15" customHeight="1" x14ac:dyDescent="0.25">
      <c r="A84" s="17" t="s">
        <v>165</v>
      </c>
      <c r="B84" s="18" t="s">
        <v>158</v>
      </c>
      <c r="C84" s="27">
        <v>0</v>
      </c>
      <c r="D84" s="27">
        <v>29.3</v>
      </c>
      <c r="E84" s="27">
        <v>105</v>
      </c>
    </row>
    <row r="85" spans="1:5" ht="15" customHeight="1" x14ac:dyDescent="0.25">
      <c r="A85" s="17" t="s">
        <v>166</v>
      </c>
      <c r="B85" s="18" t="s">
        <v>158</v>
      </c>
      <c r="C85" s="27">
        <v>5</v>
      </c>
      <c r="D85" s="27">
        <v>80.599999999999994</v>
      </c>
      <c r="E85" s="27">
        <v>150</v>
      </c>
    </row>
    <row r="87" spans="1:5" ht="15" customHeight="1" x14ac:dyDescent="0.25">
      <c r="A87" s="10" t="s">
        <v>167</v>
      </c>
      <c r="B87" s="10"/>
      <c r="C87" s="10"/>
      <c r="D87" s="10"/>
      <c r="E87" s="10"/>
    </row>
    <row r="88" spans="1:5" ht="15" customHeight="1" x14ac:dyDescent="0.25">
      <c r="A88" s="26" t="s">
        <v>119</v>
      </c>
      <c r="B88" s="26" t="s">
        <v>168</v>
      </c>
      <c r="C88" s="26" t="s">
        <v>169</v>
      </c>
      <c r="D88" s="26" t="s">
        <v>170</v>
      </c>
      <c r="E88" s="26"/>
    </row>
    <row r="89" spans="1:5" ht="15" customHeight="1" x14ac:dyDescent="0.25">
      <c r="A89" s="17" t="s">
        <v>171</v>
      </c>
      <c r="B89" s="17" t="s">
        <v>172</v>
      </c>
      <c r="C89" s="19">
        <v>5</v>
      </c>
      <c r="D89" s="18" t="s">
        <v>128</v>
      </c>
    </row>
    <row r="90" spans="1:5" ht="15" customHeight="1" x14ac:dyDescent="0.25">
      <c r="A90" s="17" t="s">
        <v>173</v>
      </c>
      <c r="B90" s="17" t="s">
        <v>174</v>
      </c>
      <c r="C90" s="19">
        <v>5</v>
      </c>
      <c r="D90" s="18" t="s">
        <v>128</v>
      </c>
    </row>
    <row r="91" spans="1:5" ht="15" customHeight="1" x14ac:dyDescent="0.25">
      <c r="A91" s="17" t="s">
        <v>175</v>
      </c>
      <c r="B91" s="17" t="s">
        <v>176</v>
      </c>
      <c r="C91" s="19">
        <v>10</v>
      </c>
      <c r="D91" s="18" t="s">
        <v>156</v>
      </c>
    </row>
    <row r="92" spans="1:5" ht="15" customHeight="1" x14ac:dyDescent="0.25">
      <c r="A92" s="17" t="s">
        <v>177</v>
      </c>
      <c r="B92" s="17" t="s">
        <v>178</v>
      </c>
      <c r="C92" s="19">
        <v>10</v>
      </c>
      <c r="D92" s="18" t="s">
        <v>156</v>
      </c>
    </row>
    <row r="93" spans="1:5" ht="15" customHeight="1" x14ac:dyDescent="0.25">
      <c r="A93" s="17" t="s">
        <v>179</v>
      </c>
      <c r="B93" s="17" t="s">
        <v>180</v>
      </c>
      <c r="C93" s="19">
        <v>15</v>
      </c>
      <c r="D93" s="18" t="s">
        <v>156</v>
      </c>
    </row>
    <row r="94" spans="1:5" ht="15" customHeight="1" x14ac:dyDescent="0.25">
      <c r="A94" s="17" t="s">
        <v>181</v>
      </c>
      <c r="B94" s="17" t="s">
        <v>182</v>
      </c>
      <c r="C94" s="19">
        <v>20</v>
      </c>
      <c r="D94" s="18" t="s">
        <v>156</v>
      </c>
    </row>
    <row r="96" spans="1:5" ht="15" customHeight="1" x14ac:dyDescent="0.25">
      <c r="A96" s="10" t="s">
        <v>183</v>
      </c>
      <c r="B96" s="10"/>
      <c r="C96" s="10"/>
      <c r="D96" s="10"/>
      <c r="E96" s="10"/>
    </row>
    <row r="97" spans="1:5" ht="15" customHeight="1" x14ac:dyDescent="0.25">
      <c r="A97" s="26" t="s">
        <v>184</v>
      </c>
      <c r="B97" s="26" t="s">
        <v>185</v>
      </c>
      <c r="C97" s="26" t="s">
        <v>5</v>
      </c>
      <c r="D97" s="26" t="s">
        <v>186</v>
      </c>
      <c r="E97" s="26"/>
    </row>
    <row r="98" spans="1:5" ht="15" customHeight="1" x14ac:dyDescent="0.25">
      <c r="A98" s="17" t="s">
        <v>187</v>
      </c>
      <c r="B98" s="17" t="s">
        <v>188</v>
      </c>
      <c r="C98" s="19" t="s">
        <v>189</v>
      </c>
      <c r="D98" s="28" t="s">
        <v>190</v>
      </c>
    </row>
    <row r="99" spans="1:5" ht="15" customHeight="1" x14ac:dyDescent="0.25">
      <c r="A99" s="17" t="s">
        <v>191</v>
      </c>
      <c r="B99" s="17" t="s">
        <v>192</v>
      </c>
      <c r="C99" s="19" t="s">
        <v>193</v>
      </c>
      <c r="D99" s="28" t="s">
        <v>190</v>
      </c>
    </row>
    <row r="100" spans="1:5" ht="15" customHeight="1" x14ac:dyDescent="0.25">
      <c r="A100" s="17" t="s">
        <v>194</v>
      </c>
      <c r="B100" s="17" t="s">
        <v>195</v>
      </c>
      <c r="C100" s="19" t="s">
        <v>196</v>
      </c>
      <c r="D100" s="28" t="s">
        <v>190</v>
      </c>
    </row>
    <row r="101" spans="1:5" ht="15" customHeight="1" x14ac:dyDescent="0.25">
      <c r="A101" s="17" t="s">
        <v>197</v>
      </c>
      <c r="B101" s="17" t="s">
        <v>198</v>
      </c>
      <c r="C101" s="19" t="s">
        <v>199</v>
      </c>
      <c r="D101" s="28" t="s">
        <v>190</v>
      </c>
    </row>
    <row r="102" spans="1:5" ht="15" customHeight="1" x14ac:dyDescent="0.25">
      <c r="A102" s="17" t="s">
        <v>200</v>
      </c>
      <c r="B102" s="17" t="s">
        <v>201</v>
      </c>
      <c r="C102" s="19" t="s">
        <v>202</v>
      </c>
      <c r="D102" s="28" t="s">
        <v>190</v>
      </c>
    </row>
    <row r="103" spans="1:5" ht="15" customHeight="1" x14ac:dyDescent="0.25">
      <c r="A103" s="17" t="s">
        <v>203</v>
      </c>
      <c r="B103" s="17" t="s">
        <v>204</v>
      </c>
      <c r="C103" s="19" t="s">
        <v>205</v>
      </c>
      <c r="D103" s="28" t="s">
        <v>190</v>
      </c>
    </row>
    <row r="104" spans="1:5" ht="15" customHeight="1" x14ac:dyDescent="0.25">
      <c r="A104" s="17" t="s">
        <v>206</v>
      </c>
      <c r="B104" s="17" t="s">
        <v>207</v>
      </c>
      <c r="C104" s="19" t="s">
        <v>208</v>
      </c>
      <c r="D104" s="28" t="s">
        <v>190</v>
      </c>
    </row>
    <row r="105" spans="1:5" ht="15" customHeight="1" x14ac:dyDescent="0.25">
      <c r="A105" s="17" t="s">
        <v>209</v>
      </c>
      <c r="B105" s="17" t="s">
        <v>210</v>
      </c>
      <c r="C105" s="19" t="s">
        <v>211</v>
      </c>
      <c r="D105" s="28" t="s">
        <v>190</v>
      </c>
    </row>
    <row r="106" spans="1:5" ht="15" customHeight="1" x14ac:dyDescent="0.25">
      <c r="A106" s="17" t="s">
        <v>212</v>
      </c>
      <c r="B106" s="17" t="s">
        <v>213</v>
      </c>
      <c r="C106" s="19" t="s">
        <v>214</v>
      </c>
      <c r="D106" s="28" t="s">
        <v>190</v>
      </c>
    </row>
    <row r="107" spans="1:5" ht="15" customHeight="1" x14ac:dyDescent="0.25">
      <c r="A107" s="17" t="s">
        <v>215</v>
      </c>
      <c r="B107" s="17" t="s">
        <v>216</v>
      </c>
      <c r="C107" s="19" t="s">
        <v>217</v>
      </c>
      <c r="D107" s="28" t="s">
        <v>190</v>
      </c>
    </row>
    <row r="108" spans="1:5" ht="15" customHeight="1" x14ac:dyDescent="0.25">
      <c r="A108" s="17" t="s">
        <v>218</v>
      </c>
      <c r="B108" s="17" t="s">
        <v>219</v>
      </c>
      <c r="C108" s="19" t="s">
        <v>220</v>
      </c>
      <c r="D108" s="28" t="s">
        <v>190</v>
      </c>
    </row>
    <row r="109" spans="1:5" ht="15" customHeight="1" x14ac:dyDescent="0.25">
      <c r="A109" s="17" t="s">
        <v>221</v>
      </c>
      <c r="B109" s="17" t="s">
        <v>222</v>
      </c>
      <c r="C109" s="19" t="s">
        <v>223</v>
      </c>
      <c r="D109" s="28" t="s">
        <v>190</v>
      </c>
    </row>
    <row r="110" spans="1:5" ht="15" customHeight="1" x14ac:dyDescent="0.25">
      <c r="A110" s="17" t="s">
        <v>224</v>
      </c>
      <c r="B110" s="17" t="s">
        <v>225</v>
      </c>
      <c r="C110" s="19" t="s">
        <v>226</v>
      </c>
      <c r="D110" s="28" t="s">
        <v>190</v>
      </c>
    </row>
    <row r="111" spans="1:5" ht="15" customHeight="1" x14ac:dyDescent="0.25">
      <c r="A111" s="17" t="s">
        <v>227</v>
      </c>
      <c r="B111" s="17" t="s">
        <v>228</v>
      </c>
      <c r="C111" s="19" t="s">
        <v>229</v>
      </c>
      <c r="D111" s="28" t="s">
        <v>190</v>
      </c>
    </row>
    <row r="112" spans="1:5" ht="15" customHeight="1" x14ac:dyDescent="0.25">
      <c r="A112" s="17" t="s">
        <v>230</v>
      </c>
      <c r="B112" s="17" t="s">
        <v>231</v>
      </c>
      <c r="C112" s="19" t="s">
        <v>232</v>
      </c>
      <c r="D112" s="28" t="s">
        <v>190</v>
      </c>
    </row>
    <row r="113" spans="1:4" ht="15" customHeight="1" x14ac:dyDescent="0.25">
      <c r="A113" s="17" t="s">
        <v>233</v>
      </c>
      <c r="B113" s="17" t="s">
        <v>234</v>
      </c>
      <c r="C113" s="19" t="s">
        <v>235</v>
      </c>
      <c r="D113" s="28" t="s">
        <v>190</v>
      </c>
    </row>
    <row r="114" spans="1:4" ht="15" customHeight="1" x14ac:dyDescent="0.25">
      <c r="A114" s="17" t="s">
        <v>236</v>
      </c>
      <c r="B114" s="17" t="s">
        <v>237</v>
      </c>
      <c r="C114" s="19" t="s">
        <v>238</v>
      </c>
      <c r="D114" s="28" t="s">
        <v>190</v>
      </c>
    </row>
  </sheetData>
  <mergeCells count="20">
    <mergeCell ref="A75:E75"/>
    <mergeCell ref="A76:E76"/>
    <mergeCell ref="A78:E78"/>
    <mergeCell ref="A87:E87"/>
    <mergeCell ref="A96:E96"/>
    <mergeCell ref="A48:E48"/>
    <mergeCell ref="A55:E55"/>
    <mergeCell ref="A67:E67"/>
    <mergeCell ref="A73:E73"/>
    <mergeCell ref="A74:E74"/>
    <mergeCell ref="A20:E20"/>
    <mergeCell ref="A22:E22"/>
    <mergeCell ref="A31:E31"/>
    <mergeCell ref="A38:E38"/>
    <mergeCell ref="A46:E46"/>
    <mergeCell ref="A1:E1"/>
    <mergeCell ref="A2:E2"/>
    <mergeCell ref="A6:E6"/>
    <mergeCell ref="A12:E12"/>
    <mergeCell ref="A14:E1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8000"/>
  </sheetPr>
  <dimension ref="A1:K54"/>
  <sheetViews>
    <sheetView zoomScaleNormal="100" workbookViewId="0"/>
  </sheetViews>
  <sheetFormatPr baseColWidth="10" defaultColWidth="8.7109375" defaultRowHeight="15" x14ac:dyDescent="0.25"/>
  <cols>
    <col min="1" max="1" width="40" customWidth="1"/>
    <col min="2" max="10" width="16" customWidth="1"/>
    <col min="11" max="11" width="22" customWidth="1"/>
  </cols>
  <sheetData>
    <row r="1" spans="1:11" ht="31.5" customHeight="1" x14ac:dyDescent="0.25">
      <c r="A1" s="12" t="s">
        <v>239</v>
      </c>
      <c r="B1" s="12"/>
      <c r="C1" s="12"/>
      <c r="D1" s="12"/>
      <c r="E1" s="12"/>
      <c r="F1" s="12"/>
      <c r="G1" s="12"/>
      <c r="H1" s="12"/>
      <c r="I1" s="12"/>
      <c r="J1" s="12"/>
    </row>
    <row r="2" spans="1:11" ht="15" customHeight="1" x14ac:dyDescent="0.25">
      <c r="A2" s="11" t="s">
        <v>240</v>
      </c>
      <c r="B2" s="11"/>
      <c r="C2" s="11"/>
      <c r="D2" s="11"/>
      <c r="E2" s="11"/>
      <c r="F2" s="11"/>
      <c r="G2" s="11"/>
      <c r="H2" s="11"/>
      <c r="I2" s="11"/>
      <c r="J2" s="11"/>
    </row>
    <row r="4" spans="1:11" ht="15" customHeight="1" x14ac:dyDescent="0.25">
      <c r="A4" s="16" t="s">
        <v>241</v>
      </c>
      <c r="B4" s="29"/>
      <c r="C4" s="29"/>
      <c r="D4" s="29"/>
      <c r="E4" s="29"/>
      <c r="F4" s="29"/>
      <c r="G4" s="29"/>
      <c r="H4" s="29"/>
      <c r="I4" s="29"/>
      <c r="J4" s="29"/>
    </row>
    <row r="5" spans="1:11" ht="15" customHeight="1" x14ac:dyDescent="0.25">
      <c r="A5" s="30" t="s">
        <v>242</v>
      </c>
      <c r="B5" s="31">
        <f>Assumptions!C7</f>
        <v>8760</v>
      </c>
      <c r="C5" s="14" t="s">
        <v>11</v>
      </c>
    </row>
    <row r="6" spans="1:11" ht="15" customHeight="1" x14ac:dyDescent="0.25">
      <c r="A6" s="30" t="s">
        <v>13</v>
      </c>
      <c r="B6" s="31">
        <f>Assumptions!C8</f>
        <v>3000</v>
      </c>
      <c r="C6" s="14" t="s">
        <v>48</v>
      </c>
    </row>
    <row r="7" spans="1:11" ht="15" customHeight="1" x14ac:dyDescent="0.25">
      <c r="A7" s="30" t="s">
        <v>17</v>
      </c>
      <c r="B7" s="32">
        <f>Assumptions!C9</f>
        <v>0.45</v>
      </c>
      <c r="C7" s="14" t="s">
        <v>243</v>
      </c>
    </row>
    <row r="8" spans="1:11" ht="15" customHeight="1" x14ac:dyDescent="0.25">
      <c r="A8" s="30" t="s">
        <v>244</v>
      </c>
      <c r="B8" s="33">
        <f>Assumptions!C7*0.6*Assumptions!C8/1000000</f>
        <v>15.768000000000001</v>
      </c>
      <c r="C8" s="14" t="s">
        <v>245</v>
      </c>
    </row>
    <row r="10" spans="1:11" ht="15" customHeight="1" x14ac:dyDescent="0.25">
      <c r="A10" s="16" t="s">
        <v>246</v>
      </c>
      <c r="B10" s="29"/>
      <c r="C10" s="29"/>
      <c r="D10" s="29"/>
      <c r="E10" s="29"/>
      <c r="F10" s="29"/>
      <c r="G10" s="29"/>
      <c r="H10" s="29"/>
      <c r="I10" s="29"/>
      <c r="J10" s="29"/>
    </row>
    <row r="11" spans="1:11" ht="15" customHeight="1" x14ac:dyDescent="0.25">
      <c r="A11" s="30"/>
      <c r="B11" s="34" t="s">
        <v>247</v>
      </c>
      <c r="C11" s="34" t="s">
        <v>130</v>
      </c>
      <c r="D11" s="34" t="s">
        <v>132</v>
      </c>
      <c r="E11" s="34" t="s">
        <v>133</v>
      </c>
      <c r="F11" s="34" t="s">
        <v>134</v>
      </c>
      <c r="G11" s="34" t="s">
        <v>248</v>
      </c>
      <c r="H11" s="34" t="s">
        <v>249</v>
      </c>
      <c r="I11" s="34" t="s">
        <v>250</v>
      </c>
      <c r="J11" s="34" t="s">
        <v>251</v>
      </c>
      <c r="K11" s="35" t="s">
        <v>252</v>
      </c>
    </row>
    <row r="12" spans="1:11" ht="15" customHeight="1" x14ac:dyDescent="0.25">
      <c r="A12" s="25" t="s">
        <v>253</v>
      </c>
      <c r="B12" s="36">
        <v>5</v>
      </c>
      <c r="C12" s="36">
        <v>5</v>
      </c>
      <c r="D12" s="36">
        <v>12</v>
      </c>
      <c r="E12" s="36">
        <v>17</v>
      </c>
      <c r="F12" s="36">
        <v>20</v>
      </c>
      <c r="G12" s="36">
        <v>20</v>
      </c>
      <c r="H12" s="36">
        <v>22</v>
      </c>
      <c r="I12" s="36">
        <v>24</v>
      </c>
      <c r="J12" s="36">
        <v>25</v>
      </c>
      <c r="K12" s="18" t="s">
        <v>254</v>
      </c>
    </row>
    <row r="13" spans="1:11" ht="15" customHeight="1" x14ac:dyDescent="0.25">
      <c r="A13" s="25" t="s">
        <v>255</v>
      </c>
      <c r="B13" s="37">
        <v>0.2</v>
      </c>
      <c r="C13" s="37">
        <v>0.375</v>
      </c>
      <c r="D13" s="37">
        <v>0.42499999999999999</v>
      </c>
      <c r="E13" s="37">
        <v>0.47499999999999998</v>
      </c>
      <c r="F13" s="37">
        <v>0.52500000000000002</v>
      </c>
      <c r="G13" s="37">
        <v>0.57499999999999996</v>
      </c>
      <c r="H13" s="37">
        <v>0.6</v>
      </c>
      <c r="I13" s="37">
        <v>0.625</v>
      </c>
      <c r="J13" s="37">
        <v>0.65</v>
      </c>
      <c r="K13" s="18" t="s">
        <v>256</v>
      </c>
    </row>
    <row r="14" spans="1:11" ht="15" customHeight="1" x14ac:dyDescent="0.25">
      <c r="A14" s="17" t="s">
        <v>257</v>
      </c>
      <c r="B14" s="36">
        <v>5</v>
      </c>
      <c r="C14" s="36">
        <v>12</v>
      </c>
      <c r="D14" s="36">
        <v>12</v>
      </c>
      <c r="E14" s="36">
        <v>12</v>
      </c>
      <c r="F14" s="36">
        <v>12</v>
      </c>
      <c r="G14" s="36">
        <v>12</v>
      </c>
      <c r="H14" s="36">
        <v>12</v>
      </c>
      <c r="I14" s="36">
        <v>12</v>
      </c>
      <c r="J14" s="36">
        <v>12</v>
      </c>
      <c r="K14" s="18" t="s">
        <v>258</v>
      </c>
    </row>
    <row r="15" spans="1:11" ht="15" customHeight="1" x14ac:dyDescent="0.25">
      <c r="A15" s="17" t="s">
        <v>259</v>
      </c>
      <c r="B15" s="38">
        <f>Assumptions!$C$7*B13*Assumptions!$C$8/1000000</f>
        <v>5.2560000000000002</v>
      </c>
      <c r="C15" s="38">
        <f>Assumptions!$C$7*C13*Assumptions!$C$8/1000000</f>
        <v>9.8550000000000004</v>
      </c>
      <c r="D15" s="38">
        <f>Assumptions!$C$7*D13*Assumptions!$C$8/1000000</f>
        <v>11.169</v>
      </c>
      <c r="E15" s="38">
        <f>Assumptions!$C$7*E13*Assumptions!$C$8/1000000</f>
        <v>12.483000000000001</v>
      </c>
      <c r="F15" s="38">
        <f>Assumptions!$C$7*F13*Assumptions!$C$8/1000000</f>
        <v>13.797000000000001</v>
      </c>
      <c r="G15" s="38">
        <f>Assumptions!$C$7*G13*Assumptions!$C$8/1000000</f>
        <v>15.111000000000001</v>
      </c>
      <c r="H15" s="38">
        <f>Assumptions!$C$7*H13*Assumptions!$C$8/1000000</f>
        <v>15.768000000000001</v>
      </c>
      <c r="I15" s="38">
        <f>Assumptions!$C$7*I13*Assumptions!$C$8/1000000</f>
        <v>16.425000000000001</v>
      </c>
      <c r="J15" s="38">
        <f>Assumptions!$C$7*J13*Assumptions!$C$8/1000000</f>
        <v>17.082000000000001</v>
      </c>
      <c r="K15" s="18" t="s">
        <v>260</v>
      </c>
    </row>
    <row r="16" spans="1:11" ht="15" customHeight="1" x14ac:dyDescent="0.25">
      <c r="A16" s="17" t="s">
        <v>261</v>
      </c>
      <c r="B16" s="39">
        <f t="shared" ref="B16:J16" si="0">B14/12</f>
        <v>0.41666666666666669</v>
      </c>
      <c r="C16" s="39">
        <f t="shared" si="0"/>
        <v>1</v>
      </c>
      <c r="D16" s="39">
        <f t="shared" si="0"/>
        <v>1</v>
      </c>
      <c r="E16" s="39">
        <f t="shared" si="0"/>
        <v>1</v>
      </c>
      <c r="F16" s="39">
        <f t="shared" si="0"/>
        <v>1</v>
      </c>
      <c r="G16" s="39">
        <f t="shared" si="0"/>
        <v>1</v>
      </c>
      <c r="H16" s="39">
        <f t="shared" si="0"/>
        <v>1</v>
      </c>
      <c r="I16" s="39">
        <f t="shared" si="0"/>
        <v>1</v>
      </c>
      <c r="J16" s="39">
        <f t="shared" si="0"/>
        <v>1</v>
      </c>
      <c r="K16" s="40"/>
    </row>
    <row r="17" spans="1:11" ht="15" customHeight="1" x14ac:dyDescent="0.25">
      <c r="A17" s="41" t="s">
        <v>262</v>
      </c>
      <c r="B17" s="42">
        <f t="shared" ref="B17:J17" si="1">B12*B15*B16</f>
        <v>10.950000000000001</v>
      </c>
      <c r="C17" s="42">
        <f t="shared" si="1"/>
        <v>49.275000000000006</v>
      </c>
      <c r="D17" s="42">
        <f t="shared" si="1"/>
        <v>134.02800000000002</v>
      </c>
      <c r="E17" s="42">
        <f t="shared" si="1"/>
        <v>212.21100000000001</v>
      </c>
      <c r="F17" s="42">
        <f t="shared" si="1"/>
        <v>275.94</v>
      </c>
      <c r="G17" s="42">
        <f t="shared" si="1"/>
        <v>302.22000000000003</v>
      </c>
      <c r="H17" s="42">
        <f t="shared" si="1"/>
        <v>346.89600000000002</v>
      </c>
      <c r="I17" s="42">
        <f t="shared" si="1"/>
        <v>394.20000000000005</v>
      </c>
      <c r="J17" s="42">
        <f t="shared" si="1"/>
        <v>427.05</v>
      </c>
      <c r="K17" s="43" t="s">
        <v>263</v>
      </c>
    </row>
    <row r="19" spans="1:11" ht="15" customHeight="1" x14ac:dyDescent="0.25">
      <c r="A19" s="16" t="s">
        <v>264</v>
      </c>
      <c r="B19" s="29"/>
      <c r="C19" s="29"/>
      <c r="D19" s="29"/>
      <c r="E19" s="29"/>
      <c r="F19" s="29"/>
      <c r="G19" s="29"/>
      <c r="H19" s="29"/>
      <c r="I19" s="29"/>
      <c r="J19" s="29"/>
    </row>
    <row r="20" spans="1:11" ht="15" customHeight="1" x14ac:dyDescent="0.25">
      <c r="A20" s="30"/>
      <c r="B20" s="34" t="s">
        <v>247</v>
      </c>
      <c r="C20" s="34" t="s">
        <v>130</v>
      </c>
      <c r="D20" s="34" t="s">
        <v>132</v>
      </c>
      <c r="E20" s="34" t="s">
        <v>133</v>
      </c>
      <c r="F20" s="34" t="s">
        <v>134</v>
      </c>
      <c r="G20" s="34" t="s">
        <v>248</v>
      </c>
      <c r="H20" s="34" t="s">
        <v>249</v>
      </c>
      <c r="I20" s="34" t="s">
        <v>250</v>
      </c>
      <c r="J20" s="34" t="s">
        <v>251</v>
      </c>
    </row>
    <row r="21" spans="1:11" ht="15" customHeight="1" x14ac:dyDescent="0.25">
      <c r="A21" s="17" t="s">
        <v>265</v>
      </c>
      <c r="B21" s="44">
        <v>10.9</v>
      </c>
      <c r="C21" s="44">
        <v>49.3</v>
      </c>
      <c r="D21" s="44">
        <v>134</v>
      </c>
      <c r="E21" s="44">
        <v>212</v>
      </c>
      <c r="F21" s="44">
        <v>276</v>
      </c>
      <c r="G21" s="44">
        <v>302</v>
      </c>
      <c r="H21" s="44">
        <v>347</v>
      </c>
      <c r="I21" s="44">
        <v>394</v>
      </c>
      <c r="J21" s="44">
        <v>427</v>
      </c>
      <c r="K21" s="40"/>
    </row>
    <row r="22" spans="1:11" ht="15" customHeight="1" x14ac:dyDescent="0.25">
      <c r="A22" s="17" t="s">
        <v>266</v>
      </c>
      <c r="B22" s="38">
        <f t="shared" ref="B22:J22" si="2">B17</f>
        <v>10.950000000000001</v>
      </c>
      <c r="C22" s="38">
        <f t="shared" si="2"/>
        <v>49.275000000000006</v>
      </c>
      <c r="D22" s="38">
        <f t="shared" si="2"/>
        <v>134.02800000000002</v>
      </c>
      <c r="E22" s="38">
        <f t="shared" si="2"/>
        <v>212.21100000000001</v>
      </c>
      <c r="F22" s="38">
        <f t="shared" si="2"/>
        <v>275.94</v>
      </c>
      <c r="G22" s="38">
        <f t="shared" si="2"/>
        <v>302.22000000000003</v>
      </c>
      <c r="H22" s="38">
        <f t="shared" si="2"/>
        <v>346.89600000000002</v>
      </c>
      <c r="I22" s="38">
        <f t="shared" si="2"/>
        <v>394.20000000000005</v>
      </c>
      <c r="J22" s="38">
        <f t="shared" si="2"/>
        <v>427.05</v>
      </c>
      <c r="K22" s="40"/>
    </row>
    <row r="23" spans="1:11" ht="15" customHeight="1" x14ac:dyDescent="0.25">
      <c r="A23" s="17" t="s">
        <v>267</v>
      </c>
      <c r="B23" s="45">
        <f t="shared" ref="B23:J23" si="3">B22-B21</f>
        <v>5.0000000000000711E-2</v>
      </c>
      <c r="C23" s="45">
        <f t="shared" si="3"/>
        <v>-2.4999999999991473E-2</v>
      </c>
      <c r="D23" s="45">
        <f t="shared" si="3"/>
        <v>2.8000000000020009E-2</v>
      </c>
      <c r="E23" s="45">
        <f t="shared" si="3"/>
        <v>0.21100000000001273</v>
      </c>
      <c r="F23" s="45">
        <f t="shared" si="3"/>
        <v>-6.0000000000002274E-2</v>
      </c>
      <c r="G23" s="45">
        <f t="shared" si="3"/>
        <v>0.22000000000002728</v>
      </c>
      <c r="H23" s="45">
        <f t="shared" si="3"/>
        <v>-0.10399999999998499</v>
      </c>
      <c r="I23" s="45">
        <f t="shared" si="3"/>
        <v>0.20000000000004547</v>
      </c>
      <c r="J23" s="45">
        <f t="shared" si="3"/>
        <v>5.0000000000011369E-2</v>
      </c>
      <c r="K23" s="40"/>
    </row>
    <row r="24" spans="1:11" ht="15" customHeight="1" x14ac:dyDescent="0.25">
      <c r="A24" s="17" t="s">
        <v>268</v>
      </c>
      <c r="B24" s="46">
        <f t="shared" ref="B24:J24" si="4">IF(B21=0,0,B23/B21)</f>
        <v>4.5871559633028176E-3</v>
      </c>
      <c r="C24" s="46">
        <f t="shared" si="4"/>
        <v>-5.0709939148055729E-4</v>
      </c>
      <c r="D24" s="46">
        <f t="shared" si="4"/>
        <v>2.0895522388074633E-4</v>
      </c>
      <c r="E24" s="46">
        <f t="shared" si="4"/>
        <v>9.9528301886798467E-4</v>
      </c>
      <c r="F24" s="46">
        <f t="shared" si="4"/>
        <v>-2.1739130434783433E-4</v>
      </c>
      <c r="G24" s="46">
        <f t="shared" si="4"/>
        <v>7.2847682119214329E-4</v>
      </c>
      <c r="H24" s="46">
        <f t="shared" si="4"/>
        <v>-2.9971181556191643E-4</v>
      </c>
      <c r="I24" s="46">
        <f t="shared" si="4"/>
        <v>5.0761421319808493E-4</v>
      </c>
      <c r="J24" s="46">
        <f t="shared" si="4"/>
        <v>1.1709601873538963E-4</v>
      </c>
      <c r="K24" s="40"/>
    </row>
    <row r="26" spans="1:11" ht="15" customHeight="1" x14ac:dyDescent="0.25">
      <c r="A26" s="16" t="s">
        <v>269</v>
      </c>
      <c r="B26" s="29"/>
      <c r="C26" s="29"/>
      <c r="D26" s="29"/>
      <c r="E26" s="29"/>
      <c r="F26" s="29"/>
      <c r="G26" s="29"/>
      <c r="H26" s="29"/>
      <c r="I26" s="29"/>
      <c r="J26" s="29"/>
    </row>
    <row r="27" spans="1:11" ht="15" customHeight="1" x14ac:dyDescent="0.25">
      <c r="A27" s="30"/>
      <c r="B27" s="34" t="s">
        <v>247</v>
      </c>
      <c r="C27" s="34" t="s">
        <v>130</v>
      </c>
      <c r="D27" s="34" t="s">
        <v>132</v>
      </c>
      <c r="E27" s="34" t="s">
        <v>133</v>
      </c>
      <c r="F27" s="34" t="s">
        <v>134</v>
      </c>
      <c r="G27" s="34" t="s">
        <v>248</v>
      </c>
      <c r="H27" s="34" t="s">
        <v>249</v>
      </c>
      <c r="I27" s="34" t="s">
        <v>250</v>
      </c>
      <c r="J27" s="34" t="s">
        <v>251</v>
      </c>
    </row>
    <row r="28" spans="1:11" ht="15" customHeight="1" x14ac:dyDescent="0.25">
      <c r="A28" s="17" t="s">
        <v>270</v>
      </c>
      <c r="B28" s="38">
        <f>B12*Assumptions!$C$7*Assumptions!$C$9*Assumptions!$C$8*B16/1000000</f>
        <v>24.637499999999999</v>
      </c>
      <c r="C28" s="38">
        <f>C12*Assumptions!$C$7*Assumptions!$C$9*Assumptions!$C$8*C16/1000000</f>
        <v>59.13</v>
      </c>
      <c r="D28" s="38">
        <f>D12*Assumptions!$C$7*Assumptions!$C$9*Assumptions!$C$8*D16/1000000</f>
        <v>141.91200000000001</v>
      </c>
      <c r="E28" s="38">
        <f>E12*Assumptions!$C$7*Assumptions!$C$9*Assumptions!$C$8*E16/1000000</f>
        <v>201.042</v>
      </c>
      <c r="F28" s="38">
        <f>F12*Assumptions!$C$7*Assumptions!$C$9*Assumptions!$C$8*F16/1000000</f>
        <v>236.52</v>
      </c>
      <c r="G28" s="38">
        <f>G12*Assumptions!$C$7*Assumptions!$C$9*Assumptions!$C$8*G16/1000000</f>
        <v>236.52</v>
      </c>
      <c r="H28" s="38">
        <f>H12*Assumptions!$C$7*Assumptions!$C$9*Assumptions!$C$8*H16/1000000</f>
        <v>260.17200000000003</v>
      </c>
      <c r="I28" s="38">
        <f>I12*Assumptions!$C$7*Assumptions!$C$9*Assumptions!$C$8*I16/1000000</f>
        <v>283.82400000000001</v>
      </c>
      <c r="J28" s="38">
        <f>J12*Assumptions!$C$7*Assumptions!$C$9*Assumptions!$C$8*J16/1000000</f>
        <v>295.64999999999998</v>
      </c>
      <c r="K28" s="18" t="s">
        <v>271</v>
      </c>
    </row>
    <row r="29" spans="1:11" ht="15" customHeight="1" x14ac:dyDescent="0.25">
      <c r="A29" s="17" t="s">
        <v>272</v>
      </c>
      <c r="B29" s="47">
        <f t="shared" ref="B29:J29" si="5">MAX(0,B17-B28)</f>
        <v>0</v>
      </c>
      <c r="C29" s="47">
        <f t="shared" si="5"/>
        <v>0</v>
      </c>
      <c r="D29" s="47">
        <f t="shared" si="5"/>
        <v>0</v>
      </c>
      <c r="E29" s="47">
        <f t="shared" si="5"/>
        <v>11.169000000000011</v>
      </c>
      <c r="F29" s="47">
        <f t="shared" si="5"/>
        <v>39.419999999999987</v>
      </c>
      <c r="G29" s="47">
        <f t="shared" si="5"/>
        <v>65.700000000000017</v>
      </c>
      <c r="H29" s="47">
        <f t="shared" si="5"/>
        <v>86.72399999999999</v>
      </c>
      <c r="I29" s="47">
        <f t="shared" si="5"/>
        <v>110.37600000000003</v>
      </c>
      <c r="J29" s="47">
        <f t="shared" si="5"/>
        <v>131.40000000000003</v>
      </c>
      <c r="K29" s="40"/>
    </row>
    <row r="30" spans="1:11" ht="15" customHeight="1" x14ac:dyDescent="0.25">
      <c r="A30" s="17" t="s">
        <v>273</v>
      </c>
      <c r="B30" s="48">
        <f>Assumptions!$C$15</f>
        <v>0.13</v>
      </c>
      <c r="C30" s="48">
        <f>Assumptions!$C$15</f>
        <v>0.13</v>
      </c>
      <c r="D30" s="48">
        <f>Assumptions!$C$16</f>
        <v>0.11749999999999999</v>
      </c>
      <c r="E30" s="48">
        <f>Assumptions!$C$17</f>
        <v>0.105</v>
      </c>
      <c r="F30" s="48">
        <f>Assumptions!$C$18</f>
        <v>9.2499999999999999E-2</v>
      </c>
      <c r="G30" s="48">
        <f>Assumptions!$C$19</f>
        <v>0.08</v>
      </c>
      <c r="H30" s="48">
        <f>Assumptions!$C$19</f>
        <v>0.08</v>
      </c>
      <c r="I30" s="48">
        <f>Assumptions!$C$19</f>
        <v>0.08</v>
      </c>
      <c r="J30" s="48">
        <f>Assumptions!$C$19</f>
        <v>0.08</v>
      </c>
      <c r="K30" s="18" t="s">
        <v>274</v>
      </c>
    </row>
    <row r="31" spans="1:11" ht="15" customHeight="1" x14ac:dyDescent="0.25">
      <c r="A31" s="17" t="s">
        <v>275</v>
      </c>
      <c r="B31" s="47">
        <f t="shared" ref="B31:J31" si="6">B29*(1-B30)</f>
        <v>0</v>
      </c>
      <c r="C31" s="47">
        <f t="shared" si="6"/>
        <v>0</v>
      </c>
      <c r="D31" s="47">
        <f t="shared" si="6"/>
        <v>0</v>
      </c>
      <c r="E31" s="47">
        <f t="shared" si="6"/>
        <v>9.9962550000000103</v>
      </c>
      <c r="F31" s="47">
        <f t="shared" si="6"/>
        <v>35.773649999999989</v>
      </c>
      <c r="G31" s="47">
        <f t="shared" si="6"/>
        <v>60.444000000000017</v>
      </c>
      <c r="H31" s="47">
        <f t="shared" si="6"/>
        <v>79.786079999999998</v>
      </c>
      <c r="I31" s="47">
        <f t="shared" si="6"/>
        <v>101.54592000000004</v>
      </c>
      <c r="J31" s="47">
        <f t="shared" si="6"/>
        <v>120.88800000000003</v>
      </c>
      <c r="K31" s="40"/>
    </row>
    <row r="32" spans="1:11" ht="15" customHeight="1" x14ac:dyDescent="0.25">
      <c r="A32" s="25" t="s">
        <v>276</v>
      </c>
      <c r="B32" s="49">
        <f>IF(B13&gt;Assumptions!$C$9,B31*Assumptions!$C$10,0)</f>
        <v>0</v>
      </c>
      <c r="C32" s="49">
        <f>IF(C13&gt;Assumptions!$C$9,C31*Assumptions!$C$10,0)</f>
        <v>0</v>
      </c>
      <c r="D32" s="49">
        <f>IF(D13&gt;Assumptions!$C$9,D31*Assumptions!$C$10,0)</f>
        <v>0</v>
      </c>
      <c r="E32" s="49">
        <f>IF(E13&gt;Assumptions!$C$9,E31*Assumptions!$C$10,0)</f>
        <v>4.9981275000000052</v>
      </c>
      <c r="F32" s="49">
        <f>IF(F13&gt;Assumptions!$C$9,F31*Assumptions!$C$10,0)</f>
        <v>17.886824999999995</v>
      </c>
      <c r="G32" s="49">
        <f>IF(G13&gt;Assumptions!$C$9,G31*Assumptions!$C$10,0)</f>
        <v>30.222000000000008</v>
      </c>
      <c r="H32" s="49">
        <f>IF(H13&gt;Assumptions!$C$9,H31*Assumptions!$C$10,0)</f>
        <v>39.893039999999999</v>
      </c>
      <c r="I32" s="49">
        <f>IF(I13&gt;Assumptions!$C$9,I31*Assumptions!$C$10,0)</f>
        <v>50.772960000000019</v>
      </c>
      <c r="J32" s="49">
        <f>IF(J13&gt;Assumptions!$C$9,J31*Assumptions!$C$10,0)</f>
        <v>60.444000000000017</v>
      </c>
      <c r="K32" s="18" t="s">
        <v>277</v>
      </c>
    </row>
    <row r="33" spans="1:11" ht="15" customHeight="1" x14ac:dyDescent="0.25">
      <c r="A33" s="17" t="s">
        <v>278</v>
      </c>
      <c r="B33" s="44">
        <v>0</v>
      </c>
      <c r="C33" s="44">
        <v>0</v>
      </c>
      <c r="D33" s="44">
        <v>0</v>
      </c>
      <c r="E33" s="44">
        <v>0</v>
      </c>
      <c r="F33" s="44">
        <v>16.399999999999999</v>
      </c>
      <c r="G33" s="44">
        <v>27.3</v>
      </c>
      <c r="H33" s="44">
        <v>42</v>
      </c>
      <c r="I33" s="44">
        <v>57.6</v>
      </c>
      <c r="J33" s="44">
        <v>72</v>
      </c>
      <c r="K33" s="40"/>
    </row>
    <row r="35" spans="1:11" ht="15" customHeight="1" x14ac:dyDescent="0.25">
      <c r="A35" s="16" t="s">
        <v>279</v>
      </c>
      <c r="B35" s="29"/>
      <c r="C35" s="29"/>
      <c r="D35" s="29"/>
      <c r="E35" s="29"/>
      <c r="F35" s="29"/>
      <c r="G35" s="29"/>
      <c r="H35" s="29"/>
      <c r="I35" s="29"/>
      <c r="J35" s="29"/>
    </row>
    <row r="36" spans="1:11" ht="15" customHeight="1" x14ac:dyDescent="0.25">
      <c r="A36" s="50" t="s">
        <v>280</v>
      </c>
      <c r="B36" s="51">
        <f>B17</f>
        <v>10.950000000000001</v>
      </c>
      <c r="C36" s="51">
        <f t="shared" ref="C36:J36" si="7">B36+C17</f>
        <v>60.225000000000009</v>
      </c>
      <c r="D36" s="51">
        <f t="shared" si="7"/>
        <v>194.25300000000004</v>
      </c>
      <c r="E36" s="51">
        <f t="shared" si="7"/>
        <v>406.46400000000006</v>
      </c>
      <c r="F36" s="51">
        <f t="shared" si="7"/>
        <v>682.404</v>
      </c>
      <c r="G36" s="51">
        <f t="shared" si="7"/>
        <v>984.62400000000002</v>
      </c>
      <c r="H36" s="51">
        <f t="shared" si="7"/>
        <v>1331.52</v>
      </c>
      <c r="I36" s="51">
        <f t="shared" si="7"/>
        <v>1725.72</v>
      </c>
      <c r="J36" s="51">
        <f t="shared" si="7"/>
        <v>2152.77</v>
      </c>
      <c r="K36" s="52"/>
    </row>
    <row r="38" spans="1:11" ht="15" customHeight="1" x14ac:dyDescent="0.25">
      <c r="A38" s="16" t="s">
        <v>281</v>
      </c>
      <c r="B38" s="29"/>
      <c r="C38" s="29"/>
      <c r="D38" s="29"/>
      <c r="E38" s="29"/>
      <c r="F38" s="29"/>
      <c r="G38" s="29"/>
      <c r="H38" s="29"/>
      <c r="I38" s="29"/>
      <c r="J38" s="29"/>
    </row>
    <row r="39" spans="1:11" ht="15" customHeight="1" x14ac:dyDescent="0.25">
      <c r="B39" s="34" t="s">
        <v>247</v>
      </c>
      <c r="C39" s="34" t="s">
        <v>130</v>
      </c>
      <c r="D39" s="34" t="s">
        <v>132</v>
      </c>
      <c r="E39" s="34" t="s">
        <v>133</v>
      </c>
      <c r="F39" s="34" t="s">
        <v>134</v>
      </c>
      <c r="G39" s="34" t="s">
        <v>248</v>
      </c>
      <c r="H39" s="34" t="s">
        <v>249</v>
      </c>
      <c r="I39" s="34" t="s">
        <v>250</v>
      </c>
      <c r="J39" s="34" t="s">
        <v>251</v>
      </c>
    </row>
    <row r="40" spans="1:11" ht="15" customHeight="1" x14ac:dyDescent="0.25">
      <c r="A40" s="17" t="s">
        <v>282</v>
      </c>
      <c r="B40" s="53">
        <f t="shared" ref="B40:J40" si="8">IF(B12=0,0,B17/B12)</f>
        <v>2.1900000000000004</v>
      </c>
      <c r="C40" s="53">
        <f t="shared" si="8"/>
        <v>9.8550000000000004</v>
      </c>
      <c r="D40" s="53">
        <f t="shared" si="8"/>
        <v>11.169000000000002</v>
      </c>
      <c r="E40" s="53">
        <f t="shared" si="8"/>
        <v>12.483000000000001</v>
      </c>
      <c r="F40" s="53">
        <f t="shared" si="8"/>
        <v>13.797000000000001</v>
      </c>
      <c r="G40" s="53">
        <f t="shared" si="8"/>
        <v>15.111000000000001</v>
      </c>
      <c r="H40" s="53">
        <f t="shared" si="8"/>
        <v>15.768000000000001</v>
      </c>
      <c r="I40" s="53">
        <f t="shared" si="8"/>
        <v>16.425000000000001</v>
      </c>
      <c r="J40" s="53">
        <f t="shared" si="8"/>
        <v>17.082000000000001</v>
      </c>
      <c r="K40" s="40"/>
    </row>
    <row r="41" spans="1:11" ht="15" customHeight="1" x14ac:dyDescent="0.25">
      <c r="A41" s="17" t="s">
        <v>283</v>
      </c>
      <c r="B41" s="54">
        <f>Assumptions!$C$7*B13*B16</f>
        <v>730</v>
      </c>
      <c r="C41" s="54">
        <f>Assumptions!$C$7*C13*C16</f>
        <v>3285</v>
      </c>
      <c r="D41" s="54">
        <f>Assumptions!$C$7*D13*D16</f>
        <v>3723</v>
      </c>
      <c r="E41" s="54">
        <f>Assumptions!$C$7*E13*E16</f>
        <v>4161</v>
      </c>
      <c r="F41" s="54">
        <f>Assumptions!$C$7*F13*F16</f>
        <v>4599</v>
      </c>
      <c r="G41" s="54">
        <f>Assumptions!$C$7*G13*G16</f>
        <v>5037</v>
      </c>
      <c r="H41" s="54">
        <f>Assumptions!$C$7*H13*H16</f>
        <v>5256</v>
      </c>
      <c r="I41" s="54">
        <f>Assumptions!$C$7*I13*I16</f>
        <v>5475</v>
      </c>
      <c r="J41" s="54">
        <f>Assumptions!$C$7*J13*J16</f>
        <v>5694</v>
      </c>
      <c r="K41" s="40"/>
    </row>
    <row r="42" spans="1:11" ht="15" customHeight="1" x14ac:dyDescent="0.25">
      <c r="A42" s="17" t="s">
        <v>284</v>
      </c>
      <c r="B42" s="54">
        <f>Assumptions!$C$8</f>
        <v>3000</v>
      </c>
      <c r="C42" s="54">
        <f>Assumptions!$C$8</f>
        <v>3000</v>
      </c>
      <c r="D42" s="54">
        <f>Assumptions!$C$8</f>
        <v>3000</v>
      </c>
      <c r="E42" s="54">
        <f>Assumptions!$C$8</f>
        <v>3000</v>
      </c>
      <c r="F42" s="54">
        <f>Assumptions!$C$8</f>
        <v>3000</v>
      </c>
      <c r="G42" s="54">
        <f>Assumptions!$C$8</f>
        <v>3000</v>
      </c>
      <c r="H42" s="54">
        <f>Assumptions!$C$8</f>
        <v>3000</v>
      </c>
      <c r="I42" s="54">
        <f>Assumptions!$C$8</f>
        <v>3000</v>
      </c>
      <c r="J42" s="54">
        <f>Assumptions!$C$8</f>
        <v>3000</v>
      </c>
      <c r="K42" s="18" t="s">
        <v>285</v>
      </c>
    </row>
    <row r="44" spans="1:11" ht="15" customHeight="1" x14ac:dyDescent="0.25">
      <c r="A44" s="16" t="s">
        <v>252</v>
      </c>
      <c r="B44" s="29"/>
      <c r="C44" s="29"/>
      <c r="D44" s="29"/>
      <c r="E44" s="29"/>
      <c r="F44" s="29"/>
      <c r="G44" s="29"/>
      <c r="H44" s="29"/>
      <c r="I44" s="29"/>
      <c r="J44" s="29"/>
    </row>
    <row r="45" spans="1:11" ht="15" customHeight="1" x14ac:dyDescent="0.25">
      <c r="A45" s="11" t="s">
        <v>286</v>
      </c>
      <c r="B45" s="11"/>
      <c r="C45" s="11"/>
      <c r="D45" s="11"/>
      <c r="E45" s="11"/>
      <c r="F45" s="11"/>
      <c r="G45" s="11"/>
      <c r="H45" s="11"/>
      <c r="I45" s="11"/>
      <c r="J45" s="11"/>
    </row>
    <row r="46" spans="1:11" ht="15" customHeight="1" x14ac:dyDescent="0.25">
      <c r="A46" s="11" t="s">
        <v>287</v>
      </c>
      <c r="B46" s="11"/>
      <c r="C46" s="11"/>
      <c r="D46" s="11"/>
      <c r="E46" s="11"/>
      <c r="F46" s="11"/>
      <c r="G46" s="11"/>
      <c r="H46" s="11"/>
      <c r="I46" s="11"/>
      <c r="J46" s="11"/>
    </row>
    <row r="47" spans="1:11" ht="15" customHeight="1" x14ac:dyDescent="0.25">
      <c r="A47" s="11" t="s">
        <v>288</v>
      </c>
      <c r="B47" s="11"/>
      <c r="C47" s="11"/>
      <c r="D47" s="11"/>
      <c r="E47" s="11"/>
      <c r="F47" s="11"/>
      <c r="G47" s="11"/>
      <c r="H47" s="11"/>
      <c r="I47" s="11"/>
      <c r="J47" s="11"/>
    </row>
    <row r="48" spans="1:11" ht="15" customHeight="1" x14ac:dyDescent="0.25">
      <c r="A48" s="11" t="s">
        <v>289</v>
      </c>
      <c r="B48" s="11"/>
      <c r="C48" s="11"/>
      <c r="D48" s="11"/>
      <c r="E48" s="11"/>
      <c r="F48" s="11"/>
      <c r="G48" s="11"/>
      <c r="H48" s="11"/>
      <c r="I48" s="11"/>
      <c r="J48" s="11"/>
    </row>
    <row r="49" spans="1:10" ht="15" customHeight="1" x14ac:dyDescent="0.25">
      <c r="A49" s="11" t="s">
        <v>290</v>
      </c>
      <c r="B49" s="11"/>
      <c r="C49" s="11"/>
      <c r="D49" s="11"/>
      <c r="E49" s="11"/>
      <c r="F49" s="11"/>
      <c r="G49" s="11"/>
      <c r="H49" s="11"/>
      <c r="I49" s="11"/>
      <c r="J49" s="11"/>
    </row>
    <row r="50" spans="1:10" ht="15" customHeight="1" x14ac:dyDescent="0.25">
      <c r="A50" s="11" t="s">
        <v>291</v>
      </c>
      <c r="B50" s="11"/>
      <c r="C50" s="11"/>
      <c r="D50" s="11"/>
      <c r="E50" s="11"/>
      <c r="F50" s="11"/>
      <c r="G50" s="11"/>
      <c r="H50" s="11"/>
      <c r="I50" s="11"/>
      <c r="J50" s="11"/>
    </row>
    <row r="51" spans="1:10" ht="15" customHeight="1" x14ac:dyDescent="0.25">
      <c r="A51" s="11" t="s">
        <v>292</v>
      </c>
      <c r="B51" s="11"/>
      <c r="C51" s="11"/>
      <c r="D51" s="11"/>
      <c r="E51" s="11"/>
      <c r="F51" s="11"/>
      <c r="G51" s="11"/>
      <c r="H51" s="11"/>
      <c r="I51" s="11"/>
      <c r="J51" s="11"/>
    </row>
    <row r="52" spans="1:10" ht="15" customHeight="1" x14ac:dyDescent="0.25">
      <c r="A52" s="11" t="s">
        <v>293</v>
      </c>
      <c r="B52" s="11"/>
      <c r="C52" s="11"/>
      <c r="D52" s="11"/>
      <c r="E52" s="11"/>
      <c r="F52" s="11"/>
      <c r="G52" s="11"/>
      <c r="H52" s="11"/>
      <c r="I52" s="11"/>
      <c r="J52" s="11"/>
    </row>
    <row r="53" spans="1:10" ht="15" customHeight="1" x14ac:dyDescent="0.25">
      <c r="A53" s="11" t="s">
        <v>294</v>
      </c>
      <c r="B53" s="11"/>
      <c r="C53" s="11"/>
      <c r="D53" s="11"/>
      <c r="E53" s="11"/>
      <c r="F53" s="11"/>
      <c r="G53" s="11"/>
      <c r="H53" s="11"/>
      <c r="I53" s="11"/>
      <c r="J53" s="11"/>
    </row>
    <row r="54" spans="1:10" ht="15" customHeight="1" x14ac:dyDescent="0.25">
      <c r="A54" s="11" t="s">
        <v>295</v>
      </c>
      <c r="B54" s="11"/>
      <c r="C54" s="11"/>
      <c r="D54" s="11"/>
      <c r="E54" s="11"/>
      <c r="F54" s="11"/>
      <c r="G54" s="11"/>
      <c r="H54" s="11"/>
      <c r="I54" s="11"/>
      <c r="J54" s="11"/>
    </row>
  </sheetData>
  <mergeCells count="12">
    <mergeCell ref="A53:J53"/>
    <mergeCell ref="A54:J54"/>
    <mergeCell ref="A48:J48"/>
    <mergeCell ref="A49:J49"/>
    <mergeCell ref="A50:J50"/>
    <mergeCell ref="A51:J51"/>
    <mergeCell ref="A52:J52"/>
    <mergeCell ref="A1:J1"/>
    <mergeCell ref="A2:J2"/>
    <mergeCell ref="A45:J45"/>
    <mergeCell ref="A46:J46"/>
    <mergeCell ref="A47:J4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0000"/>
  </sheetPr>
  <dimension ref="A1:K95"/>
  <sheetViews>
    <sheetView zoomScaleNormal="100" workbookViewId="0"/>
  </sheetViews>
  <sheetFormatPr baseColWidth="10" defaultColWidth="8.7109375" defaultRowHeight="15" x14ac:dyDescent="0.25"/>
  <cols>
    <col min="1" max="1" width="42" customWidth="1"/>
    <col min="2" max="10" width="16" customWidth="1"/>
    <col min="11" max="11" width="38" customWidth="1"/>
  </cols>
  <sheetData>
    <row r="1" spans="1:11" ht="31.5" customHeight="1" x14ac:dyDescent="0.25">
      <c r="A1" s="12" t="s">
        <v>296</v>
      </c>
      <c r="B1" s="12"/>
      <c r="C1" s="12"/>
      <c r="D1" s="12"/>
      <c r="E1" s="12"/>
      <c r="F1" s="12"/>
      <c r="G1" s="12"/>
      <c r="H1" s="12"/>
      <c r="I1" s="12"/>
      <c r="J1" s="12"/>
    </row>
    <row r="2" spans="1:11" ht="15" customHeight="1" x14ac:dyDescent="0.25">
      <c r="A2" s="11" t="s">
        <v>297</v>
      </c>
      <c r="B2" s="11"/>
      <c r="C2" s="11"/>
      <c r="D2" s="11"/>
      <c r="E2" s="11"/>
      <c r="F2" s="11"/>
      <c r="G2" s="11"/>
      <c r="H2" s="11"/>
      <c r="I2" s="11"/>
      <c r="J2" s="11"/>
    </row>
    <row r="4" spans="1:11" ht="15" customHeight="1" x14ac:dyDescent="0.25">
      <c r="A4" s="10" t="s">
        <v>298</v>
      </c>
      <c r="B4" s="10"/>
      <c r="C4" s="10"/>
      <c r="D4" s="10"/>
      <c r="E4" s="10"/>
      <c r="F4" s="10"/>
      <c r="G4" s="10"/>
      <c r="H4" s="10"/>
      <c r="I4" s="10"/>
      <c r="J4" s="10"/>
    </row>
    <row r="5" spans="1:11" ht="15" customHeight="1" x14ac:dyDescent="0.25">
      <c r="B5" s="34" t="s">
        <v>247</v>
      </c>
      <c r="C5" s="34" t="s">
        <v>130</v>
      </c>
      <c r="D5" s="34" t="s">
        <v>132</v>
      </c>
      <c r="E5" s="34" t="s">
        <v>133</v>
      </c>
      <c r="F5" s="34" t="s">
        <v>134</v>
      </c>
      <c r="G5" s="34" t="s">
        <v>248</v>
      </c>
      <c r="H5" s="34" t="s">
        <v>249</v>
      </c>
      <c r="I5" s="34" t="s">
        <v>250</v>
      </c>
      <c r="J5" s="34" t="s">
        <v>251</v>
      </c>
      <c r="K5" s="35" t="s">
        <v>252</v>
      </c>
    </row>
    <row r="6" spans="1:11" ht="15" customHeight="1" x14ac:dyDescent="0.25">
      <c r="A6" s="25" t="s">
        <v>253</v>
      </c>
      <c r="B6" s="54">
        <f>Revenue!B12</f>
        <v>5</v>
      </c>
      <c r="C6" s="54">
        <f>Revenue!C12</f>
        <v>5</v>
      </c>
      <c r="D6" s="54">
        <f>Revenue!D12</f>
        <v>12</v>
      </c>
      <c r="E6" s="54">
        <f>Revenue!E12</f>
        <v>17</v>
      </c>
      <c r="F6" s="54">
        <f>Revenue!F12</f>
        <v>20</v>
      </c>
      <c r="G6" s="54">
        <f>Revenue!G12</f>
        <v>20</v>
      </c>
      <c r="H6" s="54">
        <f>Revenue!H12</f>
        <v>22</v>
      </c>
      <c r="I6" s="54">
        <f>Revenue!I12</f>
        <v>24</v>
      </c>
      <c r="J6" s="54">
        <f>Revenue!J12</f>
        <v>25</v>
      </c>
      <c r="K6" s="18" t="s">
        <v>299</v>
      </c>
    </row>
    <row r="7" spans="1:11" ht="15" customHeight="1" x14ac:dyDescent="0.25">
      <c r="A7" s="17" t="s">
        <v>300</v>
      </c>
      <c r="B7" s="55">
        <v>5</v>
      </c>
      <c r="C7" s="55">
        <v>5</v>
      </c>
      <c r="D7" s="55">
        <v>10</v>
      </c>
      <c r="E7" s="55">
        <v>17</v>
      </c>
      <c r="F7" s="55">
        <v>20</v>
      </c>
      <c r="G7" s="55">
        <v>20</v>
      </c>
      <c r="H7" s="55">
        <v>22</v>
      </c>
      <c r="I7" s="55">
        <v>24</v>
      </c>
      <c r="J7" s="55">
        <v>25</v>
      </c>
      <c r="K7" s="18" t="s">
        <v>301</v>
      </c>
    </row>
    <row r="8" spans="1:11" ht="15" customHeight="1" x14ac:dyDescent="0.25">
      <c r="A8" s="17" t="s">
        <v>255</v>
      </c>
      <c r="B8" s="56">
        <f>Revenue!B13</f>
        <v>0.2</v>
      </c>
      <c r="C8" s="56">
        <f>Revenue!C13</f>
        <v>0.375</v>
      </c>
      <c r="D8" s="56">
        <f>Revenue!D13</f>
        <v>0.42499999999999999</v>
      </c>
      <c r="E8" s="56">
        <f>Revenue!E13</f>
        <v>0.47499999999999998</v>
      </c>
      <c r="F8" s="56">
        <f>Revenue!F13</f>
        <v>0.52500000000000002</v>
      </c>
      <c r="G8" s="56">
        <f>Revenue!G13</f>
        <v>0.57499999999999996</v>
      </c>
      <c r="H8" s="56">
        <f>Revenue!H13</f>
        <v>0.6</v>
      </c>
      <c r="I8" s="56">
        <f>Revenue!I13</f>
        <v>0.625</v>
      </c>
      <c r="J8" s="56">
        <f>Revenue!J13</f>
        <v>0.65</v>
      </c>
      <c r="K8" s="18" t="s">
        <v>299</v>
      </c>
    </row>
    <row r="9" spans="1:11" ht="15" customHeight="1" x14ac:dyDescent="0.25">
      <c r="A9" s="17" t="s">
        <v>261</v>
      </c>
      <c r="B9" s="57">
        <f>Revenue!B16</f>
        <v>0.41666666666666669</v>
      </c>
      <c r="C9" s="57">
        <f>Revenue!C16</f>
        <v>1</v>
      </c>
      <c r="D9" s="57">
        <f>Revenue!D16</f>
        <v>1</v>
      </c>
      <c r="E9" s="57">
        <f>Revenue!E16</f>
        <v>1</v>
      </c>
      <c r="F9" s="57">
        <f>Revenue!F16</f>
        <v>1</v>
      </c>
      <c r="G9" s="57">
        <f>Revenue!G16</f>
        <v>1</v>
      </c>
      <c r="H9" s="57">
        <f>Revenue!H16</f>
        <v>1</v>
      </c>
      <c r="I9" s="57">
        <f>Revenue!I16</f>
        <v>1</v>
      </c>
      <c r="J9" s="57">
        <f>Revenue!J16</f>
        <v>1</v>
      </c>
      <c r="K9" s="40"/>
    </row>
    <row r="10" spans="1:11" ht="15" customHeight="1" x14ac:dyDescent="0.25">
      <c r="A10" s="17" t="s">
        <v>302</v>
      </c>
      <c r="B10" s="55">
        <v>6</v>
      </c>
      <c r="C10" s="55">
        <v>6</v>
      </c>
      <c r="D10" s="55">
        <v>10</v>
      </c>
      <c r="E10" s="55">
        <v>13</v>
      </c>
      <c r="F10" s="55">
        <v>16</v>
      </c>
      <c r="G10" s="55">
        <v>16</v>
      </c>
      <c r="H10" s="55">
        <v>18</v>
      </c>
      <c r="I10" s="55">
        <v>19</v>
      </c>
      <c r="J10" s="55">
        <v>20</v>
      </c>
      <c r="K10" s="18" t="s">
        <v>303</v>
      </c>
    </row>
    <row r="11" spans="1:11" ht="15" customHeight="1" x14ac:dyDescent="0.25">
      <c r="A11" s="17" t="s">
        <v>273</v>
      </c>
      <c r="B11" s="48">
        <f>Revenue!B30</f>
        <v>0.13</v>
      </c>
      <c r="C11" s="48">
        <f>Revenue!C30</f>
        <v>0.13</v>
      </c>
      <c r="D11" s="48">
        <f>Revenue!D30</f>
        <v>0.11749999999999999</v>
      </c>
      <c r="E11" s="48">
        <f>Revenue!E30</f>
        <v>0.105</v>
      </c>
      <c r="F11" s="48">
        <f>Revenue!F30</f>
        <v>9.2499999999999999E-2</v>
      </c>
      <c r="G11" s="48">
        <f>Revenue!G30</f>
        <v>0.08</v>
      </c>
      <c r="H11" s="48">
        <f>Revenue!H30</f>
        <v>0.08</v>
      </c>
      <c r="I11" s="48">
        <f>Revenue!I30</f>
        <v>0.08</v>
      </c>
      <c r="J11" s="48">
        <f>Revenue!J30</f>
        <v>0.08</v>
      </c>
      <c r="K11" s="18" t="s">
        <v>304</v>
      </c>
    </row>
    <row r="12" spans="1:11" ht="15" customHeight="1" x14ac:dyDescent="0.25">
      <c r="A12" s="17" t="s">
        <v>305</v>
      </c>
      <c r="B12" s="55">
        <v>5</v>
      </c>
      <c r="C12" s="55">
        <v>5</v>
      </c>
      <c r="D12" s="55">
        <v>5</v>
      </c>
      <c r="E12" s="55">
        <v>5</v>
      </c>
      <c r="F12" s="55">
        <v>5</v>
      </c>
      <c r="G12" s="55">
        <v>5</v>
      </c>
      <c r="H12" s="55">
        <v>5</v>
      </c>
      <c r="I12" s="55">
        <v>5</v>
      </c>
      <c r="J12" s="55">
        <v>5</v>
      </c>
      <c r="K12" s="18" t="s">
        <v>306</v>
      </c>
    </row>
    <row r="13" spans="1:11" ht="15" customHeight="1" x14ac:dyDescent="0.25">
      <c r="A13" s="17" t="s">
        <v>307</v>
      </c>
      <c r="B13" s="55">
        <v>0</v>
      </c>
      <c r="C13" s="55">
        <v>0</v>
      </c>
      <c r="D13" s="55">
        <v>5</v>
      </c>
      <c r="E13" s="55">
        <v>12</v>
      </c>
      <c r="F13" s="55">
        <v>15</v>
      </c>
      <c r="G13" s="55">
        <v>15</v>
      </c>
      <c r="H13" s="55">
        <v>17</v>
      </c>
      <c r="I13" s="55">
        <v>19</v>
      </c>
      <c r="J13" s="55">
        <v>20</v>
      </c>
      <c r="K13" s="18" t="s">
        <v>308</v>
      </c>
    </row>
    <row r="15" spans="1:11" ht="15" customHeight="1" x14ac:dyDescent="0.25">
      <c r="A15" s="10" t="s">
        <v>309</v>
      </c>
      <c r="B15" s="10"/>
      <c r="C15" s="10"/>
      <c r="D15" s="10"/>
      <c r="E15" s="10"/>
      <c r="F15" s="10"/>
      <c r="G15" s="10"/>
      <c r="H15" s="10"/>
      <c r="I15" s="10"/>
      <c r="J15" s="10"/>
    </row>
    <row r="16" spans="1:11" ht="15" customHeight="1" x14ac:dyDescent="0.25">
      <c r="B16" s="34" t="s">
        <v>247</v>
      </c>
      <c r="C16" s="34" t="s">
        <v>130</v>
      </c>
      <c r="D16" s="34" t="s">
        <v>132</v>
      </c>
      <c r="E16" s="34" t="s">
        <v>133</v>
      </c>
      <c r="F16" s="34" t="s">
        <v>134</v>
      </c>
      <c r="G16" s="34" t="s">
        <v>248</v>
      </c>
      <c r="H16" s="34" t="s">
        <v>249</v>
      </c>
      <c r="I16" s="34" t="s">
        <v>250</v>
      </c>
      <c r="J16" s="34" t="s">
        <v>251</v>
      </c>
      <c r="K16" s="35" t="s">
        <v>252</v>
      </c>
    </row>
    <row r="17" spans="1:11" ht="15" customHeight="1" x14ac:dyDescent="0.25">
      <c r="A17" s="58" t="s">
        <v>310</v>
      </c>
      <c r="B17" s="59">
        <f>Revenue!B17</f>
        <v>10.950000000000001</v>
      </c>
      <c r="C17" s="59">
        <f>Revenue!C17</f>
        <v>49.275000000000006</v>
      </c>
      <c r="D17" s="59">
        <f>Revenue!D17</f>
        <v>134.02800000000002</v>
      </c>
      <c r="E17" s="59">
        <f>Revenue!E17</f>
        <v>212.21100000000001</v>
      </c>
      <c r="F17" s="59">
        <f>Revenue!F17</f>
        <v>275.94</v>
      </c>
      <c r="G17" s="59">
        <f>Revenue!G17</f>
        <v>302.22000000000003</v>
      </c>
      <c r="H17" s="59">
        <f>Revenue!H17</f>
        <v>346.89600000000002</v>
      </c>
      <c r="I17" s="59">
        <f>Revenue!I17</f>
        <v>394.20000000000005</v>
      </c>
      <c r="J17" s="59">
        <f>Revenue!J17</f>
        <v>427.05</v>
      </c>
      <c r="K17" s="60" t="s">
        <v>299</v>
      </c>
    </row>
    <row r="19" spans="1:11" ht="15" customHeight="1" x14ac:dyDescent="0.25">
      <c r="A19" s="10" t="s">
        <v>311</v>
      </c>
      <c r="B19" s="10"/>
      <c r="C19" s="10"/>
      <c r="D19" s="10"/>
      <c r="E19" s="10"/>
      <c r="F19" s="10"/>
      <c r="G19" s="10"/>
      <c r="H19" s="10"/>
      <c r="I19" s="10"/>
      <c r="J19" s="10"/>
    </row>
    <row r="20" spans="1:11" ht="15" customHeight="1" x14ac:dyDescent="0.25">
      <c r="B20" s="34" t="s">
        <v>247</v>
      </c>
      <c r="C20" s="34" t="s">
        <v>130</v>
      </c>
      <c r="D20" s="34" t="s">
        <v>132</v>
      </c>
      <c r="E20" s="34" t="s">
        <v>133</v>
      </c>
      <c r="F20" s="34" t="s">
        <v>134</v>
      </c>
      <c r="G20" s="34" t="s">
        <v>248</v>
      </c>
      <c r="H20" s="34" t="s">
        <v>249</v>
      </c>
      <c r="I20" s="34" t="s">
        <v>250</v>
      </c>
      <c r="J20" s="34" t="s">
        <v>251</v>
      </c>
      <c r="K20" s="35" t="s">
        <v>252</v>
      </c>
    </row>
    <row r="21" spans="1:11" ht="15" customHeight="1" x14ac:dyDescent="0.25">
      <c r="A21" s="17" t="s">
        <v>312</v>
      </c>
      <c r="B21" s="45">
        <f t="shared" ref="B21:J21" si="0">-B17*B11</f>
        <v>-1.4235000000000002</v>
      </c>
      <c r="C21" s="45">
        <f t="shared" si="0"/>
        <v>-6.4057500000000012</v>
      </c>
      <c r="D21" s="45">
        <f t="shared" si="0"/>
        <v>-15.748290000000001</v>
      </c>
      <c r="E21" s="45">
        <f t="shared" si="0"/>
        <v>-22.282154999999999</v>
      </c>
      <c r="F21" s="45">
        <f t="shared" si="0"/>
        <v>-25.524449999999998</v>
      </c>
      <c r="G21" s="45">
        <f t="shared" si="0"/>
        <v>-24.177600000000002</v>
      </c>
      <c r="H21" s="45">
        <f t="shared" si="0"/>
        <v>-27.75168</v>
      </c>
      <c r="I21" s="45">
        <f t="shared" si="0"/>
        <v>-31.536000000000005</v>
      </c>
      <c r="J21" s="45">
        <f t="shared" si="0"/>
        <v>-34.164000000000001</v>
      </c>
      <c r="K21" s="18" t="s">
        <v>313</v>
      </c>
    </row>
    <row r="23" spans="1:11" ht="15" customHeight="1" x14ac:dyDescent="0.25">
      <c r="A23" s="10" t="s">
        <v>314</v>
      </c>
      <c r="B23" s="10"/>
      <c r="C23" s="10"/>
      <c r="D23" s="10"/>
      <c r="E23" s="10"/>
      <c r="F23" s="10"/>
      <c r="G23" s="10"/>
      <c r="H23" s="10"/>
      <c r="I23" s="10"/>
      <c r="J23" s="10"/>
    </row>
    <row r="24" spans="1:11" ht="15" customHeight="1" x14ac:dyDescent="0.25">
      <c r="B24" s="34" t="s">
        <v>247</v>
      </c>
      <c r="C24" s="34" t="s">
        <v>130</v>
      </c>
      <c r="D24" s="34" t="s">
        <v>132</v>
      </c>
      <c r="E24" s="34" t="s">
        <v>133</v>
      </c>
      <c r="F24" s="34" t="s">
        <v>134</v>
      </c>
      <c r="G24" s="34" t="s">
        <v>248</v>
      </c>
      <c r="H24" s="34" t="s">
        <v>249</v>
      </c>
      <c r="I24" s="34" t="s">
        <v>250</v>
      </c>
      <c r="J24" s="34" t="s">
        <v>251</v>
      </c>
      <c r="K24" s="35" t="s">
        <v>252</v>
      </c>
    </row>
    <row r="25" spans="1:11" ht="15" customHeight="1" x14ac:dyDescent="0.25">
      <c r="A25" s="17" t="s">
        <v>315</v>
      </c>
      <c r="B25" s="61">
        <f>-B10*Assumptions!$C$52*B9/1000000</f>
        <v>-2.75</v>
      </c>
      <c r="C25" s="61">
        <f>-C10*Assumptions!$C$52*C9/1000000</f>
        <v>-6.6</v>
      </c>
      <c r="D25" s="61">
        <f>-D10*Assumptions!$C$52*D9/1000000</f>
        <v>-11</v>
      </c>
      <c r="E25" s="61">
        <f>-E10*Assumptions!$C$52*E9/1000000</f>
        <v>-14.3</v>
      </c>
      <c r="F25" s="61">
        <f>-F10*Assumptions!$C$52*F9/1000000</f>
        <v>-17.600000000000001</v>
      </c>
      <c r="G25" s="61">
        <f>-G10*Assumptions!$C$52*G9/1000000</f>
        <v>-17.600000000000001</v>
      </c>
      <c r="H25" s="61">
        <f>-H10*Assumptions!$C$52*H9/1000000</f>
        <v>-19.8</v>
      </c>
      <c r="I25" s="61">
        <f>-I10*Assumptions!$C$52*I9/1000000</f>
        <v>-20.9</v>
      </c>
      <c r="J25" s="61">
        <f>-J10*Assumptions!$C$52*J9/1000000</f>
        <v>-22</v>
      </c>
      <c r="K25" s="18" t="s">
        <v>316</v>
      </c>
    </row>
    <row r="26" spans="1:11" ht="15" customHeight="1" x14ac:dyDescent="0.25">
      <c r="A26" s="17" t="s">
        <v>317</v>
      </c>
      <c r="B26" s="61">
        <f>-Assumptions!$C$51*Assumptions!$C$53*B9/1000000</f>
        <v>-2.3333333333333335</v>
      </c>
      <c r="C26" s="61">
        <f>-Assumptions!$C$51*Assumptions!$C$53*C9/1000000</f>
        <v>-5.6</v>
      </c>
      <c r="D26" s="61">
        <f>-Assumptions!$C$51*Assumptions!$C$53*D9/1000000</f>
        <v>-5.6</v>
      </c>
      <c r="E26" s="61">
        <f>-Assumptions!$C$51*Assumptions!$C$53*E9/1000000</f>
        <v>-5.6</v>
      </c>
      <c r="F26" s="61">
        <f>-Assumptions!$C$51*Assumptions!$C$53*F9/1000000</f>
        <v>-5.6</v>
      </c>
      <c r="G26" s="61">
        <f>-Assumptions!$C$51*Assumptions!$C$53*G9/1000000</f>
        <v>-5.6</v>
      </c>
      <c r="H26" s="61">
        <f>-Assumptions!$C$51*Assumptions!$C$53*H9/1000000</f>
        <v>-5.6</v>
      </c>
      <c r="I26" s="61">
        <f>-Assumptions!$C$51*Assumptions!$C$53*I9/1000000</f>
        <v>-5.6</v>
      </c>
      <c r="J26" s="61">
        <f>-Assumptions!$C$51*Assumptions!$C$53*J9/1000000</f>
        <v>-5.6</v>
      </c>
      <c r="K26" s="18" t="s">
        <v>318</v>
      </c>
    </row>
    <row r="27" spans="1:11" ht="15" customHeight="1" x14ac:dyDescent="0.25">
      <c r="A27" s="62" t="s">
        <v>319</v>
      </c>
      <c r="B27" s="63">
        <f t="shared" ref="B27:J27" si="1">B25+B26</f>
        <v>-5.0833333333333339</v>
      </c>
      <c r="C27" s="63">
        <f t="shared" si="1"/>
        <v>-12.2</v>
      </c>
      <c r="D27" s="63">
        <f t="shared" si="1"/>
        <v>-16.600000000000001</v>
      </c>
      <c r="E27" s="63">
        <f t="shared" si="1"/>
        <v>-19.899999999999999</v>
      </c>
      <c r="F27" s="63">
        <f t="shared" si="1"/>
        <v>-23.200000000000003</v>
      </c>
      <c r="G27" s="63">
        <f t="shared" si="1"/>
        <v>-23.200000000000003</v>
      </c>
      <c r="H27" s="63">
        <f t="shared" si="1"/>
        <v>-25.4</v>
      </c>
      <c r="I27" s="63">
        <f t="shared" si="1"/>
        <v>-26.5</v>
      </c>
      <c r="J27" s="63">
        <f t="shared" si="1"/>
        <v>-27.6</v>
      </c>
      <c r="K27" s="60" t="s">
        <v>320</v>
      </c>
    </row>
    <row r="29" spans="1:11" ht="15" customHeight="1" x14ac:dyDescent="0.25">
      <c r="A29" s="10" t="s">
        <v>321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1:11" ht="15" customHeight="1" x14ac:dyDescent="0.25">
      <c r="B30" s="34" t="s">
        <v>247</v>
      </c>
      <c r="C30" s="34" t="s">
        <v>130</v>
      </c>
      <c r="D30" s="34" t="s">
        <v>132</v>
      </c>
      <c r="E30" s="34" t="s">
        <v>133</v>
      </c>
      <c r="F30" s="34" t="s">
        <v>134</v>
      </c>
      <c r="G30" s="34" t="s">
        <v>248</v>
      </c>
      <c r="H30" s="34" t="s">
        <v>249</v>
      </c>
      <c r="I30" s="34" t="s">
        <v>250</v>
      </c>
      <c r="J30" s="34" t="s">
        <v>251</v>
      </c>
      <c r="K30" s="35" t="s">
        <v>252</v>
      </c>
    </row>
    <row r="31" spans="1:11" ht="15" customHeight="1" x14ac:dyDescent="0.25">
      <c r="A31" s="17" t="s">
        <v>322</v>
      </c>
      <c r="B31" s="61">
        <f>-B7*Assumptions!$C$25*B9/1000000</f>
        <v>-2.604166666666667</v>
      </c>
      <c r="C31" s="61">
        <f>-C7*Assumptions!$C$25*C9/1000000</f>
        <v>-6.25</v>
      </c>
      <c r="D31" s="61">
        <f>-D7*Assumptions!$C$25*D9/1000000</f>
        <v>-12.5</v>
      </c>
      <c r="E31" s="61">
        <f>-E7*Assumptions!$C$25*E9/1000000</f>
        <v>-21.25</v>
      </c>
      <c r="F31" s="61">
        <f>-F7*Assumptions!$C$25*F9/1000000</f>
        <v>-25</v>
      </c>
      <c r="G31" s="61">
        <f>-G7*Assumptions!$C$25*G9/1000000</f>
        <v>-25</v>
      </c>
      <c r="H31" s="61">
        <f>-H7*Assumptions!$C$25*H9/1000000</f>
        <v>-27.5</v>
      </c>
      <c r="I31" s="61">
        <f>-I7*Assumptions!$C$25*I9/1000000</f>
        <v>-30</v>
      </c>
      <c r="J31" s="61">
        <f>-J7*Assumptions!$C$25*J9/1000000</f>
        <v>-31.25</v>
      </c>
      <c r="K31" s="18" t="s">
        <v>323</v>
      </c>
    </row>
    <row r="32" spans="1:11" ht="15" customHeight="1" x14ac:dyDescent="0.25">
      <c r="A32" s="17" t="s">
        <v>324</v>
      </c>
      <c r="B32" s="61">
        <f>-Assumptions!$C$71*B9/1000000</f>
        <v>-0.44791666666666669</v>
      </c>
      <c r="C32" s="61">
        <f>-Assumptions!$C$71*C9/1000000</f>
        <v>-1.075</v>
      </c>
      <c r="D32" s="61">
        <f>-Assumptions!$C$71*D9/1000000</f>
        <v>-1.075</v>
      </c>
      <c r="E32" s="61">
        <f>-Assumptions!$C$71*E9/1000000</f>
        <v>-1.075</v>
      </c>
      <c r="F32" s="61">
        <f>-Assumptions!$C$71*F9/1000000</f>
        <v>-1.075</v>
      </c>
      <c r="G32" s="61">
        <f>-Assumptions!$C$71*G9/1000000</f>
        <v>-1.075</v>
      </c>
      <c r="H32" s="61">
        <f>-Assumptions!$C$71*H9/1000000</f>
        <v>-1.075</v>
      </c>
      <c r="I32" s="61">
        <f>-Assumptions!$C$71*I9/1000000</f>
        <v>-1.075</v>
      </c>
      <c r="J32" s="61">
        <f>-Assumptions!$C$71*J9/1000000</f>
        <v>-1.075</v>
      </c>
      <c r="K32" s="18" t="s">
        <v>325</v>
      </c>
    </row>
    <row r="33" spans="1:11" ht="15" customHeight="1" x14ac:dyDescent="0.25">
      <c r="A33" s="62" t="s">
        <v>326</v>
      </c>
      <c r="B33" s="63">
        <f t="shared" ref="B33:J33" si="2">B31+B32</f>
        <v>-3.0520833333333335</v>
      </c>
      <c r="C33" s="63">
        <f t="shared" si="2"/>
        <v>-7.3250000000000002</v>
      </c>
      <c r="D33" s="63">
        <f t="shared" si="2"/>
        <v>-13.574999999999999</v>
      </c>
      <c r="E33" s="63">
        <f t="shared" si="2"/>
        <v>-22.324999999999999</v>
      </c>
      <c r="F33" s="63">
        <f t="shared" si="2"/>
        <v>-26.074999999999999</v>
      </c>
      <c r="G33" s="63">
        <f t="shared" si="2"/>
        <v>-26.074999999999999</v>
      </c>
      <c r="H33" s="63">
        <f t="shared" si="2"/>
        <v>-28.574999999999999</v>
      </c>
      <c r="I33" s="63">
        <f t="shared" si="2"/>
        <v>-31.074999999999999</v>
      </c>
      <c r="J33" s="63">
        <f t="shared" si="2"/>
        <v>-32.325000000000003</v>
      </c>
      <c r="K33" s="60" t="s">
        <v>327</v>
      </c>
    </row>
    <row r="35" spans="1:11" ht="15" customHeight="1" x14ac:dyDescent="0.25">
      <c r="A35" s="10" t="s">
        <v>328</v>
      </c>
      <c r="B35" s="10"/>
      <c r="C35" s="10"/>
      <c r="D35" s="10"/>
      <c r="E35" s="10"/>
      <c r="F35" s="10"/>
      <c r="G35" s="10"/>
      <c r="H35" s="10"/>
      <c r="I35" s="10"/>
      <c r="J35" s="10"/>
    </row>
    <row r="36" spans="1:11" ht="15" customHeight="1" x14ac:dyDescent="0.25">
      <c r="B36" s="34" t="s">
        <v>247</v>
      </c>
      <c r="C36" s="34" t="s">
        <v>130</v>
      </c>
      <c r="D36" s="34" t="s">
        <v>132</v>
      </c>
      <c r="E36" s="34" t="s">
        <v>133</v>
      </c>
      <c r="F36" s="34" t="s">
        <v>134</v>
      </c>
      <c r="G36" s="34" t="s">
        <v>248</v>
      </c>
      <c r="H36" s="34" t="s">
        <v>249</v>
      </c>
      <c r="I36" s="34" t="s">
        <v>250</v>
      </c>
      <c r="J36" s="34" t="s">
        <v>251</v>
      </c>
      <c r="K36" s="35" t="s">
        <v>252</v>
      </c>
    </row>
    <row r="37" spans="1:11" ht="15" customHeight="1" x14ac:dyDescent="0.25">
      <c r="A37" s="17" t="s">
        <v>329</v>
      </c>
      <c r="B37" s="38">
        <f>(B12*Assumptions!$C$27+4300000)/1000000</f>
        <v>29.3</v>
      </c>
      <c r="C37" s="38">
        <f>(C12*Assumptions!$C$27+4300000)/1000000</f>
        <v>29.3</v>
      </c>
      <c r="D37" s="38">
        <f>(D12*Assumptions!$C$27+4300000)/1000000</f>
        <v>29.3</v>
      </c>
      <c r="E37" s="38">
        <f>(E12*Assumptions!$C$27+4300000)/1000000</f>
        <v>29.3</v>
      </c>
      <c r="F37" s="38">
        <f>(F12*Assumptions!$C$27+4300000)/1000000</f>
        <v>29.3</v>
      </c>
      <c r="G37" s="38">
        <f>(G12*Assumptions!$C$27+4300000)/1000000</f>
        <v>29.3</v>
      </c>
      <c r="H37" s="38">
        <f>(H12*Assumptions!$C$27+4300000)/1000000</f>
        <v>29.3</v>
      </c>
      <c r="I37" s="38">
        <f>(I12*Assumptions!$C$27+4300000)/1000000</f>
        <v>29.3</v>
      </c>
      <c r="J37" s="38">
        <f>(J12*Assumptions!$C$27+4300000)/1000000</f>
        <v>29.3</v>
      </c>
      <c r="K37" s="18" t="s">
        <v>330</v>
      </c>
    </row>
    <row r="38" spans="1:11" ht="15" customHeight="1" x14ac:dyDescent="0.25">
      <c r="A38" s="17" t="s">
        <v>331</v>
      </c>
      <c r="B38" s="38">
        <f>B13*Assumptions!$C$28/1000000</f>
        <v>0</v>
      </c>
      <c r="C38" s="38">
        <f>C13*Assumptions!$C$28/1000000</f>
        <v>0</v>
      </c>
      <c r="D38" s="38">
        <f>D13*Assumptions!$C$28/1000000</f>
        <v>35</v>
      </c>
      <c r="E38" s="38">
        <f>E13*Assumptions!$C$28/1000000</f>
        <v>84</v>
      </c>
      <c r="F38" s="38">
        <f>F13*Assumptions!$C$28/1000000</f>
        <v>105</v>
      </c>
      <c r="G38" s="38">
        <f>G13*Assumptions!$C$28/1000000</f>
        <v>105</v>
      </c>
      <c r="H38" s="38">
        <f>H13*Assumptions!$C$28/1000000</f>
        <v>119</v>
      </c>
      <c r="I38" s="38">
        <f>I13*Assumptions!$C$28/1000000</f>
        <v>133</v>
      </c>
      <c r="J38" s="38">
        <f>J13*Assumptions!$C$28/1000000</f>
        <v>140</v>
      </c>
      <c r="K38" s="18" t="s">
        <v>332</v>
      </c>
    </row>
    <row r="39" spans="1:11" ht="15" customHeight="1" x14ac:dyDescent="0.25">
      <c r="A39" s="25" t="s">
        <v>333</v>
      </c>
      <c r="B39" s="47">
        <f t="shared" ref="B39:J39" si="3">B37+B38</f>
        <v>29.3</v>
      </c>
      <c r="C39" s="47">
        <f t="shared" si="3"/>
        <v>29.3</v>
      </c>
      <c r="D39" s="47">
        <f t="shared" si="3"/>
        <v>64.3</v>
      </c>
      <c r="E39" s="47">
        <f t="shared" si="3"/>
        <v>113.3</v>
      </c>
      <c r="F39" s="47">
        <f t="shared" si="3"/>
        <v>134.30000000000001</v>
      </c>
      <c r="G39" s="47">
        <f t="shared" si="3"/>
        <v>134.30000000000001</v>
      </c>
      <c r="H39" s="47">
        <f t="shared" si="3"/>
        <v>148.30000000000001</v>
      </c>
      <c r="I39" s="47">
        <f t="shared" si="3"/>
        <v>162.30000000000001</v>
      </c>
      <c r="J39" s="47">
        <f t="shared" si="3"/>
        <v>169.3</v>
      </c>
      <c r="K39" s="40"/>
    </row>
    <row r="40" spans="1:11" ht="15" customHeight="1" x14ac:dyDescent="0.25">
      <c r="A40" s="17" t="s">
        <v>334</v>
      </c>
      <c r="B40" s="61">
        <f>-B39*Assumptions!$C$26*B9</f>
        <v>-0.91562499999999991</v>
      </c>
      <c r="C40" s="61">
        <f>-C39*Assumptions!$C$26*C9</f>
        <v>-2.1974999999999998</v>
      </c>
      <c r="D40" s="61">
        <f>-D39*Assumptions!$C$26*D9</f>
        <v>-4.8224999999999998</v>
      </c>
      <c r="E40" s="61">
        <f>-E39*Assumptions!$C$26*E9</f>
        <v>-8.4974999999999987</v>
      </c>
      <c r="F40" s="61">
        <f>-F39*Assumptions!$C$26*F9</f>
        <v>-10.0725</v>
      </c>
      <c r="G40" s="61">
        <f>-G39*Assumptions!$C$26*G9</f>
        <v>-10.0725</v>
      </c>
      <c r="H40" s="61">
        <f>-H39*Assumptions!$C$26*H9</f>
        <v>-11.1225</v>
      </c>
      <c r="I40" s="61">
        <f>-I39*Assumptions!$C$26*I9</f>
        <v>-12.172500000000001</v>
      </c>
      <c r="J40" s="61">
        <f>-J39*Assumptions!$C$26*J9</f>
        <v>-12.6975</v>
      </c>
      <c r="K40" s="18" t="s">
        <v>335</v>
      </c>
    </row>
    <row r="42" spans="1:11" ht="15" customHeight="1" x14ac:dyDescent="0.25">
      <c r="A42" s="10" t="s">
        <v>336</v>
      </c>
      <c r="B42" s="10"/>
      <c r="C42" s="10"/>
      <c r="D42" s="10"/>
      <c r="E42" s="10"/>
      <c r="F42" s="10"/>
      <c r="G42" s="10"/>
      <c r="H42" s="10"/>
      <c r="I42" s="10"/>
      <c r="J42" s="10"/>
    </row>
    <row r="43" spans="1:11" ht="15" customHeight="1" x14ac:dyDescent="0.25">
      <c r="B43" s="34" t="s">
        <v>247</v>
      </c>
      <c r="C43" s="34" t="s">
        <v>130</v>
      </c>
      <c r="D43" s="34" t="s">
        <v>132</v>
      </c>
      <c r="E43" s="34" t="s">
        <v>133</v>
      </c>
      <c r="F43" s="34" t="s">
        <v>134</v>
      </c>
      <c r="G43" s="34" t="s">
        <v>248</v>
      </c>
      <c r="H43" s="34" t="s">
        <v>249</v>
      </c>
      <c r="I43" s="34" t="s">
        <v>250</v>
      </c>
      <c r="J43" s="34" t="s">
        <v>251</v>
      </c>
      <c r="K43" s="35" t="s">
        <v>252</v>
      </c>
    </row>
    <row r="44" spans="1:11" ht="15" customHeight="1" x14ac:dyDescent="0.25">
      <c r="A44" s="17" t="s">
        <v>337</v>
      </c>
      <c r="B44" s="61">
        <f>-Assumptions!$C$68*B9/1000000</f>
        <v>-2.166666666666667</v>
      </c>
      <c r="C44" s="61">
        <f>-Assumptions!$C$68*C9/1000000</f>
        <v>-5.2</v>
      </c>
      <c r="D44" s="61">
        <f>-Assumptions!$C$68*D9/1000000</f>
        <v>-5.2</v>
      </c>
      <c r="E44" s="61">
        <f>-Assumptions!$C$68*E9/1000000</f>
        <v>-5.2</v>
      </c>
      <c r="F44" s="61">
        <f>-Assumptions!$C$68*F9/1000000</f>
        <v>-5.2</v>
      </c>
      <c r="G44" s="61">
        <f>-Assumptions!$C$68*G9/1000000</f>
        <v>-5.2</v>
      </c>
      <c r="H44" s="61">
        <f>-Assumptions!$C$68*H9/1000000</f>
        <v>-5.2</v>
      </c>
      <c r="I44" s="61">
        <f>-Assumptions!$C$68*I9/1000000</f>
        <v>-5.2</v>
      </c>
      <c r="J44" s="61">
        <f>-Assumptions!$C$68*J9/1000000</f>
        <v>-5.2</v>
      </c>
      <c r="K44" s="18" t="s">
        <v>338</v>
      </c>
    </row>
    <row r="45" spans="1:11" ht="15" customHeight="1" x14ac:dyDescent="0.25">
      <c r="A45" s="17" t="s">
        <v>339</v>
      </c>
      <c r="B45" s="61">
        <f>-B7*Assumptions!$C$70*B9/1000000</f>
        <v>-0.3125</v>
      </c>
      <c r="C45" s="61">
        <f>-C7*Assumptions!$C$70*C9/1000000</f>
        <v>-0.75</v>
      </c>
      <c r="D45" s="61">
        <f>-D7*Assumptions!$C$70*D9/1000000</f>
        <v>-1.5</v>
      </c>
      <c r="E45" s="61">
        <f>-E7*Assumptions!$C$70*E9/1000000</f>
        <v>-2.5499999999999998</v>
      </c>
      <c r="F45" s="61">
        <f>-F7*Assumptions!$C$70*F9/1000000</f>
        <v>-3</v>
      </c>
      <c r="G45" s="61">
        <f>-G7*Assumptions!$C$70*G9/1000000</f>
        <v>-3</v>
      </c>
      <c r="H45" s="61">
        <f>-H7*Assumptions!$C$70*H9/1000000</f>
        <v>-3.3</v>
      </c>
      <c r="I45" s="61">
        <f>-I7*Assumptions!$C$70*I9/1000000</f>
        <v>-3.6</v>
      </c>
      <c r="J45" s="61">
        <f>-J7*Assumptions!$C$70*J9/1000000</f>
        <v>-3.75</v>
      </c>
      <c r="K45" s="18" t="s">
        <v>340</v>
      </c>
    </row>
    <row r="46" spans="1:11" ht="15" customHeight="1" x14ac:dyDescent="0.25">
      <c r="A46" s="62" t="s">
        <v>341</v>
      </c>
      <c r="B46" s="63">
        <f t="shared" ref="B46:J46" si="4">B44+B45</f>
        <v>-2.479166666666667</v>
      </c>
      <c r="C46" s="63">
        <f t="shared" si="4"/>
        <v>-5.95</v>
      </c>
      <c r="D46" s="63">
        <f t="shared" si="4"/>
        <v>-6.7</v>
      </c>
      <c r="E46" s="63">
        <f t="shared" si="4"/>
        <v>-7.75</v>
      </c>
      <c r="F46" s="63">
        <f t="shared" si="4"/>
        <v>-8.1999999999999993</v>
      </c>
      <c r="G46" s="63">
        <f t="shared" si="4"/>
        <v>-8.1999999999999993</v>
      </c>
      <c r="H46" s="63">
        <f t="shared" si="4"/>
        <v>-8.5</v>
      </c>
      <c r="I46" s="63">
        <f t="shared" si="4"/>
        <v>-8.8000000000000007</v>
      </c>
      <c r="J46" s="63">
        <f t="shared" si="4"/>
        <v>-8.9499999999999993</v>
      </c>
      <c r="K46" s="60" t="s">
        <v>342</v>
      </c>
    </row>
    <row r="48" spans="1:11" ht="15" customHeight="1" x14ac:dyDescent="0.25">
      <c r="A48" s="10" t="s">
        <v>343</v>
      </c>
      <c r="B48" s="10"/>
      <c r="C48" s="10"/>
      <c r="D48" s="10"/>
      <c r="E48" s="10"/>
      <c r="F48" s="10"/>
      <c r="G48" s="10"/>
      <c r="H48" s="10"/>
      <c r="I48" s="10"/>
      <c r="J48" s="10"/>
    </row>
    <row r="49" spans="1:11" ht="15" customHeight="1" x14ac:dyDescent="0.25">
      <c r="B49" s="34" t="s">
        <v>247</v>
      </c>
      <c r="C49" s="34" t="s">
        <v>130</v>
      </c>
      <c r="D49" s="34" t="s">
        <v>132</v>
      </c>
      <c r="E49" s="34" t="s">
        <v>133</v>
      </c>
      <c r="F49" s="34" t="s">
        <v>134</v>
      </c>
      <c r="G49" s="34" t="s">
        <v>248</v>
      </c>
      <c r="H49" s="34" t="s">
        <v>249</v>
      </c>
      <c r="I49" s="34" t="s">
        <v>250</v>
      </c>
      <c r="J49" s="34" t="s">
        <v>251</v>
      </c>
      <c r="K49" s="35" t="s">
        <v>252</v>
      </c>
    </row>
    <row r="50" spans="1:11" ht="15" customHeight="1" x14ac:dyDescent="0.25">
      <c r="A50" s="64" t="s">
        <v>344</v>
      </c>
      <c r="B50" s="65">
        <f t="shared" ref="B50:J50" si="5">B21+B27+B33+B40+B46</f>
        <v>-12.953708333333335</v>
      </c>
      <c r="C50" s="65">
        <f t="shared" si="5"/>
        <v>-34.078250000000004</v>
      </c>
      <c r="D50" s="65">
        <f t="shared" si="5"/>
        <v>-57.445790000000009</v>
      </c>
      <c r="E50" s="65">
        <f t="shared" si="5"/>
        <v>-80.754655</v>
      </c>
      <c r="F50" s="65">
        <f t="shared" si="5"/>
        <v>-93.071950000000015</v>
      </c>
      <c r="G50" s="65">
        <f t="shared" si="5"/>
        <v>-91.725100000000012</v>
      </c>
      <c r="H50" s="65">
        <f t="shared" si="5"/>
        <v>-101.34918</v>
      </c>
      <c r="I50" s="65">
        <f t="shared" si="5"/>
        <v>-110.0835</v>
      </c>
      <c r="J50" s="65">
        <f t="shared" si="5"/>
        <v>-115.73650000000001</v>
      </c>
      <c r="K50" s="60" t="s">
        <v>345</v>
      </c>
    </row>
    <row r="51" spans="1:11" ht="15" customHeight="1" x14ac:dyDescent="0.25">
      <c r="A51" s="17" t="s">
        <v>346</v>
      </c>
      <c r="B51" s="66">
        <v>-13.4</v>
      </c>
      <c r="C51" s="66">
        <v>-34.1</v>
      </c>
      <c r="D51" s="66">
        <v>-61.1</v>
      </c>
      <c r="E51" s="66">
        <v>-80.2</v>
      </c>
      <c r="F51" s="66">
        <v>-92.8</v>
      </c>
      <c r="G51" s="66">
        <v>-92.4</v>
      </c>
      <c r="H51" s="66">
        <v>-98</v>
      </c>
      <c r="I51" s="66">
        <v>-103.8</v>
      </c>
      <c r="J51" s="66">
        <v>-107.2</v>
      </c>
      <c r="K51" s="18" t="s">
        <v>347</v>
      </c>
    </row>
    <row r="52" spans="1:11" ht="15" customHeight="1" x14ac:dyDescent="0.25">
      <c r="A52" s="17" t="s">
        <v>348</v>
      </c>
      <c r="B52" s="45">
        <f t="shared" ref="B52:J52" si="6">B50-B51</f>
        <v>0.44629166666666542</v>
      </c>
      <c r="C52" s="45">
        <f t="shared" si="6"/>
        <v>2.1749999999997272E-2</v>
      </c>
      <c r="D52" s="45">
        <f t="shared" si="6"/>
        <v>3.654209999999992</v>
      </c>
      <c r="E52" s="45">
        <f t="shared" si="6"/>
        <v>-0.55465499999999679</v>
      </c>
      <c r="F52" s="45">
        <f t="shared" si="6"/>
        <v>-0.27195000000001812</v>
      </c>
      <c r="G52" s="45">
        <f t="shared" si="6"/>
        <v>0.67489999999999384</v>
      </c>
      <c r="H52" s="45">
        <f t="shared" si="6"/>
        <v>-3.349180000000004</v>
      </c>
      <c r="I52" s="45">
        <f t="shared" si="6"/>
        <v>-6.2835000000000036</v>
      </c>
      <c r="J52" s="45">
        <f t="shared" si="6"/>
        <v>-8.5365000000000038</v>
      </c>
      <c r="K52" s="18" t="s">
        <v>349</v>
      </c>
    </row>
    <row r="54" spans="1:11" ht="15" customHeight="1" x14ac:dyDescent="0.25">
      <c r="A54" s="10" t="s">
        <v>350</v>
      </c>
      <c r="B54" s="10"/>
      <c r="C54" s="10"/>
      <c r="D54" s="10"/>
      <c r="E54" s="10"/>
      <c r="F54" s="10"/>
      <c r="G54" s="10"/>
      <c r="H54" s="10"/>
      <c r="I54" s="10"/>
      <c r="J54" s="10"/>
    </row>
    <row r="55" spans="1:11" ht="15" customHeight="1" x14ac:dyDescent="0.25">
      <c r="B55" s="34" t="s">
        <v>247</v>
      </c>
      <c r="C55" s="34" t="s">
        <v>130</v>
      </c>
      <c r="D55" s="34" t="s">
        <v>132</v>
      </c>
      <c r="E55" s="34" t="s">
        <v>133</v>
      </c>
      <c r="F55" s="34" t="s">
        <v>134</v>
      </c>
      <c r="G55" s="34" t="s">
        <v>248</v>
      </c>
      <c r="H55" s="34" t="s">
        <v>249</v>
      </c>
      <c r="I55" s="34" t="s">
        <v>250</v>
      </c>
      <c r="J55" s="34" t="s">
        <v>251</v>
      </c>
      <c r="K55" s="35" t="s">
        <v>252</v>
      </c>
    </row>
    <row r="56" spans="1:11" ht="15" customHeight="1" x14ac:dyDescent="0.25">
      <c r="A56" s="62" t="s">
        <v>351</v>
      </c>
      <c r="B56" s="63">
        <f t="shared" ref="B56:J56" si="7">B17+B50</f>
        <v>-2.0037083333333339</v>
      </c>
      <c r="C56" s="63">
        <f t="shared" si="7"/>
        <v>15.196750000000002</v>
      </c>
      <c r="D56" s="63">
        <f t="shared" si="7"/>
        <v>76.582210000000003</v>
      </c>
      <c r="E56" s="63">
        <f t="shared" si="7"/>
        <v>131.456345</v>
      </c>
      <c r="F56" s="63">
        <f t="shared" si="7"/>
        <v>182.86804999999998</v>
      </c>
      <c r="G56" s="63">
        <f t="shared" si="7"/>
        <v>210.49490000000003</v>
      </c>
      <c r="H56" s="63">
        <f t="shared" si="7"/>
        <v>245.54682000000003</v>
      </c>
      <c r="I56" s="63">
        <f t="shared" si="7"/>
        <v>284.11650000000003</v>
      </c>
      <c r="J56" s="63">
        <f t="shared" si="7"/>
        <v>311.31349999999998</v>
      </c>
      <c r="K56" s="60" t="s">
        <v>352</v>
      </c>
    </row>
    <row r="57" spans="1:11" ht="15" customHeight="1" x14ac:dyDescent="0.25">
      <c r="A57" s="17" t="s">
        <v>353</v>
      </c>
      <c r="B57" s="44">
        <v>-2.5</v>
      </c>
      <c r="C57" s="44">
        <v>15.2</v>
      </c>
      <c r="D57" s="44">
        <v>72.900000000000006</v>
      </c>
      <c r="E57" s="44">
        <v>131.80000000000001</v>
      </c>
      <c r="F57" s="44">
        <v>183.2</v>
      </c>
      <c r="G57" s="44">
        <v>209.6</v>
      </c>
      <c r="H57" s="44">
        <v>249</v>
      </c>
      <c r="I57" s="44">
        <v>290.2</v>
      </c>
      <c r="J57" s="44">
        <v>319.8</v>
      </c>
      <c r="K57" s="18" t="s">
        <v>347</v>
      </c>
    </row>
    <row r="58" spans="1:11" ht="15" customHeight="1" x14ac:dyDescent="0.25">
      <c r="A58" s="17" t="s">
        <v>354</v>
      </c>
      <c r="B58" s="61">
        <f>-Revenue!B32</f>
        <v>0</v>
      </c>
      <c r="C58" s="61">
        <f>-Revenue!C32</f>
        <v>0</v>
      </c>
      <c r="D58" s="61">
        <f>-Revenue!D32</f>
        <v>0</v>
      </c>
      <c r="E58" s="61">
        <f>-Revenue!E32</f>
        <v>-4.9981275000000052</v>
      </c>
      <c r="F58" s="61">
        <f>-Revenue!F32</f>
        <v>-17.886824999999995</v>
      </c>
      <c r="G58" s="61">
        <f>-Revenue!G32</f>
        <v>-30.222000000000008</v>
      </c>
      <c r="H58" s="61">
        <f>-Revenue!H32</f>
        <v>-39.893039999999999</v>
      </c>
      <c r="I58" s="61">
        <f>-Revenue!I32</f>
        <v>-50.772960000000019</v>
      </c>
      <c r="J58" s="61">
        <f>-Revenue!J32</f>
        <v>-60.444000000000017</v>
      </c>
      <c r="K58" s="18" t="s">
        <v>355</v>
      </c>
    </row>
    <row r="59" spans="1:11" ht="15" customHeight="1" x14ac:dyDescent="0.25">
      <c r="A59" s="17" t="s">
        <v>356</v>
      </c>
      <c r="B59" s="66">
        <v>0</v>
      </c>
      <c r="C59" s="66">
        <v>0</v>
      </c>
      <c r="D59" s="66">
        <v>0</v>
      </c>
      <c r="E59" s="66">
        <v>0</v>
      </c>
      <c r="F59" s="66">
        <v>-16.399999999999999</v>
      </c>
      <c r="G59" s="66">
        <v>-27.3</v>
      </c>
      <c r="H59" s="66">
        <v>-42</v>
      </c>
      <c r="I59" s="66">
        <v>-57.6</v>
      </c>
      <c r="J59" s="66">
        <v>-72</v>
      </c>
      <c r="K59" s="18" t="s">
        <v>347</v>
      </c>
    </row>
    <row r="61" spans="1:11" ht="15.75" customHeight="1" x14ac:dyDescent="0.3">
      <c r="A61" s="67" t="s">
        <v>357</v>
      </c>
      <c r="B61" s="68">
        <f t="shared" ref="B61:J61" si="8">B56+B58</f>
        <v>-2.0037083333333339</v>
      </c>
      <c r="C61" s="68">
        <f t="shared" si="8"/>
        <v>15.196750000000002</v>
      </c>
      <c r="D61" s="68">
        <f t="shared" si="8"/>
        <v>76.582210000000003</v>
      </c>
      <c r="E61" s="68">
        <f t="shared" si="8"/>
        <v>126.45821749999999</v>
      </c>
      <c r="F61" s="68">
        <f t="shared" si="8"/>
        <v>164.98122499999999</v>
      </c>
      <c r="G61" s="68">
        <f t="shared" si="8"/>
        <v>180.27290000000002</v>
      </c>
      <c r="H61" s="68">
        <f t="shared" si="8"/>
        <v>205.65378000000004</v>
      </c>
      <c r="I61" s="68">
        <f t="shared" si="8"/>
        <v>233.34354000000002</v>
      </c>
      <c r="J61" s="68">
        <f t="shared" si="8"/>
        <v>250.86949999999996</v>
      </c>
      <c r="K61" s="43" t="s">
        <v>358</v>
      </c>
    </row>
    <row r="62" spans="1:11" ht="15" customHeight="1" x14ac:dyDescent="0.25">
      <c r="A62" s="17" t="s">
        <v>359</v>
      </c>
      <c r="B62" s="44">
        <v>-2.5</v>
      </c>
      <c r="C62" s="44">
        <v>15.2</v>
      </c>
      <c r="D62" s="44">
        <v>72.900000000000006</v>
      </c>
      <c r="E62" s="44">
        <v>131.80000000000001</v>
      </c>
      <c r="F62" s="44">
        <v>166.8</v>
      </c>
      <c r="G62" s="44">
        <v>182.3</v>
      </c>
      <c r="H62" s="44">
        <v>207</v>
      </c>
      <c r="I62" s="44">
        <v>232.6</v>
      </c>
      <c r="J62" s="44">
        <v>247.8</v>
      </c>
      <c r="K62" s="18" t="s">
        <v>347</v>
      </c>
    </row>
    <row r="63" spans="1:11" ht="15" customHeight="1" x14ac:dyDescent="0.25">
      <c r="A63" s="17" t="s">
        <v>360</v>
      </c>
      <c r="B63" s="45">
        <f t="shared" ref="B63:J63" si="9">B61-B62</f>
        <v>0.49629166666666613</v>
      </c>
      <c r="C63" s="45">
        <f t="shared" si="9"/>
        <v>-3.2499999999977547E-3</v>
      </c>
      <c r="D63" s="45">
        <f t="shared" si="9"/>
        <v>3.6822099999999978</v>
      </c>
      <c r="E63" s="45">
        <f t="shared" si="9"/>
        <v>-5.3417825000000221</v>
      </c>
      <c r="F63" s="45">
        <f t="shared" si="9"/>
        <v>-1.8187750000000165</v>
      </c>
      <c r="G63" s="45">
        <f t="shared" si="9"/>
        <v>-2.0270999999999901</v>
      </c>
      <c r="H63" s="45">
        <f t="shared" si="9"/>
        <v>-1.3462199999999598</v>
      </c>
      <c r="I63" s="45">
        <f t="shared" si="9"/>
        <v>0.74354000000002429</v>
      </c>
      <c r="J63" s="45">
        <f t="shared" si="9"/>
        <v>3.0694999999999482</v>
      </c>
      <c r="K63" s="18" t="s">
        <v>361</v>
      </c>
    </row>
    <row r="65" spans="1:11" ht="15" customHeight="1" x14ac:dyDescent="0.25">
      <c r="A65" s="10" t="s">
        <v>362</v>
      </c>
      <c r="B65" s="10"/>
      <c r="C65" s="10"/>
      <c r="D65" s="10"/>
      <c r="E65" s="10"/>
      <c r="F65" s="10"/>
      <c r="G65" s="10"/>
      <c r="H65" s="10"/>
      <c r="I65" s="10"/>
      <c r="J65" s="10"/>
    </row>
    <row r="66" spans="1:11" ht="15" customHeight="1" x14ac:dyDescent="0.25">
      <c r="B66" s="34" t="s">
        <v>247</v>
      </c>
      <c r="C66" s="34" t="s">
        <v>130</v>
      </c>
      <c r="D66" s="34" t="s">
        <v>132</v>
      </c>
      <c r="E66" s="34" t="s">
        <v>133</v>
      </c>
      <c r="F66" s="34" t="s">
        <v>134</v>
      </c>
      <c r="G66" s="34" t="s">
        <v>248</v>
      </c>
      <c r="H66" s="34" t="s">
        <v>249</v>
      </c>
      <c r="I66" s="34" t="s">
        <v>250</v>
      </c>
      <c r="J66" s="34" t="s">
        <v>251</v>
      </c>
      <c r="K66" s="35" t="s">
        <v>252</v>
      </c>
    </row>
    <row r="67" spans="1:11" ht="15" customHeight="1" x14ac:dyDescent="0.25">
      <c r="A67" s="64" t="s">
        <v>363</v>
      </c>
      <c r="B67" s="65">
        <f t="shared" ref="B67:J67" si="10">B61-B33</f>
        <v>1.0483749999999996</v>
      </c>
      <c r="C67" s="65">
        <f t="shared" si="10"/>
        <v>22.521750000000001</v>
      </c>
      <c r="D67" s="65">
        <f t="shared" si="10"/>
        <v>90.157210000000006</v>
      </c>
      <c r="E67" s="65">
        <f t="shared" si="10"/>
        <v>148.78321749999998</v>
      </c>
      <c r="F67" s="65">
        <f t="shared" si="10"/>
        <v>191.05622499999998</v>
      </c>
      <c r="G67" s="65">
        <f t="shared" si="10"/>
        <v>206.34790000000001</v>
      </c>
      <c r="H67" s="65">
        <f t="shared" si="10"/>
        <v>234.22878000000003</v>
      </c>
      <c r="I67" s="65">
        <f t="shared" si="10"/>
        <v>264.41854000000001</v>
      </c>
      <c r="J67" s="65">
        <f t="shared" si="10"/>
        <v>283.19449999999995</v>
      </c>
      <c r="K67" s="60" t="s">
        <v>364</v>
      </c>
    </row>
    <row r="68" spans="1:11" ht="15" customHeight="1" x14ac:dyDescent="0.25">
      <c r="A68" s="17" t="s">
        <v>365</v>
      </c>
      <c r="B68" s="46">
        <f t="shared" ref="B68:J68" si="11">IF(B17=0,0,B67/B17)</f>
        <v>9.574200913242005E-2</v>
      </c>
      <c r="C68" s="46">
        <f t="shared" si="11"/>
        <v>0.457062404870624</v>
      </c>
      <c r="D68" s="46">
        <f t="shared" si="11"/>
        <v>0.67267444116154829</v>
      </c>
      <c r="E68" s="46">
        <f t="shared" si="11"/>
        <v>0.7011098270117947</v>
      </c>
      <c r="F68" s="46">
        <f t="shared" si="11"/>
        <v>0.69238321736609398</v>
      </c>
      <c r="G68" s="46">
        <f t="shared" si="11"/>
        <v>0.68277380716034675</v>
      </c>
      <c r="H68" s="46">
        <f t="shared" si="11"/>
        <v>0.67521326276463267</v>
      </c>
      <c r="I68" s="46">
        <f t="shared" si="11"/>
        <v>0.67077255200405883</v>
      </c>
      <c r="J68" s="46">
        <f t="shared" si="11"/>
        <v>0.66314131834679768</v>
      </c>
      <c r="K68" s="18" t="s">
        <v>366</v>
      </c>
    </row>
    <row r="69" spans="1:11" ht="15" customHeight="1" x14ac:dyDescent="0.25">
      <c r="A69" s="17" t="s">
        <v>367</v>
      </c>
      <c r="B69" s="46">
        <f t="shared" ref="B69:J69" si="12">IF(B17=0,0,B61/B17)</f>
        <v>-0.18298706240487064</v>
      </c>
      <c r="C69" s="46">
        <f t="shared" si="12"/>
        <v>0.30840690005073568</v>
      </c>
      <c r="D69" s="46">
        <f t="shared" si="12"/>
        <v>0.57138963500164142</v>
      </c>
      <c r="E69" s="46">
        <f t="shared" si="12"/>
        <v>0.59590792890095223</v>
      </c>
      <c r="F69" s="46">
        <f t="shared" si="12"/>
        <v>0.59788803725447559</v>
      </c>
      <c r="G69" s="46">
        <f t="shared" si="12"/>
        <v>0.5964955992323473</v>
      </c>
      <c r="H69" s="46">
        <f t="shared" si="12"/>
        <v>0.59283987131589877</v>
      </c>
      <c r="I69" s="46">
        <f t="shared" si="12"/>
        <v>0.59194200913242012</v>
      </c>
      <c r="J69" s="46">
        <f t="shared" si="12"/>
        <v>0.58744760566678367</v>
      </c>
      <c r="K69" s="18" t="s">
        <v>368</v>
      </c>
    </row>
    <row r="71" spans="1:11" ht="15" customHeight="1" x14ac:dyDescent="0.25">
      <c r="A71" s="10" t="s">
        <v>369</v>
      </c>
      <c r="B71" s="10"/>
      <c r="C71" s="10"/>
      <c r="D71" s="10"/>
      <c r="E71" s="10"/>
      <c r="F71" s="10"/>
      <c r="G71" s="10"/>
      <c r="H71" s="10"/>
      <c r="I71" s="10"/>
      <c r="J71" s="10"/>
    </row>
    <row r="72" spans="1:11" ht="15" customHeight="1" x14ac:dyDescent="0.25">
      <c r="B72" s="34" t="s">
        <v>247</v>
      </c>
      <c r="C72" s="34" t="s">
        <v>130</v>
      </c>
      <c r="D72" s="34" t="s">
        <v>132</v>
      </c>
      <c r="E72" s="34" t="s">
        <v>133</v>
      </c>
      <c r="F72" s="34" t="s">
        <v>134</v>
      </c>
      <c r="G72" s="34" t="s">
        <v>248</v>
      </c>
      <c r="H72" s="34" t="s">
        <v>249</v>
      </c>
      <c r="I72" s="34" t="s">
        <v>250</v>
      </c>
      <c r="J72" s="34" t="s">
        <v>251</v>
      </c>
      <c r="K72" s="35" t="s">
        <v>252</v>
      </c>
    </row>
    <row r="73" spans="1:11" ht="15" customHeight="1" x14ac:dyDescent="0.25">
      <c r="A73" s="62" t="s">
        <v>370</v>
      </c>
      <c r="B73" s="63">
        <f>B61</f>
        <v>-2.0037083333333339</v>
      </c>
      <c r="C73" s="63">
        <f t="shared" ref="C73:J73" si="13">B73+C61</f>
        <v>13.193041666666668</v>
      </c>
      <c r="D73" s="63">
        <f t="shared" si="13"/>
        <v>89.775251666666676</v>
      </c>
      <c r="E73" s="63">
        <f t="shared" si="13"/>
        <v>216.23346916666668</v>
      </c>
      <c r="F73" s="63">
        <f t="shared" si="13"/>
        <v>381.21469416666667</v>
      </c>
      <c r="G73" s="63">
        <f t="shared" si="13"/>
        <v>561.48759416666667</v>
      </c>
      <c r="H73" s="63">
        <f t="shared" si="13"/>
        <v>767.14137416666676</v>
      </c>
      <c r="I73" s="63">
        <f t="shared" si="13"/>
        <v>1000.4849141666668</v>
      </c>
      <c r="J73" s="63">
        <f t="shared" si="13"/>
        <v>1251.3544141666669</v>
      </c>
      <c r="K73" s="60" t="s">
        <v>371</v>
      </c>
    </row>
    <row r="75" spans="1:11" ht="15" customHeight="1" x14ac:dyDescent="0.25">
      <c r="A75" s="10" t="s">
        <v>372</v>
      </c>
      <c r="B75" s="10"/>
      <c r="C75" s="10"/>
      <c r="D75" s="10"/>
      <c r="E75" s="10"/>
      <c r="F75" s="10"/>
      <c r="G75" s="10"/>
      <c r="H75" s="10"/>
      <c r="I75" s="10"/>
      <c r="J75" s="10"/>
    </row>
    <row r="76" spans="1:11" ht="15" customHeight="1" x14ac:dyDescent="0.25">
      <c r="B76" s="34" t="s">
        <v>247</v>
      </c>
      <c r="C76" s="34" t="s">
        <v>130</v>
      </c>
      <c r="D76" s="34" t="s">
        <v>132</v>
      </c>
      <c r="E76" s="34" t="s">
        <v>133</v>
      </c>
      <c r="F76" s="34" t="s">
        <v>134</v>
      </c>
      <c r="G76" s="34" t="s">
        <v>248</v>
      </c>
      <c r="H76" s="34" t="s">
        <v>249</v>
      </c>
      <c r="I76" s="34" t="s">
        <v>250</v>
      </c>
      <c r="J76" s="34" t="s">
        <v>251</v>
      </c>
      <c r="K76" s="35" t="s">
        <v>252</v>
      </c>
    </row>
    <row r="77" spans="1:11" ht="15" customHeight="1" x14ac:dyDescent="0.25">
      <c r="A77" s="17" t="s">
        <v>373</v>
      </c>
      <c r="B77" s="47">
        <f t="shared" ref="B77:J77" si="14">IF(B6=0,0,B17/B6)</f>
        <v>2.1900000000000004</v>
      </c>
      <c r="C77" s="47">
        <f t="shared" si="14"/>
        <v>9.8550000000000004</v>
      </c>
      <c r="D77" s="47">
        <f t="shared" si="14"/>
        <v>11.169000000000002</v>
      </c>
      <c r="E77" s="47">
        <f t="shared" si="14"/>
        <v>12.483000000000001</v>
      </c>
      <c r="F77" s="47">
        <f t="shared" si="14"/>
        <v>13.797000000000001</v>
      </c>
      <c r="G77" s="47">
        <f t="shared" si="14"/>
        <v>15.111000000000001</v>
      </c>
      <c r="H77" s="47">
        <f t="shared" si="14"/>
        <v>15.768000000000001</v>
      </c>
      <c r="I77" s="47">
        <f t="shared" si="14"/>
        <v>16.425000000000001</v>
      </c>
      <c r="J77" s="47">
        <f t="shared" si="14"/>
        <v>17.082000000000001</v>
      </c>
      <c r="K77" s="18" t="s">
        <v>374</v>
      </c>
    </row>
    <row r="78" spans="1:11" ht="15" customHeight="1" x14ac:dyDescent="0.25">
      <c r="A78" s="17" t="s">
        <v>375</v>
      </c>
      <c r="B78" s="47">
        <f t="shared" ref="B78:J78" si="15">IF(B6=0,0,-B50/B6)</f>
        <v>2.5907416666666672</v>
      </c>
      <c r="C78" s="47">
        <f t="shared" si="15"/>
        <v>6.8156500000000007</v>
      </c>
      <c r="D78" s="47">
        <f t="shared" si="15"/>
        <v>4.7871491666666675</v>
      </c>
      <c r="E78" s="47">
        <f t="shared" si="15"/>
        <v>4.7502738235294117</v>
      </c>
      <c r="F78" s="47">
        <f t="shared" si="15"/>
        <v>4.6535975000000009</v>
      </c>
      <c r="G78" s="47">
        <f t="shared" si="15"/>
        <v>4.5862550000000004</v>
      </c>
      <c r="H78" s="47">
        <f t="shared" si="15"/>
        <v>4.6067809090909089</v>
      </c>
      <c r="I78" s="47">
        <f t="shared" si="15"/>
        <v>4.5868124999999997</v>
      </c>
      <c r="J78" s="47">
        <f t="shared" si="15"/>
        <v>4.6294599999999999</v>
      </c>
      <c r="K78" s="18" t="s">
        <v>376</v>
      </c>
    </row>
    <row r="79" spans="1:11" ht="15" customHeight="1" x14ac:dyDescent="0.25">
      <c r="A79" s="17" t="s">
        <v>377</v>
      </c>
      <c r="B79" s="47">
        <f t="shared" ref="B79:J79" si="16">IF(B6=0,0,B61/B6)</f>
        <v>-0.40074166666666677</v>
      </c>
      <c r="C79" s="47">
        <f t="shared" si="16"/>
        <v>3.0393500000000002</v>
      </c>
      <c r="D79" s="47">
        <f t="shared" si="16"/>
        <v>6.3818508333333339</v>
      </c>
      <c r="E79" s="47">
        <f t="shared" si="16"/>
        <v>7.4387186764705877</v>
      </c>
      <c r="F79" s="47">
        <f t="shared" si="16"/>
        <v>8.2490612500000005</v>
      </c>
      <c r="G79" s="47">
        <f t="shared" si="16"/>
        <v>9.0136450000000004</v>
      </c>
      <c r="H79" s="47">
        <f t="shared" si="16"/>
        <v>9.3478990909090935</v>
      </c>
      <c r="I79" s="47">
        <f t="shared" si="16"/>
        <v>9.7226475000000008</v>
      </c>
      <c r="J79" s="47">
        <f t="shared" si="16"/>
        <v>10.034779999999998</v>
      </c>
      <c r="K79" s="18" t="s">
        <v>378</v>
      </c>
    </row>
    <row r="80" spans="1:11" ht="15" customHeight="1" x14ac:dyDescent="0.25">
      <c r="A80" s="17" t="s">
        <v>379</v>
      </c>
      <c r="B80" s="47">
        <f>IF((B10+Assumptions!$C$51)=0,0,B17/(B10+Assumptions!$C$51))</f>
        <v>1.0950000000000002</v>
      </c>
      <c r="C80" s="47">
        <f>IF((C10+Assumptions!$C$51)=0,0,C17/(C10+Assumptions!$C$51))</f>
        <v>4.9275000000000002</v>
      </c>
      <c r="D80" s="47">
        <f>IF((D10+Assumptions!$C$51)=0,0,D17/(D10+Assumptions!$C$51))</f>
        <v>9.5734285714285736</v>
      </c>
      <c r="E80" s="47">
        <f>IF((E10+Assumptions!$C$51)=0,0,E17/(E10+Assumptions!$C$51))</f>
        <v>12.483000000000001</v>
      </c>
      <c r="F80" s="47">
        <f>IF((F10+Assumptions!$C$51)=0,0,F17/(F10+Assumptions!$C$51))</f>
        <v>13.797000000000001</v>
      </c>
      <c r="G80" s="47">
        <f>IF((G10+Assumptions!$C$51)=0,0,G17/(G10+Assumptions!$C$51))</f>
        <v>15.111000000000001</v>
      </c>
      <c r="H80" s="47">
        <f>IF((H10+Assumptions!$C$51)=0,0,H17/(H10+Assumptions!$C$51))</f>
        <v>15.768000000000001</v>
      </c>
      <c r="I80" s="47">
        <f>IF((I10+Assumptions!$C$51)=0,0,I17/(I10+Assumptions!$C$51))</f>
        <v>17.139130434782611</v>
      </c>
      <c r="J80" s="47">
        <f>IF((J10+Assumptions!$C$51)=0,0,J17/(J10+Assumptions!$C$51))</f>
        <v>17.793749999999999</v>
      </c>
      <c r="K80" s="18" t="s">
        <v>380</v>
      </c>
    </row>
    <row r="81" spans="1:11" ht="15" customHeight="1" x14ac:dyDescent="0.25">
      <c r="A81" s="17" t="s">
        <v>381</v>
      </c>
      <c r="B81" s="47">
        <f t="shared" ref="B81:J81" si="17">-B21</f>
        <v>1.4235000000000002</v>
      </c>
      <c r="C81" s="47">
        <f t="shared" si="17"/>
        <v>6.4057500000000012</v>
      </c>
      <c r="D81" s="47">
        <f t="shared" si="17"/>
        <v>15.748290000000001</v>
      </c>
      <c r="E81" s="47">
        <f t="shared" si="17"/>
        <v>22.282154999999999</v>
      </c>
      <c r="F81" s="47">
        <f t="shared" si="17"/>
        <v>25.524449999999998</v>
      </c>
      <c r="G81" s="47">
        <f t="shared" si="17"/>
        <v>24.177600000000002</v>
      </c>
      <c r="H81" s="47">
        <f t="shared" si="17"/>
        <v>27.75168</v>
      </c>
      <c r="I81" s="47">
        <f t="shared" si="17"/>
        <v>31.536000000000005</v>
      </c>
      <c r="J81" s="47">
        <f t="shared" si="17"/>
        <v>34.164000000000001</v>
      </c>
      <c r="K81" s="18" t="s">
        <v>382</v>
      </c>
    </row>
    <row r="83" spans="1:11" ht="15" customHeight="1" x14ac:dyDescent="0.25">
      <c r="A83" s="10" t="s">
        <v>383</v>
      </c>
      <c r="B83" s="10"/>
      <c r="C83" s="10"/>
      <c r="D83" s="10"/>
      <c r="E83" s="10"/>
      <c r="F83" s="10"/>
      <c r="G83" s="10"/>
      <c r="H83" s="10"/>
      <c r="I83" s="10"/>
      <c r="J83" s="10"/>
    </row>
    <row r="84" spans="1:11" ht="15" customHeight="1" x14ac:dyDescent="0.25">
      <c r="A84" s="69" t="s">
        <v>384</v>
      </c>
      <c r="B84" s="70" t="s">
        <v>385</v>
      </c>
      <c r="C84" s="70" t="s">
        <v>386</v>
      </c>
      <c r="D84" s="70" t="s">
        <v>387</v>
      </c>
    </row>
    <row r="85" spans="1:11" ht="15" customHeight="1" x14ac:dyDescent="0.25">
      <c r="A85" s="17" t="s">
        <v>315</v>
      </c>
      <c r="B85" s="71">
        <v>17.600000000000001</v>
      </c>
      <c r="C85" s="72">
        <f>-G25</f>
        <v>17.600000000000001</v>
      </c>
      <c r="D85" s="73">
        <f t="shared" ref="D85:D95" si="18">C85-B85</f>
        <v>0</v>
      </c>
    </row>
    <row r="86" spans="1:11" ht="15" customHeight="1" x14ac:dyDescent="0.25">
      <c r="A86" s="17" t="s">
        <v>388</v>
      </c>
      <c r="B86" s="71">
        <v>5.6</v>
      </c>
      <c r="C86" s="72">
        <f>-G26</f>
        <v>5.6</v>
      </c>
      <c r="D86" s="73">
        <f t="shared" si="18"/>
        <v>0</v>
      </c>
    </row>
    <row r="87" spans="1:11" ht="15" customHeight="1" x14ac:dyDescent="0.25">
      <c r="A87" s="17" t="s">
        <v>389</v>
      </c>
      <c r="B87" s="71">
        <v>25</v>
      </c>
      <c r="C87" s="72">
        <f>-G31</f>
        <v>25</v>
      </c>
      <c r="D87" s="73">
        <f t="shared" si="18"/>
        <v>0</v>
      </c>
    </row>
    <row r="88" spans="1:11" ht="15" customHeight="1" x14ac:dyDescent="0.25">
      <c r="A88" s="17" t="s">
        <v>324</v>
      </c>
      <c r="B88" s="71">
        <v>1.08</v>
      </c>
      <c r="C88" s="72">
        <f>-G32</f>
        <v>1.075</v>
      </c>
      <c r="D88" s="73">
        <f t="shared" si="18"/>
        <v>-5.0000000000001155E-3</v>
      </c>
    </row>
    <row r="89" spans="1:11" ht="15" customHeight="1" x14ac:dyDescent="0.25">
      <c r="A89" s="17" t="s">
        <v>390</v>
      </c>
      <c r="B89" s="71">
        <v>10.07</v>
      </c>
      <c r="C89" s="72">
        <f>-G40</f>
        <v>10.0725</v>
      </c>
      <c r="D89" s="73">
        <f t="shared" si="18"/>
        <v>2.4999999999995026E-3</v>
      </c>
    </row>
    <row r="90" spans="1:11" ht="15" customHeight="1" x14ac:dyDescent="0.25">
      <c r="A90" s="17" t="s">
        <v>337</v>
      </c>
      <c r="B90" s="71">
        <v>5.2</v>
      </c>
      <c r="C90" s="72">
        <f>-G44</f>
        <v>5.2</v>
      </c>
      <c r="D90" s="73">
        <f t="shared" si="18"/>
        <v>0</v>
      </c>
    </row>
    <row r="91" spans="1:11" ht="15" customHeight="1" x14ac:dyDescent="0.25">
      <c r="A91" s="17" t="s">
        <v>391</v>
      </c>
      <c r="B91" s="71">
        <v>25.2</v>
      </c>
      <c r="C91" s="72">
        <f>-G21</f>
        <v>24.177600000000002</v>
      </c>
      <c r="D91" s="73">
        <f t="shared" si="18"/>
        <v>-1.0223999999999975</v>
      </c>
    </row>
    <row r="92" spans="1:11" ht="15" customHeight="1" x14ac:dyDescent="0.25">
      <c r="A92" s="17" t="s">
        <v>392</v>
      </c>
      <c r="B92" s="71">
        <v>3</v>
      </c>
      <c r="C92" s="72">
        <f>-G45</f>
        <v>3</v>
      </c>
      <c r="D92" s="73">
        <f t="shared" si="18"/>
        <v>0</v>
      </c>
    </row>
    <row r="93" spans="1:11" ht="15" customHeight="1" x14ac:dyDescent="0.25">
      <c r="A93" s="17" t="s">
        <v>393</v>
      </c>
      <c r="B93" s="71">
        <v>92.75</v>
      </c>
      <c r="C93" s="72">
        <f>-G50</f>
        <v>91.725100000000012</v>
      </c>
      <c r="D93" s="73">
        <f t="shared" si="18"/>
        <v>-1.0248999999999882</v>
      </c>
    </row>
    <row r="94" spans="1:11" ht="15" customHeight="1" x14ac:dyDescent="0.25">
      <c r="A94" s="17" t="s">
        <v>394</v>
      </c>
      <c r="B94" s="71">
        <v>315</v>
      </c>
      <c r="C94" s="72">
        <f>G17</f>
        <v>302.22000000000003</v>
      </c>
      <c r="D94" s="73">
        <f t="shared" si="18"/>
        <v>-12.779999999999973</v>
      </c>
    </row>
    <row r="95" spans="1:11" ht="15" customHeight="1" x14ac:dyDescent="0.25">
      <c r="A95" s="17" t="s">
        <v>395</v>
      </c>
      <c r="B95" s="71">
        <v>222.3</v>
      </c>
      <c r="C95" s="72">
        <f>G56</f>
        <v>210.49490000000003</v>
      </c>
      <c r="D95" s="73">
        <f t="shared" si="18"/>
        <v>-11.805099999999982</v>
      </c>
    </row>
  </sheetData>
  <mergeCells count="15">
    <mergeCell ref="A54:J54"/>
    <mergeCell ref="A65:J65"/>
    <mergeCell ref="A71:J71"/>
    <mergeCell ref="A75:J75"/>
    <mergeCell ref="A83:J83"/>
    <mergeCell ref="A23:J23"/>
    <mergeCell ref="A29:J29"/>
    <mergeCell ref="A35:J35"/>
    <mergeCell ref="A42:J42"/>
    <mergeCell ref="A48:J48"/>
    <mergeCell ref="A1:J1"/>
    <mergeCell ref="A2:J2"/>
    <mergeCell ref="A4:J4"/>
    <mergeCell ref="A15:J15"/>
    <mergeCell ref="A19:J1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6CC"/>
  </sheetPr>
  <dimension ref="A1:L77"/>
  <sheetViews>
    <sheetView zoomScaleNormal="100" workbookViewId="0"/>
  </sheetViews>
  <sheetFormatPr baseColWidth="10" defaultColWidth="8.7109375" defaultRowHeight="15" x14ac:dyDescent="0.25"/>
  <cols>
    <col min="1" max="1" width="44" customWidth="1"/>
    <col min="2" max="11" width="15" customWidth="1"/>
    <col min="12" max="12" width="40" customWidth="1"/>
  </cols>
  <sheetData>
    <row r="1" spans="1:12" ht="31.5" customHeight="1" x14ac:dyDescent="0.25">
      <c r="A1" s="12" t="s">
        <v>396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2" ht="15" customHeight="1" x14ac:dyDescent="0.25">
      <c r="A2" s="11" t="s">
        <v>397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4" spans="1:12" ht="15" customHeight="1" x14ac:dyDescent="0.25">
      <c r="A4" s="10" t="s">
        <v>398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2" ht="15" customHeight="1" x14ac:dyDescent="0.25">
      <c r="B5" s="34" t="s">
        <v>399</v>
      </c>
      <c r="C5" s="34" t="s">
        <v>247</v>
      </c>
      <c r="D5" s="34" t="s">
        <v>130</v>
      </c>
      <c r="E5" s="34" t="s">
        <v>132</v>
      </c>
      <c r="F5" s="34" t="s">
        <v>133</v>
      </c>
      <c r="G5" s="34" t="s">
        <v>134</v>
      </c>
      <c r="H5" s="34" t="s">
        <v>248</v>
      </c>
      <c r="I5" s="34" t="s">
        <v>249</v>
      </c>
      <c r="J5" s="34" t="s">
        <v>250</v>
      </c>
      <c r="K5" s="34" t="s">
        <v>251</v>
      </c>
      <c r="L5" s="35" t="s">
        <v>252</v>
      </c>
    </row>
    <row r="6" spans="1:12" ht="15" customHeight="1" x14ac:dyDescent="0.25">
      <c r="A6" s="25" t="s">
        <v>400</v>
      </c>
      <c r="B6" s="61">
        <v>0</v>
      </c>
      <c r="C6" s="61">
        <f>'P&amp;L'!B61</f>
        <v>-2.0037083333333339</v>
      </c>
      <c r="D6" s="61">
        <f>'P&amp;L'!C61</f>
        <v>15.196750000000002</v>
      </c>
      <c r="E6" s="61">
        <f>'P&amp;L'!D61</f>
        <v>76.582210000000003</v>
      </c>
      <c r="F6" s="61">
        <f>'P&amp;L'!E61</f>
        <v>126.45821749999999</v>
      </c>
      <c r="G6" s="61">
        <f>'P&amp;L'!F61</f>
        <v>164.98122499999999</v>
      </c>
      <c r="H6" s="61">
        <f>'P&amp;L'!G61</f>
        <v>180.27290000000002</v>
      </c>
      <c r="I6" s="61">
        <f>'P&amp;L'!H61</f>
        <v>205.65378000000004</v>
      </c>
      <c r="J6" s="61">
        <f>'P&amp;L'!I61</f>
        <v>233.34354000000002</v>
      </c>
      <c r="K6" s="61">
        <f>'P&amp;L'!J61</f>
        <v>250.86949999999996</v>
      </c>
      <c r="L6" s="18" t="s">
        <v>401</v>
      </c>
    </row>
    <row r="7" spans="1:12" ht="15" customHeight="1" x14ac:dyDescent="0.25">
      <c r="A7" s="17" t="s">
        <v>402</v>
      </c>
      <c r="B7" s="61">
        <v>0</v>
      </c>
      <c r="C7" s="61">
        <f>-'P&amp;L'!B33</f>
        <v>3.0520833333333335</v>
      </c>
      <c r="D7" s="61">
        <f>-'P&amp;L'!C33</f>
        <v>7.3250000000000002</v>
      </c>
      <c r="E7" s="61">
        <f>-'P&amp;L'!D33</f>
        <v>13.574999999999999</v>
      </c>
      <c r="F7" s="61">
        <f>-'P&amp;L'!E33</f>
        <v>22.324999999999999</v>
      </c>
      <c r="G7" s="61">
        <f>-'P&amp;L'!F33</f>
        <v>26.074999999999999</v>
      </c>
      <c r="H7" s="61">
        <f>-'P&amp;L'!G33</f>
        <v>26.074999999999999</v>
      </c>
      <c r="I7" s="61">
        <f>-'P&amp;L'!H33</f>
        <v>28.574999999999999</v>
      </c>
      <c r="J7" s="61">
        <f>-'P&amp;L'!I33</f>
        <v>31.074999999999999</v>
      </c>
      <c r="K7" s="61">
        <f>-'P&amp;L'!J33</f>
        <v>32.325000000000003</v>
      </c>
      <c r="L7" s="18" t="s">
        <v>403</v>
      </c>
    </row>
    <row r="8" spans="1:12" ht="15" customHeight="1" x14ac:dyDescent="0.25">
      <c r="A8" s="17" t="s">
        <v>404</v>
      </c>
      <c r="B8" s="61">
        <v>0</v>
      </c>
      <c r="C8" s="61">
        <v>0</v>
      </c>
      <c r="D8" s="61">
        <v>0</v>
      </c>
      <c r="E8" s="61">
        <v>0</v>
      </c>
      <c r="F8" s="61">
        <v>0</v>
      </c>
      <c r="G8" s="61">
        <v>0</v>
      </c>
      <c r="H8" s="61">
        <v>0</v>
      </c>
      <c r="I8" s="61">
        <v>0</v>
      </c>
      <c r="J8" s="61">
        <v>0</v>
      </c>
      <c r="K8" s="61">
        <v>0</v>
      </c>
      <c r="L8" s="18" t="s">
        <v>405</v>
      </c>
    </row>
    <row r="9" spans="1:12" ht="15" customHeight="1" x14ac:dyDescent="0.25">
      <c r="A9" s="62" t="s">
        <v>406</v>
      </c>
      <c r="B9" s="74">
        <f t="shared" ref="B9:K9" si="0">B6+B7+B8</f>
        <v>0</v>
      </c>
      <c r="C9" s="74">
        <f t="shared" si="0"/>
        <v>1.0483749999999996</v>
      </c>
      <c r="D9" s="74">
        <f t="shared" si="0"/>
        <v>22.521750000000001</v>
      </c>
      <c r="E9" s="74">
        <f t="shared" si="0"/>
        <v>90.157210000000006</v>
      </c>
      <c r="F9" s="74">
        <f t="shared" si="0"/>
        <v>148.78321749999998</v>
      </c>
      <c r="G9" s="74">
        <f t="shared" si="0"/>
        <v>191.05622499999998</v>
      </c>
      <c r="H9" s="74">
        <f t="shared" si="0"/>
        <v>206.34790000000001</v>
      </c>
      <c r="I9" s="74">
        <f t="shared" si="0"/>
        <v>234.22878000000003</v>
      </c>
      <c r="J9" s="74">
        <f t="shared" si="0"/>
        <v>264.41854000000001</v>
      </c>
      <c r="K9" s="74">
        <f t="shared" si="0"/>
        <v>283.19449999999995</v>
      </c>
      <c r="L9" s="60" t="s">
        <v>407</v>
      </c>
    </row>
    <row r="11" spans="1:12" ht="15" customHeight="1" x14ac:dyDescent="0.25">
      <c r="A11" s="10" t="s">
        <v>408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2" ht="15" customHeight="1" x14ac:dyDescent="0.25">
      <c r="B12" s="34" t="s">
        <v>399</v>
      </c>
      <c r="C12" s="34" t="s">
        <v>247</v>
      </c>
      <c r="D12" s="34" t="s">
        <v>130</v>
      </c>
      <c r="E12" s="34" t="s">
        <v>132</v>
      </c>
      <c r="F12" s="34" t="s">
        <v>133</v>
      </c>
      <c r="G12" s="34" t="s">
        <v>134</v>
      </c>
      <c r="H12" s="34" t="s">
        <v>248</v>
      </c>
      <c r="I12" s="34" t="s">
        <v>249</v>
      </c>
      <c r="J12" s="34" t="s">
        <v>250</v>
      </c>
      <c r="K12" s="34" t="s">
        <v>251</v>
      </c>
      <c r="L12" s="35" t="s">
        <v>252</v>
      </c>
    </row>
    <row r="13" spans="1:12" ht="15" customHeight="1" x14ac:dyDescent="0.25">
      <c r="A13" s="17" t="s">
        <v>409</v>
      </c>
      <c r="B13" s="55">
        <v>0</v>
      </c>
      <c r="C13" s="55">
        <v>5</v>
      </c>
      <c r="D13" s="55">
        <v>5</v>
      </c>
      <c r="E13" s="55">
        <v>5</v>
      </c>
      <c r="F13" s="55">
        <v>5</v>
      </c>
      <c r="G13" s="55">
        <v>0</v>
      </c>
      <c r="H13" s="55">
        <v>0</v>
      </c>
      <c r="I13" s="55">
        <v>2</v>
      </c>
      <c r="J13" s="55">
        <v>2</v>
      </c>
      <c r="K13" s="55">
        <v>1</v>
      </c>
      <c r="L13" s="18" t="s">
        <v>410</v>
      </c>
    </row>
    <row r="14" spans="1:12" ht="15" customHeight="1" x14ac:dyDescent="0.25">
      <c r="A14" s="17" t="s">
        <v>411</v>
      </c>
      <c r="B14" s="61">
        <f>-B13*Assumptions!$C$23/1000000</f>
        <v>0</v>
      </c>
      <c r="C14" s="61">
        <f>-C13*Assumptions!$C$23/1000000</f>
        <v>-50</v>
      </c>
      <c r="D14" s="61">
        <f>-D13*Assumptions!$C$23/1000000</f>
        <v>-50</v>
      </c>
      <c r="E14" s="61">
        <f>-E13*Assumptions!$C$23/1000000</f>
        <v>-50</v>
      </c>
      <c r="F14" s="61">
        <f>-F13*Assumptions!$C$23/1000000</f>
        <v>-50</v>
      </c>
      <c r="G14" s="61">
        <f>-G13*Assumptions!$C$23/1000000</f>
        <v>0</v>
      </c>
      <c r="H14" s="61">
        <f>-H13*Assumptions!$C$23/1000000</f>
        <v>0</v>
      </c>
      <c r="I14" s="61">
        <f>-I13*Assumptions!$C$23/1000000</f>
        <v>-20</v>
      </c>
      <c r="J14" s="61">
        <f>-J13*Assumptions!$C$23/1000000</f>
        <v>-20</v>
      </c>
      <c r="K14" s="61">
        <f>-K13*Assumptions!$C$23/1000000</f>
        <v>-10</v>
      </c>
      <c r="L14" s="18" t="s">
        <v>412</v>
      </c>
    </row>
    <row r="15" spans="1:12" ht="15" customHeight="1" x14ac:dyDescent="0.25">
      <c r="A15" s="17" t="s">
        <v>413</v>
      </c>
      <c r="B15" s="66">
        <v>0</v>
      </c>
      <c r="C15" s="66">
        <v>-8.6199999999999992</v>
      </c>
      <c r="D15" s="66">
        <v>0</v>
      </c>
      <c r="E15" s="66">
        <v>0</v>
      </c>
      <c r="F15" s="66">
        <v>0</v>
      </c>
      <c r="G15" s="66">
        <v>0</v>
      </c>
      <c r="H15" s="66">
        <v>0</v>
      </c>
      <c r="I15" s="66">
        <v>0</v>
      </c>
      <c r="J15" s="66">
        <v>0</v>
      </c>
      <c r="K15" s="66">
        <v>0</v>
      </c>
      <c r="L15" s="18" t="s">
        <v>414</v>
      </c>
    </row>
    <row r="16" spans="1:12" ht="15" customHeight="1" x14ac:dyDescent="0.25">
      <c r="A16" s="17" t="s">
        <v>415</v>
      </c>
      <c r="B16" s="66">
        <v>0</v>
      </c>
      <c r="C16" s="66">
        <v>-3</v>
      </c>
      <c r="D16" s="66">
        <v>0</v>
      </c>
      <c r="E16" s="66">
        <v>0</v>
      </c>
      <c r="F16" s="66">
        <v>0</v>
      </c>
      <c r="G16" s="66">
        <v>0</v>
      </c>
      <c r="H16" s="66">
        <v>0</v>
      </c>
      <c r="I16" s="66">
        <v>0</v>
      </c>
      <c r="J16" s="66">
        <v>0</v>
      </c>
      <c r="K16" s="66">
        <v>0</v>
      </c>
      <c r="L16" s="18" t="s">
        <v>416</v>
      </c>
    </row>
    <row r="17" spans="1:12" ht="15" customHeight="1" x14ac:dyDescent="0.25">
      <c r="A17" s="17" t="s">
        <v>417</v>
      </c>
      <c r="B17" s="66">
        <v>0</v>
      </c>
      <c r="C17" s="66">
        <v>-2</v>
      </c>
      <c r="D17" s="66">
        <v>0</v>
      </c>
      <c r="E17" s="66">
        <v>0</v>
      </c>
      <c r="F17" s="66">
        <v>0</v>
      </c>
      <c r="G17" s="66">
        <v>0</v>
      </c>
      <c r="H17" s="66">
        <v>0</v>
      </c>
      <c r="I17" s="66">
        <v>0</v>
      </c>
      <c r="J17" s="66">
        <v>0</v>
      </c>
      <c r="K17" s="66">
        <v>0</v>
      </c>
      <c r="L17" s="18" t="s">
        <v>418</v>
      </c>
    </row>
    <row r="18" spans="1:12" ht="15" customHeight="1" x14ac:dyDescent="0.25">
      <c r="A18" s="17" t="s">
        <v>419</v>
      </c>
      <c r="B18" s="66">
        <v>0</v>
      </c>
      <c r="C18" s="66">
        <v>0</v>
      </c>
      <c r="D18" s="66">
        <v>0</v>
      </c>
      <c r="E18" s="66">
        <v>0</v>
      </c>
      <c r="F18" s="66">
        <v>-5.6</v>
      </c>
      <c r="G18" s="66">
        <v>-5.6</v>
      </c>
      <c r="H18" s="66">
        <v>-5.6</v>
      </c>
      <c r="I18" s="66">
        <v>-5.6</v>
      </c>
      <c r="J18" s="66">
        <v>-5.6</v>
      </c>
      <c r="K18" s="66">
        <v>-5.6</v>
      </c>
      <c r="L18" s="18" t="s">
        <v>420</v>
      </c>
    </row>
    <row r="19" spans="1:12" ht="15" customHeight="1" x14ac:dyDescent="0.25">
      <c r="A19" s="62" t="s">
        <v>421</v>
      </c>
      <c r="B19" s="74">
        <f t="shared" ref="B19:K19" si="1">B14+B15+B16+B17+B18</f>
        <v>0</v>
      </c>
      <c r="C19" s="74">
        <f t="shared" si="1"/>
        <v>-63.62</v>
      </c>
      <c r="D19" s="74">
        <f t="shared" si="1"/>
        <v>-50</v>
      </c>
      <c r="E19" s="74">
        <f t="shared" si="1"/>
        <v>-50</v>
      </c>
      <c r="F19" s="74">
        <f t="shared" si="1"/>
        <v>-55.6</v>
      </c>
      <c r="G19" s="74">
        <f t="shared" si="1"/>
        <v>-5.6</v>
      </c>
      <c r="H19" s="74">
        <f t="shared" si="1"/>
        <v>-5.6</v>
      </c>
      <c r="I19" s="74">
        <f t="shared" si="1"/>
        <v>-25.6</v>
      </c>
      <c r="J19" s="74">
        <f t="shared" si="1"/>
        <v>-25.6</v>
      </c>
      <c r="K19" s="74">
        <f t="shared" si="1"/>
        <v>-15.6</v>
      </c>
      <c r="L19" s="60" t="s">
        <v>422</v>
      </c>
    </row>
    <row r="21" spans="1:12" ht="15" customHeight="1" x14ac:dyDescent="0.25">
      <c r="A21" s="10" t="s">
        <v>423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2" ht="15" customHeight="1" x14ac:dyDescent="0.25">
      <c r="B22" s="34" t="s">
        <v>399</v>
      </c>
      <c r="C22" s="34" t="s">
        <v>247</v>
      </c>
      <c r="D22" s="34" t="s">
        <v>130</v>
      </c>
      <c r="E22" s="34" t="s">
        <v>132</v>
      </c>
      <c r="F22" s="34" t="s">
        <v>133</v>
      </c>
      <c r="G22" s="34" t="s">
        <v>134</v>
      </c>
      <c r="H22" s="34" t="s">
        <v>248</v>
      </c>
      <c r="I22" s="34" t="s">
        <v>249</v>
      </c>
      <c r="J22" s="34" t="s">
        <v>250</v>
      </c>
      <c r="K22" s="34" t="s">
        <v>251</v>
      </c>
      <c r="L22" s="35" t="s">
        <v>252</v>
      </c>
    </row>
    <row r="23" spans="1:12" ht="15" customHeight="1" x14ac:dyDescent="0.25">
      <c r="A23" s="17" t="s">
        <v>424</v>
      </c>
      <c r="B23" s="66">
        <v>5</v>
      </c>
      <c r="C23" s="66">
        <v>0</v>
      </c>
      <c r="D23" s="66">
        <v>0</v>
      </c>
      <c r="E23" s="66">
        <v>0</v>
      </c>
      <c r="F23" s="66">
        <v>0</v>
      </c>
      <c r="G23" s="66">
        <v>0</v>
      </c>
      <c r="H23" s="66">
        <v>0</v>
      </c>
      <c r="I23" s="66">
        <v>0</v>
      </c>
      <c r="J23" s="66">
        <v>0</v>
      </c>
      <c r="K23" s="66">
        <v>0</v>
      </c>
      <c r="L23" s="18" t="s">
        <v>425</v>
      </c>
    </row>
    <row r="24" spans="1:12" ht="15" customHeight="1" x14ac:dyDescent="0.25">
      <c r="A24" s="17" t="s">
        <v>426</v>
      </c>
      <c r="B24" s="66">
        <v>0</v>
      </c>
      <c r="C24" s="66">
        <v>51.3</v>
      </c>
      <c r="D24" s="66">
        <v>0</v>
      </c>
      <c r="E24" s="66">
        <v>0</v>
      </c>
      <c r="F24" s="66">
        <v>0</v>
      </c>
      <c r="G24" s="66">
        <v>0</v>
      </c>
      <c r="H24" s="66">
        <v>0</v>
      </c>
      <c r="I24" s="66">
        <v>0</v>
      </c>
      <c r="J24" s="66">
        <v>0</v>
      </c>
      <c r="K24" s="66">
        <v>0</v>
      </c>
      <c r="L24" s="18" t="s">
        <v>427</v>
      </c>
    </row>
    <row r="25" spans="1:12" ht="15" customHeight="1" x14ac:dyDescent="0.25">
      <c r="A25" s="17" t="s">
        <v>428</v>
      </c>
      <c r="B25" s="66">
        <v>0</v>
      </c>
      <c r="C25" s="66">
        <v>29.3</v>
      </c>
      <c r="D25" s="66">
        <v>0</v>
      </c>
      <c r="E25" s="66">
        <v>0</v>
      </c>
      <c r="F25" s="66">
        <v>0</v>
      </c>
      <c r="G25" s="66">
        <v>0</v>
      </c>
      <c r="H25" s="66">
        <v>0</v>
      </c>
      <c r="I25" s="66">
        <v>0</v>
      </c>
      <c r="J25" s="66">
        <v>0</v>
      </c>
      <c r="K25" s="66">
        <v>0</v>
      </c>
      <c r="L25" s="18" t="s">
        <v>429</v>
      </c>
    </row>
    <row r="26" spans="1:12" ht="15" customHeight="1" x14ac:dyDescent="0.25">
      <c r="A26" s="17" t="s">
        <v>430</v>
      </c>
      <c r="B26" s="66">
        <v>0</v>
      </c>
      <c r="C26" s="66">
        <v>0</v>
      </c>
      <c r="D26" s="66">
        <v>15</v>
      </c>
      <c r="E26" s="66">
        <v>15</v>
      </c>
      <c r="F26" s="66">
        <v>15</v>
      </c>
      <c r="G26" s="66">
        <v>0</v>
      </c>
      <c r="H26" s="66">
        <v>0</v>
      </c>
      <c r="I26" s="66">
        <v>0</v>
      </c>
      <c r="J26" s="66">
        <v>0</v>
      </c>
      <c r="K26" s="66">
        <v>0</v>
      </c>
      <c r="L26" s="18" t="s">
        <v>431</v>
      </c>
    </row>
    <row r="27" spans="1:12" ht="15" customHeight="1" x14ac:dyDescent="0.25">
      <c r="A27" s="17" t="s">
        <v>432</v>
      </c>
      <c r="B27" s="66">
        <v>0</v>
      </c>
      <c r="C27" s="66">
        <v>0</v>
      </c>
      <c r="D27" s="66">
        <v>35</v>
      </c>
      <c r="E27" s="66">
        <v>35</v>
      </c>
      <c r="F27" s="66">
        <v>35</v>
      </c>
      <c r="G27" s="66">
        <v>0</v>
      </c>
      <c r="H27" s="66">
        <v>0</v>
      </c>
      <c r="I27" s="66">
        <v>0</v>
      </c>
      <c r="J27" s="66">
        <v>0</v>
      </c>
      <c r="K27" s="66">
        <v>0</v>
      </c>
      <c r="L27" s="18" t="s">
        <v>433</v>
      </c>
    </row>
    <row r="28" spans="1:12" ht="15" customHeight="1" x14ac:dyDescent="0.25">
      <c r="A28" s="17" t="s">
        <v>434</v>
      </c>
      <c r="B28" s="66">
        <v>0</v>
      </c>
      <c r="C28" s="66">
        <v>0</v>
      </c>
      <c r="D28" s="66">
        <v>0</v>
      </c>
      <c r="E28" s="66">
        <v>0</v>
      </c>
      <c r="F28" s="66">
        <v>0</v>
      </c>
      <c r="G28" s="66">
        <v>0</v>
      </c>
      <c r="H28" s="66">
        <v>0</v>
      </c>
      <c r="I28" s="66">
        <v>0</v>
      </c>
      <c r="J28" s="66">
        <v>0</v>
      </c>
      <c r="K28" s="66">
        <v>0</v>
      </c>
      <c r="L28" s="18" t="s">
        <v>435</v>
      </c>
    </row>
    <row r="29" spans="1:12" ht="15" customHeight="1" x14ac:dyDescent="0.25">
      <c r="A29" s="62" t="s">
        <v>436</v>
      </c>
      <c r="B29" s="74">
        <f t="shared" ref="B29:K29" si="2">B23+B24+B25+B26+B27+B28</f>
        <v>5</v>
      </c>
      <c r="C29" s="74">
        <f t="shared" si="2"/>
        <v>80.599999999999994</v>
      </c>
      <c r="D29" s="74">
        <f t="shared" si="2"/>
        <v>50</v>
      </c>
      <c r="E29" s="74">
        <f t="shared" si="2"/>
        <v>50</v>
      </c>
      <c r="F29" s="74">
        <f t="shared" si="2"/>
        <v>50</v>
      </c>
      <c r="G29" s="74">
        <f t="shared" si="2"/>
        <v>0</v>
      </c>
      <c r="H29" s="74">
        <f t="shared" si="2"/>
        <v>0</v>
      </c>
      <c r="I29" s="74">
        <f t="shared" si="2"/>
        <v>0</v>
      </c>
      <c r="J29" s="74">
        <f t="shared" si="2"/>
        <v>0</v>
      </c>
      <c r="K29" s="74">
        <f t="shared" si="2"/>
        <v>0</v>
      </c>
      <c r="L29" s="60" t="s">
        <v>437</v>
      </c>
    </row>
    <row r="31" spans="1:12" ht="15" customHeight="1" x14ac:dyDescent="0.25">
      <c r="A31" s="10" t="s">
        <v>438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</row>
    <row r="32" spans="1:12" ht="15" customHeight="1" x14ac:dyDescent="0.25">
      <c r="B32" s="34" t="s">
        <v>399</v>
      </c>
      <c r="C32" s="34" t="s">
        <v>247</v>
      </c>
      <c r="D32" s="34" t="s">
        <v>130</v>
      </c>
      <c r="E32" s="34" t="s">
        <v>132</v>
      </c>
      <c r="F32" s="34" t="s">
        <v>133</v>
      </c>
      <c r="G32" s="34" t="s">
        <v>134</v>
      </c>
      <c r="H32" s="34" t="s">
        <v>248</v>
      </c>
      <c r="I32" s="34" t="s">
        <v>249</v>
      </c>
      <c r="J32" s="34" t="s">
        <v>250</v>
      </c>
      <c r="K32" s="34" t="s">
        <v>251</v>
      </c>
      <c r="L32" s="35" t="s">
        <v>252</v>
      </c>
    </row>
    <row r="33" spans="1:12" ht="15" customHeight="1" x14ac:dyDescent="0.25">
      <c r="A33" s="75" t="s">
        <v>439</v>
      </c>
      <c r="B33" s="68">
        <f t="shared" ref="B33:K33" si="3">B9+B19+B29</f>
        <v>5</v>
      </c>
      <c r="C33" s="68">
        <f t="shared" si="3"/>
        <v>18.028374999999997</v>
      </c>
      <c r="D33" s="68">
        <f t="shared" si="3"/>
        <v>22.521750000000001</v>
      </c>
      <c r="E33" s="68">
        <f t="shared" si="3"/>
        <v>90.157210000000006</v>
      </c>
      <c r="F33" s="68">
        <f t="shared" si="3"/>
        <v>143.18321749999998</v>
      </c>
      <c r="G33" s="68">
        <f t="shared" si="3"/>
        <v>185.45622499999999</v>
      </c>
      <c r="H33" s="68">
        <f t="shared" si="3"/>
        <v>200.74790000000002</v>
      </c>
      <c r="I33" s="68">
        <f t="shared" si="3"/>
        <v>208.62878000000003</v>
      </c>
      <c r="J33" s="68">
        <f t="shared" si="3"/>
        <v>238.81854000000001</v>
      </c>
      <c r="K33" s="68">
        <f t="shared" si="3"/>
        <v>267.59449999999993</v>
      </c>
      <c r="L33" s="43" t="s">
        <v>440</v>
      </c>
    </row>
    <row r="34" spans="1:12" ht="15" customHeight="1" x14ac:dyDescent="0.25">
      <c r="A34" s="25" t="s">
        <v>441</v>
      </c>
      <c r="B34" s="47">
        <v>0</v>
      </c>
      <c r="C34" s="47">
        <f t="shared" ref="C34:K34" si="4">B35</f>
        <v>5</v>
      </c>
      <c r="D34" s="47">
        <f t="shared" si="4"/>
        <v>23.028374999999997</v>
      </c>
      <c r="E34" s="47">
        <f t="shared" si="4"/>
        <v>45.550124999999994</v>
      </c>
      <c r="F34" s="47">
        <f t="shared" si="4"/>
        <v>135.707335</v>
      </c>
      <c r="G34" s="47">
        <f t="shared" si="4"/>
        <v>278.89055250000001</v>
      </c>
      <c r="H34" s="47">
        <f t="shared" si="4"/>
        <v>464.34677750000003</v>
      </c>
      <c r="I34" s="47">
        <f t="shared" si="4"/>
        <v>665.09467749999999</v>
      </c>
      <c r="J34" s="47">
        <f t="shared" si="4"/>
        <v>873.72345749999999</v>
      </c>
      <c r="K34" s="47">
        <f t="shared" si="4"/>
        <v>1112.5419975</v>
      </c>
      <c r="L34" s="18" t="s">
        <v>442</v>
      </c>
    </row>
    <row r="35" spans="1:12" ht="15.75" customHeight="1" x14ac:dyDescent="0.3">
      <c r="A35" s="67" t="s">
        <v>443</v>
      </c>
      <c r="B35" s="68">
        <f t="shared" ref="B35:K35" si="5">B34+B33</f>
        <v>5</v>
      </c>
      <c r="C35" s="68">
        <f t="shared" si="5"/>
        <v>23.028374999999997</v>
      </c>
      <c r="D35" s="68">
        <f t="shared" si="5"/>
        <v>45.550124999999994</v>
      </c>
      <c r="E35" s="68">
        <f t="shared" si="5"/>
        <v>135.707335</v>
      </c>
      <c r="F35" s="68">
        <f t="shared" si="5"/>
        <v>278.89055250000001</v>
      </c>
      <c r="G35" s="68">
        <f t="shared" si="5"/>
        <v>464.34677750000003</v>
      </c>
      <c r="H35" s="68">
        <f t="shared" si="5"/>
        <v>665.09467749999999</v>
      </c>
      <c r="I35" s="68">
        <f t="shared" si="5"/>
        <v>873.72345749999999</v>
      </c>
      <c r="J35" s="68">
        <f t="shared" si="5"/>
        <v>1112.5419975</v>
      </c>
      <c r="K35" s="68">
        <f t="shared" si="5"/>
        <v>1380.1364974999999</v>
      </c>
      <c r="L35" s="43" t="s">
        <v>444</v>
      </c>
    </row>
    <row r="37" spans="1:12" ht="15" customHeight="1" x14ac:dyDescent="0.25">
      <c r="A37" s="10" t="s">
        <v>445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2" ht="15" customHeight="1" x14ac:dyDescent="0.25">
      <c r="B38" s="34" t="s">
        <v>399</v>
      </c>
      <c r="C38" s="34" t="s">
        <v>247</v>
      </c>
      <c r="D38" s="34" t="s">
        <v>130</v>
      </c>
      <c r="E38" s="34" t="s">
        <v>132</v>
      </c>
      <c r="F38" s="34" t="s">
        <v>133</v>
      </c>
      <c r="G38" s="34" t="s">
        <v>134</v>
      </c>
      <c r="H38" s="34" t="s">
        <v>248</v>
      </c>
      <c r="I38" s="34" t="s">
        <v>249</v>
      </c>
      <c r="J38" s="34" t="s">
        <v>250</v>
      </c>
      <c r="K38" s="34" t="s">
        <v>251</v>
      </c>
      <c r="L38" s="35" t="s">
        <v>252</v>
      </c>
    </row>
    <row r="39" spans="1:12" ht="15" customHeight="1" x14ac:dyDescent="0.25">
      <c r="A39" s="62" t="s">
        <v>446</v>
      </c>
      <c r="B39" s="74">
        <f t="shared" ref="B39:K39" si="6">B9+B19</f>
        <v>0</v>
      </c>
      <c r="C39" s="74">
        <f t="shared" si="6"/>
        <v>-62.571624999999997</v>
      </c>
      <c r="D39" s="74">
        <f t="shared" si="6"/>
        <v>-27.478249999999999</v>
      </c>
      <c r="E39" s="74">
        <f t="shared" si="6"/>
        <v>40.157210000000006</v>
      </c>
      <c r="F39" s="74">
        <f t="shared" si="6"/>
        <v>93.183217499999984</v>
      </c>
      <c r="G39" s="74">
        <f t="shared" si="6"/>
        <v>185.45622499999999</v>
      </c>
      <c r="H39" s="74">
        <f t="shared" si="6"/>
        <v>200.74790000000002</v>
      </c>
      <c r="I39" s="74">
        <f t="shared" si="6"/>
        <v>208.62878000000003</v>
      </c>
      <c r="J39" s="74">
        <f t="shared" si="6"/>
        <v>238.81854000000001</v>
      </c>
      <c r="K39" s="74">
        <f t="shared" si="6"/>
        <v>267.59449999999993</v>
      </c>
      <c r="L39" s="60" t="s">
        <v>447</v>
      </c>
    </row>
    <row r="40" spans="1:12" ht="15" customHeight="1" x14ac:dyDescent="0.25">
      <c r="A40" s="25" t="s">
        <v>448</v>
      </c>
      <c r="B40" s="45">
        <f>B39</f>
        <v>0</v>
      </c>
      <c r="C40" s="45">
        <f t="shared" ref="C40:K40" si="7">B40+C39</f>
        <v>-62.571624999999997</v>
      </c>
      <c r="D40" s="45">
        <f t="shared" si="7"/>
        <v>-90.049875</v>
      </c>
      <c r="E40" s="45">
        <f t="shared" si="7"/>
        <v>-49.892664999999994</v>
      </c>
      <c r="F40" s="45">
        <f t="shared" si="7"/>
        <v>43.29055249999999</v>
      </c>
      <c r="G40" s="45">
        <f t="shared" si="7"/>
        <v>228.74677749999998</v>
      </c>
      <c r="H40" s="45">
        <f t="shared" si="7"/>
        <v>429.49467749999997</v>
      </c>
      <c r="I40" s="45">
        <f t="shared" si="7"/>
        <v>638.12345749999997</v>
      </c>
      <c r="J40" s="45">
        <f t="shared" si="7"/>
        <v>876.94199749999996</v>
      </c>
      <c r="K40" s="45">
        <f t="shared" si="7"/>
        <v>1144.5364974999998</v>
      </c>
      <c r="L40" s="18" t="s">
        <v>449</v>
      </c>
    </row>
    <row r="41" spans="1:12" ht="15" customHeight="1" x14ac:dyDescent="0.25">
      <c r="A41" s="17" t="s">
        <v>450</v>
      </c>
      <c r="B41" s="45">
        <f>B23+B24+B26</f>
        <v>5</v>
      </c>
      <c r="C41" s="45">
        <f t="shared" ref="C41:K41" si="8">B41+C23+C24+C26</f>
        <v>56.3</v>
      </c>
      <c r="D41" s="45">
        <f t="shared" si="8"/>
        <v>71.3</v>
      </c>
      <c r="E41" s="45">
        <f t="shared" si="8"/>
        <v>86.3</v>
      </c>
      <c r="F41" s="45">
        <f t="shared" si="8"/>
        <v>101.3</v>
      </c>
      <c r="G41" s="45">
        <f t="shared" si="8"/>
        <v>101.3</v>
      </c>
      <c r="H41" s="45">
        <f t="shared" si="8"/>
        <v>101.3</v>
      </c>
      <c r="I41" s="45">
        <f t="shared" si="8"/>
        <v>101.3</v>
      </c>
      <c r="J41" s="45">
        <f t="shared" si="8"/>
        <v>101.3</v>
      </c>
      <c r="K41" s="45">
        <f t="shared" si="8"/>
        <v>101.3</v>
      </c>
      <c r="L41" s="18" t="s">
        <v>451</v>
      </c>
    </row>
    <row r="42" spans="1:12" ht="15" customHeight="1" x14ac:dyDescent="0.25">
      <c r="A42" s="17" t="s">
        <v>452</v>
      </c>
      <c r="B42" s="45">
        <f>B25+B27</f>
        <v>0</v>
      </c>
      <c r="C42" s="45">
        <f t="shared" ref="C42:K42" si="9">B42+C25+C27</f>
        <v>29.3</v>
      </c>
      <c r="D42" s="45">
        <f t="shared" si="9"/>
        <v>64.3</v>
      </c>
      <c r="E42" s="45">
        <f t="shared" si="9"/>
        <v>99.3</v>
      </c>
      <c r="F42" s="45">
        <f t="shared" si="9"/>
        <v>134.30000000000001</v>
      </c>
      <c r="G42" s="45">
        <f t="shared" si="9"/>
        <v>134.30000000000001</v>
      </c>
      <c r="H42" s="45">
        <f t="shared" si="9"/>
        <v>134.30000000000001</v>
      </c>
      <c r="I42" s="45">
        <f t="shared" si="9"/>
        <v>134.30000000000001</v>
      </c>
      <c r="J42" s="45">
        <f t="shared" si="9"/>
        <v>134.30000000000001</v>
      </c>
      <c r="K42" s="45">
        <f t="shared" si="9"/>
        <v>134.30000000000001</v>
      </c>
      <c r="L42" s="18" t="s">
        <v>453</v>
      </c>
    </row>
    <row r="43" spans="1:12" ht="15" customHeight="1" x14ac:dyDescent="0.25">
      <c r="A43" s="17" t="s">
        <v>454</v>
      </c>
      <c r="B43" s="47">
        <f>-B19</f>
        <v>0</v>
      </c>
      <c r="C43" s="47">
        <f t="shared" ref="C43:K43" si="10">B43-C19</f>
        <v>63.62</v>
      </c>
      <c r="D43" s="47">
        <f t="shared" si="10"/>
        <v>113.62</v>
      </c>
      <c r="E43" s="47">
        <f t="shared" si="10"/>
        <v>163.62</v>
      </c>
      <c r="F43" s="47">
        <f t="shared" si="10"/>
        <v>219.22</v>
      </c>
      <c r="G43" s="47">
        <f t="shared" si="10"/>
        <v>224.82</v>
      </c>
      <c r="H43" s="47">
        <f t="shared" si="10"/>
        <v>230.42</v>
      </c>
      <c r="I43" s="47">
        <f t="shared" si="10"/>
        <v>256.02</v>
      </c>
      <c r="J43" s="47">
        <f t="shared" si="10"/>
        <v>281.62</v>
      </c>
      <c r="K43" s="47">
        <f t="shared" si="10"/>
        <v>297.22000000000003</v>
      </c>
      <c r="L43" s="18" t="s">
        <v>455</v>
      </c>
    </row>
    <row r="45" spans="1:12" ht="15" customHeight="1" x14ac:dyDescent="0.25">
      <c r="A45" s="25" t="s">
        <v>456</v>
      </c>
      <c r="B45" s="76" t="str">
        <f t="shared" ref="B45:K45" si="11">IF(B39&gt;0,"CF+","CF-")</f>
        <v>CF-</v>
      </c>
      <c r="C45" s="76" t="str">
        <f t="shared" si="11"/>
        <v>CF-</v>
      </c>
      <c r="D45" s="76" t="str">
        <f t="shared" si="11"/>
        <v>CF-</v>
      </c>
      <c r="E45" s="76" t="str">
        <f t="shared" si="11"/>
        <v>CF+</v>
      </c>
      <c r="F45" s="76" t="str">
        <f t="shared" si="11"/>
        <v>CF+</v>
      </c>
      <c r="G45" s="76" t="str">
        <f t="shared" si="11"/>
        <v>CF+</v>
      </c>
      <c r="H45" s="76" t="str">
        <f t="shared" si="11"/>
        <v>CF+</v>
      </c>
      <c r="I45" s="76" t="str">
        <f t="shared" si="11"/>
        <v>CF+</v>
      </c>
      <c r="J45" s="76" t="str">
        <f t="shared" si="11"/>
        <v>CF+</v>
      </c>
      <c r="K45" s="76" t="str">
        <f t="shared" si="11"/>
        <v>CF+</v>
      </c>
      <c r="L45" s="18" t="s">
        <v>457</v>
      </c>
    </row>
    <row r="47" spans="1:12" ht="15" customHeight="1" x14ac:dyDescent="0.25">
      <c r="A47" s="10" t="s">
        <v>458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9" spans="1:5" ht="15" customHeight="1" x14ac:dyDescent="0.25">
      <c r="A49" s="69" t="s">
        <v>459</v>
      </c>
      <c r="B49" s="69" t="s">
        <v>460</v>
      </c>
      <c r="C49" s="69" t="s">
        <v>158</v>
      </c>
      <c r="D49" s="69" t="s">
        <v>461</v>
      </c>
      <c r="E49" s="69" t="s">
        <v>186</v>
      </c>
    </row>
    <row r="50" spans="1:5" ht="15" customHeight="1" x14ac:dyDescent="0.25">
      <c r="A50" s="25" t="s">
        <v>155</v>
      </c>
      <c r="B50" s="17" t="s">
        <v>462</v>
      </c>
      <c r="C50" s="27">
        <v>1.5</v>
      </c>
      <c r="D50" s="18" t="s">
        <v>463</v>
      </c>
      <c r="E50" s="18"/>
    </row>
    <row r="51" spans="1:5" ht="15" customHeight="1" x14ac:dyDescent="0.25">
      <c r="A51" s="17"/>
      <c r="B51" s="17" t="s">
        <v>464</v>
      </c>
      <c r="C51" s="27">
        <v>1</v>
      </c>
      <c r="D51" s="18" t="s">
        <v>463</v>
      </c>
      <c r="E51" s="18"/>
    </row>
    <row r="52" spans="1:5" ht="15" customHeight="1" x14ac:dyDescent="0.25">
      <c r="A52" s="17"/>
      <c r="B52" s="17" t="s">
        <v>465</v>
      </c>
      <c r="C52" s="27">
        <v>1</v>
      </c>
      <c r="D52" s="18" t="s">
        <v>463</v>
      </c>
      <c r="E52" s="18"/>
    </row>
    <row r="53" spans="1:5" ht="15" customHeight="1" x14ac:dyDescent="0.25">
      <c r="A53" s="17"/>
      <c r="B53" s="17" t="s">
        <v>466</v>
      </c>
      <c r="C53" s="27">
        <v>1</v>
      </c>
      <c r="D53" s="18" t="s">
        <v>463</v>
      </c>
      <c r="E53" s="18"/>
    </row>
    <row r="54" spans="1:5" ht="15" customHeight="1" x14ac:dyDescent="0.25">
      <c r="A54" s="17"/>
      <c r="B54" s="17" t="s">
        <v>467</v>
      </c>
      <c r="C54" s="27">
        <v>0.5</v>
      </c>
      <c r="D54" s="18" t="s">
        <v>463</v>
      </c>
      <c r="E54" s="18"/>
    </row>
    <row r="55" spans="1:5" ht="15" customHeight="1" x14ac:dyDescent="0.25">
      <c r="A55" s="17"/>
      <c r="B55" s="17"/>
      <c r="C55" s="40"/>
      <c r="D55" s="18"/>
      <c r="E55" s="18"/>
    </row>
    <row r="56" spans="1:5" ht="15" customHeight="1" x14ac:dyDescent="0.25">
      <c r="A56" s="25" t="s">
        <v>128</v>
      </c>
      <c r="B56" s="17" t="s">
        <v>468</v>
      </c>
      <c r="C56" s="27">
        <v>25</v>
      </c>
      <c r="D56" s="18" t="s">
        <v>463</v>
      </c>
      <c r="E56" s="18"/>
    </row>
    <row r="57" spans="1:5" ht="15" customHeight="1" x14ac:dyDescent="0.25">
      <c r="A57" s="17"/>
      <c r="B57" s="17" t="s">
        <v>469</v>
      </c>
      <c r="C57" s="27">
        <v>25</v>
      </c>
      <c r="D57" s="18" t="s">
        <v>470</v>
      </c>
      <c r="E57" s="18"/>
    </row>
    <row r="58" spans="1:5" ht="15" customHeight="1" x14ac:dyDescent="0.25">
      <c r="A58" s="17"/>
      <c r="B58" s="17" t="s">
        <v>471</v>
      </c>
      <c r="C58" s="27">
        <v>8.6</v>
      </c>
      <c r="D58" s="18" t="s">
        <v>463</v>
      </c>
      <c r="E58" s="18"/>
    </row>
    <row r="59" spans="1:5" ht="15" customHeight="1" x14ac:dyDescent="0.25">
      <c r="A59" s="17"/>
      <c r="B59" s="17" t="s">
        <v>472</v>
      </c>
      <c r="C59" s="27">
        <v>4.3</v>
      </c>
      <c r="D59" s="18" t="s">
        <v>470</v>
      </c>
      <c r="E59" s="18"/>
    </row>
    <row r="60" spans="1:5" ht="15" customHeight="1" x14ac:dyDescent="0.25">
      <c r="A60" s="17"/>
      <c r="B60" s="17" t="s">
        <v>473</v>
      </c>
      <c r="C60" s="27">
        <v>4.7</v>
      </c>
      <c r="D60" s="18" t="s">
        <v>463</v>
      </c>
      <c r="E60" s="18"/>
    </row>
    <row r="61" spans="1:5" ht="15" customHeight="1" x14ac:dyDescent="0.25">
      <c r="A61" s="17"/>
      <c r="B61" s="17" t="s">
        <v>474</v>
      </c>
      <c r="C61" s="27">
        <v>3</v>
      </c>
      <c r="D61" s="18" t="s">
        <v>463</v>
      </c>
      <c r="E61" s="18"/>
    </row>
    <row r="62" spans="1:5" ht="15" customHeight="1" x14ac:dyDescent="0.25">
      <c r="A62" s="17"/>
      <c r="B62" s="17" t="s">
        <v>475</v>
      </c>
      <c r="C62" s="27">
        <v>2.2999999999999998</v>
      </c>
      <c r="D62" s="18" t="s">
        <v>463</v>
      </c>
      <c r="E62" s="18"/>
    </row>
    <row r="63" spans="1:5" ht="15" customHeight="1" x14ac:dyDescent="0.25">
      <c r="A63" s="17"/>
      <c r="B63" s="17" t="s">
        <v>476</v>
      </c>
      <c r="C63" s="27">
        <v>2</v>
      </c>
      <c r="D63" s="18" t="s">
        <v>463</v>
      </c>
      <c r="E63" s="18"/>
    </row>
    <row r="64" spans="1:5" ht="15" customHeight="1" x14ac:dyDescent="0.25">
      <c r="A64" s="17"/>
      <c r="B64" s="17" t="s">
        <v>467</v>
      </c>
      <c r="C64" s="27">
        <v>10</v>
      </c>
      <c r="D64" s="18" t="s">
        <v>463</v>
      </c>
      <c r="E64" s="18"/>
    </row>
    <row r="65" spans="1:11" ht="15" customHeight="1" x14ac:dyDescent="0.25">
      <c r="A65" s="17"/>
      <c r="B65" s="17"/>
      <c r="C65" s="40"/>
      <c r="D65" s="18"/>
      <c r="E65" s="18"/>
    </row>
    <row r="66" spans="1:11" ht="15" customHeight="1" x14ac:dyDescent="0.25">
      <c r="A66" s="25" t="s">
        <v>156</v>
      </c>
      <c r="B66" s="17" t="s">
        <v>477</v>
      </c>
      <c r="C66" s="27">
        <v>45</v>
      </c>
      <c r="D66" s="18" t="s">
        <v>463</v>
      </c>
      <c r="E66" s="18"/>
    </row>
    <row r="67" spans="1:11" ht="15" customHeight="1" x14ac:dyDescent="0.25">
      <c r="A67" s="17"/>
      <c r="B67" s="17" t="s">
        <v>478</v>
      </c>
      <c r="C67" s="27">
        <v>105</v>
      </c>
      <c r="D67" s="18" t="s">
        <v>470</v>
      </c>
      <c r="E67" s="18"/>
    </row>
    <row r="69" spans="1:11" ht="15" customHeight="1" x14ac:dyDescent="0.25">
      <c r="A69" s="10" t="s">
        <v>479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</row>
    <row r="70" spans="1:11" ht="15" customHeight="1" x14ac:dyDescent="0.25">
      <c r="A70" s="11" t="s">
        <v>480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ht="15" customHeight="1" x14ac:dyDescent="0.25">
      <c r="A71" s="11" t="s">
        <v>481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ht="15" customHeight="1" x14ac:dyDescent="0.25">
      <c r="A72" s="11" t="s">
        <v>482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ht="15" customHeight="1" x14ac:dyDescent="0.25">
      <c r="A73" s="11" t="s">
        <v>483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ht="15" customHeight="1" x14ac:dyDescent="0.25">
      <c r="A74" s="11" t="s">
        <v>484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ht="15" customHeight="1" x14ac:dyDescent="0.25">
      <c r="A75" s="11" t="s">
        <v>485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ht="15" customHeight="1" x14ac:dyDescent="0.25">
      <c r="A76" s="11" t="s">
        <v>486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ht="15" customHeight="1" x14ac:dyDescent="0.25">
      <c r="A77" s="11" t="s">
        <v>487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</row>
  </sheetData>
  <mergeCells count="17">
    <mergeCell ref="A76:K76"/>
    <mergeCell ref="A77:K77"/>
    <mergeCell ref="A71:K71"/>
    <mergeCell ref="A72:K72"/>
    <mergeCell ref="A73:K73"/>
    <mergeCell ref="A74:K74"/>
    <mergeCell ref="A75:K75"/>
    <mergeCell ref="A31:K31"/>
    <mergeCell ref="A37:K37"/>
    <mergeCell ref="A47:K47"/>
    <mergeCell ref="A69:K69"/>
    <mergeCell ref="A70:K70"/>
    <mergeCell ref="A1:K1"/>
    <mergeCell ref="A2:K2"/>
    <mergeCell ref="A4:K4"/>
    <mergeCell ref="A11:K11"/>
    <mergeCell ref="A21:K2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L81"/>
  <sheetViews>
    <sheetView zoomScaleNormal="100" workbookViewId="0">
      <selection sqref="A1:K1"/>
    </sheetView>
  </sheetViews>
  <sheetFormatPr baseColWidth="10" defaultColWidth="8.7109375" defaultRowHeight="15" x14ac:dyDescent="0.25"/>
  <cols>
    <col min="1" max="1" width="44" customWidth="1"/>
    <col min="2" max="11" width="15" customWidth="1"/>
    <col min="12" max="12" width="42" customWidth="1"/>
  </cols>
  <sheetData>
    <row r="1" spans="1:12" ht="31.5" customHeight="1" x14ac:dyDescent="0.25">
      <c r="A1" s="12" t="s">
        <v>488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2" ht="15" customHeight="1" x14ac:dyDescent="0.25">
      <c r="A2" s="11" t="s">
        <v>489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4" spans="1:12" ht="15" customHeight="1" x14ac:dyDescent="0.25">
      <c r="A4" s="10" t="s">
        <v>490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2" ht="15" customHeight="1" x14ac:dyDescent="0.25">
      <c r="B5" s="34" t="s">
        <v>399</v>
      </c>
      <c r="C5" s="34" t="s">
        <v>247</v>
      </c>
      <c r="D5" s="34" t="s">
        <v>130</v>
      </c>
      <c r="E5" s="34" t="s">
        <v>132</v>
      </c>
      <c r="F5" s="34" t="s">
        <v>133</v>
      </c>
      <c r="G5" s="34" t="s">
        <v>134</v>
      </c>
      <c r="H5" s="34" t="s">
        <v>248</v>
      </c>
      <c r="I5" s="34" t="s">
        <v>249</v>
      </c>
      <c r="J5" s="34" t="s">
        <v>250</v>
      </c>
      <c r="K5" s="34" t="s">
        <v>251</v>
      </c>
      <c r="L5" s="35" t="s">
        <v>252</v>
      </c>
    </row>
    <row r="6" spans="1:12" ht="15" customHeight="1" x14ac:dyDescent="0.25">
      <c r="A6" s="69" t="s">
        <v>491</v>
      </c>
    </row>
    <row r="7" spans="1:12" ht="15" customHeight="1" x14ac:dyDescent="0.25">
      <c r="A7" s="17" t="s">
        <v>492</v>
      </c>
      <c r="B7" s="61">
        <f>'Cash Flow'!B35</f>
        <v>5</v>
      </c>
      <c r="C7" s="61">
        <f>'Cash Flow'!C35</f>
        <v>23.028374999999997</v>
      </c>
      <c r="D7" s="61">
        <f>'Cash Flow'!D35</f>
        <v>45.550124999999994</v>
      </c>
      <c r="E7" s="61">
        <f>'Cash Flow'!E35</f>
        <v>135.707335</v>
      </c>
      <c r="F7" s="61">
        <f>'Cash Flow'!F35</f>
        <v>278.89055250000001</v>
      </c>
      <c r="G7" s="61">
        <f>'Cash Flow'!G35</f>
        <v>464.34677750000003</v>
      </c>
      <c r="H7" s="61">
        <f>'Cash Flow'!H35</f>
        <v>665.09467749999999</v>
      </c>
      <c r="I7" s="61">
        <f>'Cash Flow'!I35</f>
        <v>873.72345749999999</v>
      </c>
      <c r="J7" s="61">
        <f>'Cash Flow'!J35</f>
        <v>1112.5419975</v>
      </c>
      <c r="K7" s="61">
        <f>'Cash Flow'!K35</f>
        <v>1380.1364974999999</v>
      </c>
      <c r="L7" s="18" t="s">
        <v>493</v>
      </c>
    </row>
    <row r="8" spans="1:12" ht="15" customHeight="1" x14ac:dyDescent="0.25">
      <c r="A8" s="17" t="s">
        <v>494</v>
      </c>
      <c r="B8" s="45">
        <v>0</v>
      </c>
      <c r="C8" s="45">
        <f>'P&amp;L'!B17/12</f>
        <v>0.91250000000000009</v>
      </c>
      <c r="D8" s="45">
        <f>'P&amp;L'!C17/12</f>
        <v>4.1062500000000002</v>
      </c>
      <c r="E8" s="45">
        <f>'P&amp;L'!D17/12</f>
        <v>11.169000000000002</v>
      </c>
      <c r="F8" s="45">
        <f>'P&amp;L'!E17/12</f>
        <v>17.684250000000002</v>
      </c>
      <c r="G8" s="45">
        <f>'P&amp;L'!F17/12</f>
        <v>22.995000000000001</v>
      </c>
      <c r="H8" s="45">
        <f>'P&amp;L'!G17/12</f>
        <v>25.185000000000002</v>
      </c>
      <c r="I8" s="45">
        <f>'P&amp;L'!H17/12</f>
        <v>28.908000000000001</v>
      </c>
      <c r="J8" s="45">
        <f>'P&amp;L'!I17/12</f>
        <v>32.85</v>
      </c>
      <c r="K8" s="45">
        <f>'P&amp;L'!J17/12</f>
        <v>35.587499999999999</v>
      </c>
      <c r="L8" s="18" t="s">
        <v>495</v>
      </c>
    </row>
    <row r="9" spans="1:12" ht="15" customHeight="1" x14ac:dyDescent="0.25">
      <c r="A9" s="17" t="s">
        <v>496</v>
      </c>
      <c r="B9" s="45">
        <v>0</v>
      </c>
      <c r="C9" s="45">
        <f>-'P&amp;L'!B21/6</f>
        <v>0.23725000000000004</v>
      </c>
      <c r="D9" s="45">
        <f>-'P&amp;L'!C21/6</f>
        <v>1.0676250000000003</v>
      </c>
      <c r="E9" s="45">
        <f>-'P&amp;L'!D21/6</f>
        <v>2.6247150000000001</v>
      </c>
      <c r="F9" s="45">
        <f>-'P&amp;L'!E21/6</f>
        <v>3.7136925000000001</v>
      </c>
      <c r="G9" s="45">
        <f>-'P&amp;L'!F21/6</f>
        <v>4.2540749999999994</v>
      </c>
      <c r="H9" s="45">
        <f>-'P&amp;L'!G21/6</f>
        <v>4.0296000000000003</v>
      </c>
      <c r="I9" s="45">
        <f>-'P&amp;L'!H21/6</f>
        <v>4.6252800000000001</v>
      </c>
      <c r="J9" s="45">
        <f>-'P&amp;L'!I21/6</f>
        <v>5.2560000000000011</v>
      </c>
      <c r="K9" s="45">
        <f>-'P&amp;L'!J21/6</f>
        <v>5.694</v>
      </c>
      <c r="L9" s="18" t="s">
        <v>497</v>
      </c>
    </row>
    <row r="10" spans="1:12" ht="15" customHeight="1" x14ac:dyDescent="0.25">
      <c r="A10" s="62" t="s">
        <v>498</v>
      </c>
      <c r="B10" s="74">
        <f t="shared" ref="B10:K10" si="0">B7+B8+B9</f>
        <v>5</v>
      </c>
      <c r="C10" s="74">
        <f t="shared" si="0"/>
        <v>24.178124999999998</v>
      </c>
      <c r="D10" s="74">
        <f t="shared" si="0"/>
        <v>50.723999999999997</v>
      </c>
      <c r="E10" s="74">
        <f t="shared" si="0"/>
        <v>149.50105000000002</v>
      </c>
      <c r="F10" s="74">
        <f t="shared" si="0"/>
        <v>300.28849500000001</v>
      </c>
      <c r="G10" s="74">
        <f t="shared" si="0"/>
        <v>491.59585250000003</v>
      </c>
      <c r="H10" s="74">
        <f t="shared" si="0"/>
        <v>694.30927749999989</v>
      </c>
      <c r="I10" s="74">
        <f t="shared" si="0"/>
        <v>907.25673749999999</v>
      </c>
      <c r="J10" s="74">
        <f t="shared" si="0"/>
        <v>1150.6479975</v>
      </c>
      <c r="K10" s="74">
        <f t="shared" si="0"/>
        <v>1421.4179975</v>
      </c>
      <c r="L10" s="77"/>
    </row>
    <row r="12" spans="1:12" ht="15" customHeight="1" x14ac:dyDescent="0.25">
      <c r="A12" s="69" t="s">
        <v>499</v>
      </c>
    </row>
    <row r="13" spans="1:12" ht="15" customHeight="1" x14ac:dyDescent="0.25">
      <c r="A13" s="17" t="s">
        <v>500</v>
      </c>
      <c r="B13" s="45">
        <v>0</v>
      </c>
      <c r="C13" s="45">
        <f>'Cash Flow'!C13*Assumptions!$C$23/1000000</f>
        <v>50</v>
      </c>
      <c r="D13" s="45">
        <f>C13+'Cash Flow'!D13*Assumptions!$C$23/1000000</f>
        <v>100</v>
      </c>
      <c r="E13" s="45">
        <f>D13+'Cash Flow'!E13*Assumptions!$C$23/1000000</f>
        <v>150</v>
      </c>
      <c r="F13" s="45">
        <f>E13+'Cash Flow'!F13*Assumptions!$C$23/1000000</f>
        <v>200</v>
      </c>
      <c r="G13" s="45">
        <f>F13+'Cash Flow'!G13*Assumptions!$C$23/1000000</f>
        <v>200</v>
      </c>
      <c r="H13" s="45">
        <f>G13+'Cash Flow'!H13*Assumptions!$C$23/1000000</f>
        <v>200</v>
      </c>
      <c r="I13" s="45">
        <f>H13+'Cash Flow'!I13*Assumptions!$C$23/1000000</f>
        <v>220</v>
      </c>
      <c r="J13" s="45">
        <f>I13+'Cash Flow'!J13*Assumptions!$C$23/1000000</f>
        <v>240</v>
      </c>
      <c r="K13" s="45">
        <f>J13+'Cash Flow'!K13*Assumptions!$C$23/1000000</f>
        <v>250</v>
      </c>
      <c r="L13" s="18" t="s">
        <v>501</v>
      </c>
    </row>
    <row r="14" spans="1:12" ht="15" customHeight="1" x14ac:dyDescent="0.25">
      <c r="A14" s="17" t="s">
        <v>502</v>
      </c>
      <c r="B14" s="45">
        <v>0</v>
      </c>
      <c r="C14" s="45">
        <f>'P&amp;L'!B31</f>
        <v>-2.604166666666667</v>
      </c>
      <c r="D14" s="45">
        <f>C14+'P&amp;L'!C31</f>
        <v>-8.8541666666666679</v>
      </c>
      <c r="E14" s="45">
        <f>D14+'P&amp;L'!D31</f>
        <v>-21.354166666666668</v>
      </c>
      <c r="F14" s="45">
        <f>E14+'P&amp;L'!E31</f>
        <v>-42.604166666666671</v>
      </c>
      <c r="G14" s="45">
        <f>F14+'P&amp;L'!F31</f>
        <v>-67.604166666666671</v>
      </c>
      <c r="H14" s="45">
        <f>G14+'P&amp;L'!G31</f>
        <v>-92.604166666666671</v>
      </c>
      <c r="I14" s="45">
        <f>H14+'P&amp;L'!H31</f>
        <v>-120.10416666666667</v>
      </c>
      <c r="J14" s="45">
        <f>I14+'P&amp;L'!I31</f>
        <v>-150.10416666666669</v>
      </c>
      <c r="K14" s="45">
        <f>J14+'P&amp;L'!J31</f>
        <v>-181.35416666666669</v>
      </c>
      <c r="L14" s="18" t="s">
        <v>503</v>
      </c>
    </row>
    <row r="15" spans="1:12" ht="15" customHeight="1" x14ac:dyDescent="0.25">
      <c r="A15" s="25" t="s">
        <v>504</v>
      </c>
      <c r="B15" s="61">
        <f t="shared" ref="B15:K15" si="1">B13+B14</f>
        <v>0</v>
      </c>
      <c r="C15" s="61">
        <f t="shared" si="1"/>
        <v>47.395833333333336</v>
      </c>
      <c r="D15" s="61">
        <f t="shared" si="1"/>
        <v>91.145833333333329</v>
      </c>
      <c r="E15" s="61">
        <f t="shared" si="1"/>
        <v>128.64583333333334</v>
      </c>
      <c r="F15" s="61">
        <f t="shared" si="1"/>
        <v>157.39583333333331</v>
      </c>
      <c r="G15" s="61">
        <f t="shared" si="1"/>
        <v>132.39583333333331</v>
      </c>
      <c r="H15" s="61">
        <f t="shared" si="1"/>
        <v>107.39583333333333</v>
      </c>
      <c r="I15" s="61">
        <f t="shared" si="1"/>
        <v>99.895833333333329</v>
      </c>
      <c r="J15" s="61">
        <f t="shared" si="1"/>
        <v>89.895833333333314</v>
      </c>
      <c r="K15" s="61">
        <f t="shared" si="1"/>
        <v>68.645833333333314</v>
      </c>
      <c r="L15" s="18" t="s">
        <v>505</v>
      </c>
    </row>
    <row r="17" spans="1:12" ht="15" customHeight="1" x14ac:dyDescent="0.25">
      <c r="A17" s="17" t="s">
        <v>506</v>
      </c>
      <c r="B17" s="66">
        <v>0</v>
      </c>
      <c r="C17" s="66">
        <v>8.6199999999999992</v>
      </c>
      <c r="D17" s="66">
        <v>8.6199999999999992</v>
      </c>
      <c r="E17" s="66">
        <v>8.6199999999999992</v>
      </c>
      <c r="F17" s="66">
        <v>8.6199999999999992</v>
      </c>
      <c r="G17" s="66">
        <v>8.6199999999999992</v>
      </c>
      <c r="H17" s="66">
        <v>8.6199999999999992</v>
      </c>
      <c r="I17" s="66">
        <v>8.6199999999999992</v>
      </c>
      <c r="J17" s="66">
        <v>8.6199999999999992</v>
      </c>
      <c r="K17" s="66">
        <v>8.6199999999999992</v>
      </c>
      <c r="L17" s="18" t="s">
        <v>507</v>
      </c>
    </row>
    <row r="18" spans="1:12" ht="15" customHeight="1" x14ac:dyDescent="0.25">
      <c r="A18" s="17" t="s">
        <v>508</v>
      </c>
      <c r="B18" s="45">
        <v>0</v>
      </c>
      <c r="C18" s="45">
        <f>'P&amp;L'!B32</f>
        <v>-0.44791666666666669</v>
      </c>
      <c r="D18" s="45">
        <f>C18+'P&amp;L'!C32</f>
        <v>-1.5229166666666667</v>
      </c>
      <c r="E18" s="45">
        <f>D18+'P&amp;L'!D32</f>
        <v>-2.5979166666666664</v>
      </c>
      <c r="F18" s="45">
        <f>E18+'P&amp;L'!E32</f>
        <v>-3.6729166666666666</v>
      </c>
      <c r="G18" s="45">
        <f>F18+'P&amp;L'!F32</f>
        <v>-4.7479166666666668</v>
      </c>
      <c r="H18" s="45">
        <f>G18+'P&amp;L'!G32</f>
        <v>-5.822916666666667</v>
      </c>
      <c r="I18" s="45">
        <f>H18+'P&amp;L'!H32</f>
        <v>-6.8979166666666671</v>
      </c>
      <c r="J18" s="45">
        <f>I18+'P&amp;L'!I32</f>
        <v>-7.9729166666666673</v>
      </c>
      <c r="K18" s="45">
        <f>J18+'P&amp;L'!J32</f>
        <v>-9.0479166666666675</v>
      </c>
      <c r="L18" s="18" t="s">
        <v>509</v>
      </c>
    </row>
    <row r="19" spans="1:12" ht="15" customHeight="1" x14ac:dyDescent="0.25">
      <c r="A19" s="25" t="s">
        <v>510</v>
      </c>
      <c r="B19" s="61">
        <f t="shared" ref="B19:K19" si="2">B17+B18</f>
        <v>0</v>
      </c>
      <c r="C19" s="61">
        <f t="shared" si="2"/>
        <v>8.1720833333333331</v>
      </c>
      <c r="D19" s="61">
        <f t="shared" si="2"/>
        <v>7.0970833333333321</v>
      </c>
      <c r="E19" s="61">
        <f t="shared" si="2"/>
        <v>6.0220833333333328</v>
      </c>
      <c r="F19" s="61">
        <f t="shared" si="2"/>
        <v>4.9470833333333326</v>
      </c>
      <c r="G19" s="61">
        <f t="shared" si="2"/>
        <v>3.8720833333333324</v>
      </c>
      <c r="H19" s="61">
        <f t="shared" si="2"/>
        <v>2.7970833333333323</v>
      </c>
      <c r="I19" s="61">
        <f t="shared" si="2"/>
        <v>1.7220833333333321</v>
      </c>
      <c r="J19" s="61">
        <f t="shared" si="2"/>
        <v>0.6470833333333319</v>
      </c>
      <c r="K19" s="61">
        <f t="shared" si="2"/>
        <v>-0.42791666666666828</v>
      </c>
      <c r="L19" s="40"/>
    </row>
    <row r="21" spans="1:12" ht="15" customHeight="1" x14ac:dyDescent="0.25">
      <c r="A21" s="17" t="s">
        <v>511</v>
      </c>
      <c r="B21" s="66">
        <v>0</v>
      </c>
      <c r="C21" s="66">
        <v>5</v>
      </c>
      <c r="D21" s="66">
        <v>5</v>
      </c>
      <c r="E21" s="66">
        <v>5</v>
      </c>
      <c r="F21" s="66">
        <v>10.6</v>
      </c>
      <c r="G21" s="66">
        <v>16.2</v>
      </c>
      <c r="H21" s="66">
        <v>21.8</v>
      </c>
      <c r="I21" s="66">
        <v>27.4</v>
      </c>
      <c r="J21" s="66">
        <v>33</v>
      </c>
      <c r="K21" s="66">
        <v>38.6</v>
      </c>
      <c r="L21" s="18" t="s">
        <v>512</v>
      </c>
    </row>
    <row r="22" spans="1:12" ht="15" customHeight="1" x14ac:dyDescent="0.25">
      <c r="A22" s="17" t="s">
        <v>513</v>
      </c>
      <c r="B22" s="66">
        <v>0</v>
      </c>
      <c r="C22" s="66">
        <v>-0.42</v>
      </c>
      <c r="D22" s="66">
        <v>-1.42</v>
      </c>
      <c r="E22" s="66">
        <v>-2.42</v>
      </c>
      <c r="F22" s="66">
        <v>-3.89</v>
      </c>
      <c r="G22" s="66">
        <v>-5.89</v>
      </c>
      <c r="H22" s="66">
        <v>-8.01</v>
      </c>
      <c r="I22" s="66">
        <v>-10.37</v>
      </c>
      <c r="J22" s="66">
        <v>-12.97</v>
      </c>
      <c r="K22" s="66">
        <v>-15.69</v>
      </c>
      <c r="L22" s="18" t="s">
        <v>514</v>
      </c>
    </row>
    <row r="23" spans="1:12" ht="15" customHeight="1" x14ac:dyDescent="0.25">
      <c r="A23" s="25" t="s">
        <v>515</v>
      </c>
      <c r="B23" s="61">
        <f t="shared" ref="B23:K23" si="3">B21+B22</f>
        <v>0</v>
      </c>
      <c r="C23" s="61">
        <f t="shared" si="3"/>
        <v>4.58</v>
      </c>
      <c r="D23" s="61">
        <f t="shared" si="3"/>
        <v>3.58</v>
      </c>
      <c r="E23" s="61">
        <f t="shared" si="3"/>
        <v>2.58</v>
      </c>
      <c r="F23" s="61">
        <f t="shared" si="3"/>
        <v>6.7099999999999991</v>
      </c>
      <c r="G23" s="61">
        <f t="shared" si="3"/>
        <v>10.309999999999999</v>
      </c>
      <c r="H23" s="61">
        <f t="shared" si="3"/>
        <v>13.790000000000001</v>
      </c>
      <c r="I23" s="61">
        <f t="shared" si="3"/>
        <v>17.03</v>
      </c>
      <c r="J23" s="61">
        <f t="shared" si="3"/>
        <v>20.03</v>
      </c>
      <c r="K23" s="61">
        <f t="shared" si="3"/>
        <v>22.910000000000004</v>
      </c>
      <c r="L23" s="40"/>
    </row>
    <row r="25" spans="1:12" ht="15" customHeight="1" x14ac:dyDescent="0.25">
      <c r="A25" s="62" t="s">
        <v>516</v>
      </c>
      <c r="B25" s="74">
        <f t="shared" ref="B25:K25" si="4">B15+B19+B23</f>
        <v>0</v>
      </c>
      <c r="C25" s="74">
        <f t="shared" si="4"/>
        <v>60.147916666666667</v>
      </c>
      <c r="D25" s="74">
        <f t="shared" si="4"/>
        <v>101.82291666666666</v>
      </c>
      <c r="E25" s="74">
        <f t="shared" si="4"/>
        <v>137.2479166666667</v>
      </c>
      <c r="F25" s="74">
        <f t="shared" si="4"/>
        <v>169.05291666666665</v>
      </c>
      <c r="G25" s="74">
        <f t="shared" si="4"/>
        <v>146.57791666666665</v>
      </c>
      <c r="H25" s="74">
        <f t="shared" si="4"/>
        <v>123.98291666666667</v>
      </c>
      <c r="I25" s="74">
        <f t="shared" si="4"/>
        <v>118.64791666666666</v>
      </c>
      <c r="J25" s="74">
        <f t="shared" si="4"/>
        <v>110.57291666666664</v>
      </c>
      <c r="K25" s="74">
        <f t="shared" si="4"/>
        <v>91.127916666666636</v>
      </c>
      <c r="L25" s="77"/>
    </row>
    <row r="27" spans="1:12" ht="15" customHeight="1" x14ac:dyDescent="0.25">
      <c r="A27" s="41" t="s">
        <v>517</v>
      </c>
      <c r="B27" s="68">
        <f t="shared" ref="B27:K27" si="5">B10+B25</f>
        <v>5</v>
      </c>
      <c r="C27" s="68">
        <f t="shared" si="5"/>
        <v>84.326041666666669</v>
      </c>
      <c r="D27" s="68">
        <f t="shared" si="5"/>
        <v>152.54691666666665</v>
      </c>
      <c r="E27" s="68">
        <f t="shared" si="5"/>
        <v>286.74896666666672</v>
      </c>
      <c r="F27" s="68">
        <f t="shared" si="5"/>
        <v>469.34141166666666</v>
      </c>
      <c r="G27" s="68">
        <f t="shared" si="5"/>
        <v>638.17376916666672</v>
      </c>
      <c r="H27" s="68">
        <f t="shared" si="5"/>
        <v>818.2921941666666</v>
      </c>
      <c r="I27" s="68">
        <f t="shared" si="5"/>
        <v>1025.9046541666667</v>
      </c>
      <c r="J27" s="68">
        <f t="shared" si="5"/>
        <v>1261.2209141666667</v>
      </c>
      <c r="K27" s="68">
        <f t="shared" si="5"/>
        <v>1512.5459141666665</v>
      </c>
      <c r="L27" s="52"/>
    </row>
    <row r="30" spans="1:12" ht="15" customHeight="1" x14ac:dyDescent="0.25">
      <c r="A30" s="10" t="s">
        <v>518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</row>
    <row r="31" spans="1:12" ht="15" customHeight="1" x14ac:dyDescent="0.25">
      <c r="B31" s="34" t="s">
        <v>399</v>
      </c>
      <c r="C31" s="34" t="s">
        <v>247</v>
      </c>
      <c r="D31" s="34" t="s">
        <v>130</v>
      </c>
      <c r="E31" s="34" t="s">
        <v>132</v>
      </c>
      <c r="F31" s="34" t="s">
        <v>133</v>
      </c>
      <c r="G31" s="34" t="s">
        <v>134</v>
      </c>
      <c r="H31" s="34" t="s">
        <v>248</v>
      </c>
      <c r="I31" s="34" t="s">
        <v>249</v>
      </c>
      <c r="J31" s="34" t="s">
        <v>250</v>
      </c>
      <c r="K31" s="34" t="s">
        <v>251</v>
      </c>
      <c r="L31" s="35" t="s">
        <v>252</v>
      </c>
    </row>
    <row r="32" spans="1:12" ht="15" customHeight="1" x14ac:dyDescent="0.25">
      <c r="A32" s="69" t="s">
        <v>519</v>
      </c>
    </row>
    <row r="33" spans="1:12" ht="15" customHeight="1" x14ac:dyDescent="0.25">
      <c r="A33" s="17" t="s">
        <v>520</v>
      </c>
      <c r="B33" s="45">
        <v>0</v>
      </c>
      <c r="C33" s="45">
        <f>-'P&amp;L'!B50/12</f>
        <v>1.0794756944444446</v>
      </c>
      <c r="D33" s="45">
        <f>-'P&amp;L'!C50/12</f>
        <v>2.839854166666667</v>
      </c>
      <c r="E33" s="45">
        <f>-'P&amp;L'!D50/12</f>
        <v>4.7871491666666675</v>
      </c>
      <c r="F33" s="45">
        <f>-'P&amp;L'!E50/12</f>
        <v>6.729554583333333</v>
      </c>
      <c r="G33" s="45">
        <f>-'P&amp;L'!F50/12</f>
        <v>7.7559958333333343</v>
      </c>
      <c r="H33" s="45">
        <f>-'P&amp;L'!G50/12</f>
        <v>7.6437583333333343</v>
      </c>
      <c r="I33" s="45">
        <f>-'P&amp;L'!H50/12</f>
        <v>8.4457649999999997</v>
      </c>
      <c r="J33" s="45">
        <f>-'P&amp;L'!I50/12</f>
        <v>9.1736249999999995</v>
      </c>
      <c r="K33" s="45">
        <f>-'P&amp;L'!J50/12</f>
        <v>9.6447083333333339</v>
      </c>
      <c r="L33" s="18" t="s">
        <v>521</v>
      </c>
    </row>
    <row r="34" spans="1:12" ht="15" customHeight="1" x14ac:dyDescent="0.25">
      <c r="A34" s="17" t="s">
        <v>522</v>
      </c>
      <c r="B34" s="66">
        <v>0</v>
      </c>
      <c r="C34" s="66">
        <v>0.5</v>
      </c>
      <c r="D34" s="66">
        <v>1</v>
      </c>
      <c r="E34" s="66">
        <v>1.5</v>
      </c>
      <c r="F34" s="66">
        <v>2</v>
      </c>
      <c r="G34" s="66">
        <v>2</v>
      </c>
      <c r="H34" s="66">
        <v>2</v>
      </c>
      <c r="I34" s="66">
        <v>2.5</v>
      </c>
      <c r="J34" s="66">
        <v>2.5</v>
      </c>
      <c r="K34" s="66">
        <v>3</v>
      </c>
      <c r="L34" s="18" t="s">
        <v>523</v>
      </c>
    </row>
    <row r="35" spans="1:12" ht="15" customHeight="1" x14ac:dyDescent="0.25">
      <c r="A35" s="62" t="s">
        <v>524</v>
      </c>
      <c r="B35" s="74">
        <f t="shared" ref="B35:K35" si="6">B33+B34</f>
        <v>0</v>
      </c>
      <c r="C35" s="74">
        <f t="shared" si="6"/>
        <v>1.5794756944444446</v>
      </c>
      <c r="D35" s="74">
        <f t="shared" si="6"/>
        <v>3.839854166666667</v>
      </c>
      <c r="E35" s="74">
        <f t="shared" si="6"/>
        <v>6.2871491666666675</v>
      </c>
      <c r="F35" s="74">
        <f t="shared" si="6"/>
        <v>8.7295545833333321</v>
      </c>
      <c r="G35" s="74">
        <f t="shared" si="6"/>
        <v>9.7559958333333334</v>
      </c>
      <c r="H35" s="74">
        <f t="shared" si="6"/>
        <v>9.6437583333333343</v>
      </c>
      <c r="I35" s="74">
        <f t="shared" si="6"/>
        <v>10.945765</v>
      </c>
      <c r="J35" s="74">
        <f t="shared" si="6"/>
        <v>11.673624999999999</v>
      </c>
      <c r="K35" s="74">
        <f t="shared" si="6"/>
        <v>12.644708333333334</v>
      </c>
      <c r="L35" s="77"/>
    </row>
    <row r="37" spans="1:12" ht="15" customHeight="1" x14ac:dyDescent="0.25">
      <c r="A37" s="69" t="s">
        <v>525</v>
      </c>
    </row>
    <row r="38" spans="1:12" ht="15" customHeight="1" x14ac:dyDescent="0.25">
      <c r="A38" s="17" t="s">
        <v>526</v>
      </c>
      <c r="B38" s="61">
        <v>0</v>
      </c>
      <c r="C38" s="61">
        <f>'P&amp;L'!B39</f>
        <v>29.3</v>
      </c>
      <c r="D38" s="61">
        <f>'P&amp;L'!C39</f>
        <v>29.3</v>
      </c>
      <c r="E38" s="61">
        <f>'P&amp;L'!D39</f>
        <v>64.3</v>
      </c>
      <c r="F38" s="61">
        <f>'P&amp;L'!E39</f>
        <v>113.3</v>
      </c>
      <c r="G38" s="61">
        <f>'P&amp;L'!F39</f>
        <v>134.30000000000001</v>
      </c>
      <c r="H38" s="61">
        <f>'P&amp;L'!G39</f>
        <v>134.30000000000001</v>
      </c>
      <c r="I38" s="61">
        <f>'P&amp;L'!H39</f>
        <v>148.30000000000001</v>
      </c>
      <c r="J38" s="61">
        <f>'P&amp;L'!I39</f>
        <v>162.30000000000001</v>
      </c>
      <c r="K38" s="61">
        <f>'P&amp;L'!J39</f>
        <v>169.3</v>
      </c>
      <c r="L38" s="18" t="s">
        <v>527</v>
      </c>
    </row>
    <row r="39" spans="1:12" ht="15" customHeight="1" x14ac:dyDescent="0.25">
      <c r="A39" s="62" t="s">
        <v>528</v>
      </c>
      <c r="B39" s="74">
        <f t="shared" ref="B39:K39" si="7">B38</f>
        <v>0</v>
      </c>
      <c r="C39" s="74">
        <f t="shared" si="7"/>
        <v>29.3</v>
      </c>
      <c r="D39" s="74">
        <f t="shared" si="7"/>
        <v>29.3</v>
      </c>
      <c r="E39" s="74">
        <f t="shared" si="7"/>
        <v>64.3</v>
      </c>
      <c r="F39" s="74">
        <f t="shared" si="7"/>
        <v>113.3</v>
      </c>
      <c r="G39" s="74">
        <f t="shared" si="7"/>
        <v>134.30000000000001</v>
      </c>
      <c r="H39" s="74">
        <f t="shared" si="7"/>
        <v>134.30000000000001</v>
      </c>
      <c r="I39" s="74">
        <f t="shared" si="7"/>
        <v>148.30000000000001</v>
      </c>
      <c r="J39" s="74">
        <f t="shared" si="7"/>
        <v>162.30000000000001</v>
      </c>
      <c r="K39" s="74">
        <f t="shared" si="7"/>
        <v>169.3</v>
      </c>
      <c r="L39" s="77"/>
    </row>
    <row r="41" spans="1:12" ht="15" customHeight="1" x14ac:dyDescent="0.25">
      <c r="A41" s="64" t="s">
        <v>529</v>
      </c>
      <c r="B41" s="78">
        <f t="shared" ref="B41:K41" si="8">B35+B39</f>
        <v>0</v>
      </c>
      <c r="C41" s="78">
        <f t="shared" si="8"/>
        <v>30.879475694444444</v>
      </c>
      <c r="D41" s="78">
        <f t="shared" si="8"/>
        <v>33.139854166666666</v>
      </c>
      <c r="E41" s="78">
        <f t="shared" si="8"/>
        <v>70.587149166666663</v>
      </c>
      <c r="F41" s="78">
        <f t="shared" si="8"/>
        <v>122.02955458333332</v>
      </c>
      <c r="G41" s="78">
        <f t="shared" si="8"/>
        <v>144.05599583333336</v>
      </c>
      <c r="H41" s="78">
        <f t="shared" si="8"/>
        <v>143.94375833333334</v>
      </c>
      <c r="I41" s="78">
        <f t="shared" si="8"/>
        <v>159.24576500000001</v>
      </c>
      <c r="J41" s="78">
        <f t="shared" si="8"/>
        <v>173.973625</v>
      </c>
      <c r="K41" s="78">
        <f t="shared" si="8"/>
        <v>181.94470833333335</v>
      </c>
      <c r="L41" s="77"/>
    </row>
    <row r="44" spans="1:12" ht="15" customHeight="1" x14ac:dyDescent="0.25">
      <c r="A44" s="10" t="s">
        <v>530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</row>
    <row r="45" spans="1:12" ht="15" customHeight="1" x14ac:dyDescent="0.25">
      <c r="B45" s="34" t="s">
        <v>399</v>
      </c>
      <c r="C45" s="34" t="s">
        <v>247</v>
      </c>
      <c r="D45" s="34" t="s">
        <v>130</v>
      </c>
      <c r="E45" s="34" t="s">
        <v>132</v>
      </c>
      <c r="F45" s="34" t="s">
        <v>133</v>
      </c>
      <c r="G45" s="34" t="s">
        <v>134</v>
      </c>
      <c r="H45" s="34" t="s">
        <v>248</v>
      </c>
      <c r="I45" s="34" t="s">
        <v>249</v>
      </c>
      <c r="J45" s="34" t="s">
        <v>250</v>
      </c>
      <c r="K45" s="34" t="s">
        <v>251</v>
      </c>
      <c r="L45" s="35" t="s">
        <v>252</v>
      </c>
    </row>
    <row r="46" spans="1:12" ht="15" customHeight="1" x14ac:dyDescent="0.25">
      <c r="A46" s="17" t="s">
        <v>531</v>
      </c>
      <c r="B46" s="61">
        <f>'Cash Flow'!B41</f>
        <v>5</v>
      </c>
      <c r="C46" s="61">
        <f>'Cash Flow'!C41</f>
        <v>56.3</v>
      </c>
      <c r="D46" s="61">
        <f>'Cash Flow'!D41</f>
        <v>71.3</v>
      </c>
      <c r="E46" s="61">
        <f>'Cash Flow'!E41</f>
        <v>86.3</v>
      </c>
      <c r="F46" s="61">
        <f>'Cash Flow'!F41</f>
        <v>101.3</v>
      </c>
      <c r="G46" s="61">
        <f>'Cash Flow'!G41</f>
        <v>101.3</v>
      </c>
      <c r="H46" s="61">
        <f>'Cash Flow'!H41</f>
        <v>101.3</v>
      </c>
      <c r="I46" s="61">
        <f>'Cash Flow'!I41</f>
        <v>101.3</v>
      </c>
      <c r="J46" s="61">
        <f>'Cash Flow'!J41</f>
        <v>101.3</v>
      </c>
      <c r="K46" s="61">
        <f>'Cash Flow'!K41</f>
        <v>101.3</v>
      </c>
      <c r="L46" s="18" t="s">
        <v>532</v>
      </c>
    </row>
    <row r="47" spans="1:12" ht="15" customHeight="1" x14ac:dyDescent="0.25">
      <c r="A47" s="25" t="s">
        <v>533</v>
      </c>
      <c r="B47" s="61">
        <f t="shared" ref="B47:K47" si="9">B27-B41-B46</f>
        <v>0</v>
      </c>
      <c r="C47" s="61">
        <f t="shared" si="9"/>
        <v>-2.853434027777773</v>
      </c>
      <c r="D47" s="61">
        <f t="shared" si="9"/>
        <v>48.107062499999984</v>
      </c>
      <c r="E47" s="61">
        <f t="shared" si="9"/>
        <v>129.86181750000003</v>
      </c>
      <c r="F47" s="61">
        <f t="shared" si="9"/>
        <v>246.01185708333333</v>
      </c>
      <c r="G47" s="61">
        <f t="shared" si="9"/>
        <v>392.81777333333338</v>
      </c>
      <c r="H47" s="61">
        <f t="shared" si="9"/>
        <v>573.04843583333331</v>
      </c>
      <c r="I47" s="61">
        <f t="shared" si="9"/>
        <v>765.3588891666667</v>
      </c>
      <c r="J47" s="61">
        <f t="shared" si="9"/>
        <v>985.94728916666668</v>
      </c>
      <c r="K47" s="61">
        <f t="shared" si="9"/>
        <v>1229.3012058333331</v>
      </c>
      <c r="L47" s="18" t="s">
        <v>534</v>
      </c>
    </row>
    <row r="48" spans="1:12" ht="15" customHeight="1" x14ac:dyDescent="0.25">
      <c r="A48" s="64" t="s">
        <v>535</v>
      </c>
      <c r="B48" s="78">
        <f t="shared" ref="B48:K48" si="10">B46+B47</f>
        <v>5</v>
      </c>
      <c r="C48" s="78">
        <f t="shared" si="10"/>
        <v>53.446565972222224</v>
      </c>
      <c r="D48" s="78">
        <f t="shared" si="10"/>
        <v>119.40706249999998</v>
      </c>
      <c r="E48" s="78">
        <f t="shared" si="10"/>
        <v>216.16181750000004</v>
      </c>
      <c r="F48" s="78">
        <f t="shared" si="10"/>
        <v>347.31185708333334</v>
      </c>
      <c r="G48" s="78">
        <f t="shared" si="10"/>
        <v>494.11777333333339</v>
      </c>
      <c r="H48" s="78">
        <f t="shared" si="10"/>
        <v>674.34843583333327</v>
      </c>
      <c r="I48" s="78">
        <f t="shared" si="10"/>
        <v>866.65888916666665</v>
      </c>
      <c r="J48" s="78">
        <f t="shared" si="10"/>
        <v>1087.2472891666666</v>
      </c>
      <c r="K48" s="78">
        <f t="shared" si="10"/>
        <v>1330.6012058333331</v>
      </c>
      <c r="L48" s="77"/>
    </row>
    <row r="50" spans="1:12" ht="15" customHeight="1" x14ac:dyDescent="0.25">
      <c r="A50" s="41" t="s">
        <v>536</v>
      </c>
      <c r="B50" s="68">
        <f t="shared" ref="B50:K50" si="11">B41+B48</f>
        <v>5</v>
      </c>
      <c r="C50" s="68">
        <f t="shared" si="11"/>
        <v>84.326041666666669</v>
      </c>
      <c r="D50" s="68">
        <f t="shared" si="11"/>
        <v>152.54691666666665</v>
      </c>
      <c r="E50" s="68">
        <f t="shared" si="11"/>
        <v>286.74896666666672</v>
      </c>
      <c r="F50" s="68">
        <f t="shared" si="11"/>
        <v>469.34141166666666</v>
      </c>
      <c r="G50" s="68">
        <f t="shared" si="11"/>
        <v>638.17376916666672</v>
      </c>
      <c r="H50" s="68">
        <f t="shared" si="11"/>
        <v>818.2921941666666</v>
      </c>
      <c r="I50" s="68">
        <f t="shared" si="11"/>
        <v>1025.9046541666667</v>
      </c>
      <c r="J50" s="68">
        <f t="shared" si="11"/>
        <v>1261.2209141666667</v>
      </c>
      <c r="K50" s="68">
        <f t="shared" si="11"/>
        <v>1512.5459141666665</v>
      </c>
      <c r="L50" s="52"/>
    </row>
    <row r="51" spans="1:12" ht="15" customHeight="1" x14ac:dyDescent="0.25">
      <c r="A51" s="17" t="s">
        <v>537</v>
      </c>
      <c r="B51" s="79">
        <f t="shared" ref="B51:K51" si="12">ROUND(B27-B50,2)</f>
        <v>0</v>
      </c>
      <c r="C51" s="79">
        <f t="shared" si="12"/>
        <v>0</v>
      </c>
      <c r="D51" s="79">
        <f t="shared" si="12"/>
        <v>0</v>
      </c>
      <c r="E51" s="79">
        <f t="shared" si="12"/>
        <v>0</v>
      </c>
      <c r="F51" s="79">
        <f t="shared" si="12"/>
        <v>0</v>
      </c>
      <c r="G51" s="79">
        <f t="shared" si="12"/>
        <v>0</v>
      </c>
      <c r="H51" s="79">
        <f t="shared" si="12"/>
        <v>0</v>
      </c>
      <c r="I51" s="79">
        <f t="shared" si="12"/>
        <v>0</v>
      </c>
      <c r="J51" s="79">
        <f t="shared" si="12"/>
        <v>0</v>
      </c>
      <c r="K51" s="79">
        <f t="shared" si="12"/>
        <v>0</v>
      </c>
      <c r="L51" s="40"/>
    </row>
    <row r="54" spans="1:12" ht="15" customHeight="1" x14ac:dyDescent="0.25">
      <c r="A54" s="10" t="s">
        <v>538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</row>
    <row r="55" spans="1:12" ht="15" customHeight="1" x14ac:dyDescent="0.25">
      <c r="B55" s="34" t="s">
        <v>399</v>
      </c>
      <c r="C55" s="34" t="s">
        <v>247</v>
      </c>
      <c r="D55" s="34" t="s">
        <v>130</v>
      </c>
      <c r="E55" s="34" t="s">
        <v>132</v>
      </c>
      <c r="F55" s="34" t="s">
        <v>133</v>
      </c>
      <c r="G55" s="34" t="s">
        <v>134</v>
      </c>
      <c r="H55" s="34" t="s">
        <v>248</v>
      </c>
      <c r="I55" s="34" t="s">
        <v>249</v>
      </c>
      <c r="J55" s="34" t="s">
        <v>250</v>
      </c>
      <c r="K55" s="34" t="s">
        <v>251</v>
      </c>
      <c r="L55" s="35" t="s">
        <v>252</v>
      </c>
    </row>
    <row r="56" spans="1:12" ht="15" customHeight="1" x14ac:dyDescent="0.25">
      <c r="A56" s="17" t="s">
        <v>539</v>
      </c>
      <c r="B56" s="45">
        <v>0</v>
      </c>
      <c r="C56" s="45">
        <f>'P&amp;L'!B73</f>
        <v>-2.0037083333333339</v>
      </c>
      <c r="D56" s="45">
        <f>'P&amp;L'!C73</f>
        <v>13.193041666666668</v>
      </c>
      <c r="E56" s="45">
        <f>'P&amp;L'!D73</f>
        <v>89.775251666666676</v>
      </c>
      <c r="F56" s="45">
        <f>'P&amp;L'!E73</f>
        <v>216.23346916666668</v>
      </c>
      <c r="G56" s="45">
        <f>'P&amp;L'!F73</f>
        <v>381.21469416666667</v>
      </c>
      <c r="H56" s="45">
        <f>'P&amp;L'!G73</f>
        <v>561.48759416666667</v>
      </c>
      <c r="I56" s="45">
        <f>'P&amp;L'!H73</f>
        <v>767.14137416666676</v>
      </c>
      <c r="J56" s="45">
        <f>'P&amp;L'!I73</f>
        <v>1000.4849141666668</v>
      </c>
      <c r="K56" s="45">
        <f>'P&amp;L'!J73</f>
        <v>1251.3544141666669</v>
      </c>
      <c r="L56" s="18" t="s">
        <v>540</v>
      </c>
    </row>
    <row r="57" spans="1:12" ht="15" customHeight="1" x14ac:dyDescent="0.25">
      <c r="A57" s="17" t="s">
        <v>541</v>
      </c>
      <c r="B57" s="66">
        <v>0</v>
      </c>
      <c r="C57" s="66">
        <v>-0.42</v>
      </c>
      <c r="D57" s="66">
        <v>-1.42</v>
      </c>
      <c r="E57" s="66">
        <v>-2.42</v>
      </c>
      <c r="F57" s="66">
        <v>-3.89</v>
      </c>
      <c r="G57" s="66">
        <v>-5.89</v>
      </c>
      <c r="H57" s="66">
        <v>-8.01</v>
      </c>
      <c r="I57" s="66">
        <v>-10.37</v>
      </c>
      <c r="J57" s="66">
        <v>-12.97</v>
      </c>
      <c r="K57" s="66">
        <v>-15.69</v>
      </c>
      <c r="L57" s="18" t="s">
        <v>542</v>
      </c>
    </row>
    <row r="58" spans="1:12" ht="15" customHeight="1" x14ac:dyDescent="0.25">
      <c r="A58" s="17" t="s">
        <v>543</v>
      </c>
      <c r="B58" s="45">
        <f t="shared" ref="B58:K58" si="13">B8+B9-B33-B34</f>
        <v>0</v>
      </c>
      <c r="C58" s="45">
        <f t="shared" si="13"/>
        <v>-0.42972569444444453</v>
      </c>
      <c r="D58" s="45">
        <f t="shared" si="13"/>
        <v>1.3340208333333337</v>
      </c>
      <c r="E58" s="45">
        <f t="shared" si="13"/>
        <v>7.5065658333333349</v>
      </c>
      <c r="F58" s="45">
        <f t="shared" si="13"/>
        <v>12.668387916666671</v>
      </c>
      <c r="G58" s="45">
        <f t="shared" si="13"/>
        <v>17.493079166666668</v>
      </c>
      <c r="H58" s="45">
        <f t="shared" si="13"/>
        <v>19.57084166666667</v>
      </c>
      <c r="I58" s="45">
        <f t="shared" si="13"/>
        <v>22.587515000000003</v>
      </c>
      <c r="J58" s="45">
        <f t="shared" si="13"/>
        <v>26.432375</v>
      </c>
      <c r="K58" s="45">
        <f t="shared" si="13"/>
        <v>28.636791666666667</v>
      </c>
      <c r="L58" s="18" t="s">
        <v>544</v>
      </c>
    </row>
    <row r="59" spans="1:12" ht="15" customHeight="1" x14ac:dyDescent="0.25">
      <c r="A59" s="62" t="s">
        <v>545</v>
      </c>
      <c r="B59" s="74">
        <f t="shared" ref="B59:K59" si="14">B56+B57+B58</f>
        <v>0</v>
      </c>
      <c r="C59" s="74">
        <f t="shared" si="14"/>
        <v>-2.8534340277777783</v>
      </c>
      <c r="D59" s="74">
        <f t="shared" si="14"/>
        <v>13.107062500000001</v>
      </c>
      <c r="E59" s="74">
        <f t="shared" si="14"/>
        <v>94.861817500000015</v>
      </c>
      <c r="F59" s="74">
        <f t="shared" si="14"/>
        <v>225.01185708333335</v>
      </c>
      <c r="G59" s="74">
        <f t="shared" si="14"/>
        <v>392.81777333333338</v>
      </c>
      <c r="H59" s="74">
        <f t="shared" si="14"/>
        <v>573.04843583333331</v>
      </c>
      <c r="I59" s="74">
        <f t="shared" si="14"/>
        <v>779.35888916666681</v>
      </c>
      <c r="J59" s="74">
        <f t="shared" si="14"/>
        <v>1013.9472891666668</v>
      </c>
      <c r="K59" s="74">
        <f t="shared" si="14"/>
        <v>1264.3012058333334</v>
      </c>
      <c r="L59" s="60" t="s">
        <v>546</v>
      </c>
    </row>
    <row r="60" spans="1:12" ht="15" customHeight="1" x14ac:dyDescent="0.25">
      <c r="A60" s="25" t="s">
        <v>547</v>
      </c>
      <c r="B60" s="45">
        <f t="shared" ref="B60:K60" si="15">B47</f>
        <v>0</v>
      </c>
      <c r="C60" s="45">
        <f t="shared" si="15"/>
        <v>-2.853434027777773</v>
      </c>
      <c r="D60" s="45">
        <f t="shared" si="15"/>
        <v>48.107062499999984</v>
      </c>
      <c r="E60" s="45">
        <f t="shared" si="15"/>
        <v>129.86181750000003</v>
      </c>
      <c r="F60" s="45">
        <f t="shared" si="15"/>
        <v>246.01185708333333</v>
      </c>
      <c r="G60" s="45">
        <f t="shared" si="15"/>
        <v>392.81777333333338</v>
      </c>
      <c r="H60" s="45">
        <f t="shared" si="15"/>
        <v>573.04843583333331</v>
      </c>
      <c r="I60" s="45">
        <f t="shared" si="15"/>
        <v>765.3588891666667</v>
      </c>
      <c r="J60" s="45">
        <f t="shared" si="15"/>
        <v>985.94728916666668</v>
      </c>
      <c r="K60" s="45">
        <f t="shared" si="15"/>
        <v>1229.3012058333331</v>
      </c>
      <c r="L60" s="18" t="s">
        <v>548</v>
      </c>
    </row>
    <row r="61" spans="1:12" ht="15" customHeight="1" x14ac:dyDescent="0.25">
      <c r="A61" s="17" t="s">
        <v>549</v>
      </c>
      <c r="B61" s="53">
        <f t="shared" ref="B61:K61" si="16">B60-B59</f>
        <v>0</v>
      </c>
      <c r="C61" s="53">
        <f t="shared" si="16"/>
        <v>5.3290705182007514E-15</v>
      </c>
      <c r="D61" s="53">
        <f t="shared" si="16"/>
        <v>34.999999999999986</v>
      </c>
      <c r="E61" s="53">
        <f t="shared" si="16"/>
        <v>35.000000000000014</v>
      </c>
      <c r="F61" s="53">
        <f t="shared" si="16"/>
        <v>20.999999999999972</v>
      </c>
      <c r="G61" s="53">
        <f t="shared" si="16"/>
        <v>0</v>
      </c>
      <c r="H61" s="53">
        <f t="shared" si="16"/>
        <v>0</v>
      </c>
      <c r="I61" s="53">
        <f t="shared" si="16"/>
        <v>-14.000000000000114</v>
      </c>
      <c r="J61" s="53">
        <f t="shared" si="16"/>
        <v>-28.000000000000114</v>
      </c>
      <c r="K61" s="53">
        <f t="shared" si="16"/>
        <v>-35.000000000000227</v>
      </c>
      <c r="L61" s="18" t="s">
        <v>550</v>
      </c>
    </row>
    <row r="64" spans="1:12" ht="15" customHeight="1" x14ac:dyDescent="0.25">
      <c r="A64" s="10" t="s">
        <v>551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</row>
    <row r="65" spans="1:12" ht="15" customHeight="1" x14ac:dyDescent="0.25">
      <c r="B65" s="34" t="s">
        <v>399</v>
      </c>
      <c r="C65" s="34" t="s">
        <v>247</v>
      </c>
      <c r="D65" s="34" t="s">
        <v>130</v>
      </c>
      <c r="E65" s="34" t="s">
        <v>132</v>
      </c>
      <c r="F65" s="34" t="s">
        <v>133</v>
      </c>
      <c r="G65" s="34" t="s">
        <v>134</v>
      </c>
      <c r="H65" s="34" t="s">
        <v>248</v>
      </c>
      <c r="I65" s="34" t="s">
        <v>249</v>
      </c>
      <c r="J65" s="34" t="s">
        <v>250</v>
      </c>
      <c r="K65" s="34" t="s">
        <v>251</v>
      </c>
      <c r="L65" s="35" t="s">
        <v>252</v>
      </c>
    </row>
    <row r="66" spans="1:12" ht="15" customHeight="1" x14ac:dyDescent="0.25">
      <c r="A66" s="17" t="s">
        <v>552</v>
      </c>
      <c r="B66" s="80">
        <f t="shared" ref="B66:K66" si="17">IF(B48&gt;0,B39/B48,"N/A")</f>
        <v>0</v>
      </c>
      <c r="C66" s="80">
        <f t="shared" si="17"/>
        <v>0.54821108647519257</v>
      </c>
      <c r="D66" s="80">
        <f t="shared" si="17"/>
        <v>0.24537912068643347</v>
      </c>
      <c r="E66" s="80">
        <f t="shared" si="17"/>
        <v>0.2974623397585005</v>
      </c>
      <c r="F66" s="80">
        <f t="shared" si="17"/>
        <v>0.32621978688396758</v>
      </c>
      <c r="G66" s="80">
        <f t="shared" si="17"/>
        <v>0.27179754958824526</v>
      </c>
      <c r="H66" s="80">
        <f t="shared" si="17"/>
        <v>0.19915520354701699</v>
      </c>
      <c r="I66" s="80">
        <f t="shared" si="17"/>
        <v>0.17111692022520816</v>
      </c>
      <c r="J66" s="80">
        <f t="shared" si="17"/>
        <v>0.14927606775124427</v>
      </c>
      <c r="K66" s="80">
        <f t="shared" si="17"/>
        <v>0.12723571815341192</v>
      </c>
      <c r="L66" s="18" t="s">
        <v>553</v>
      </c>
    </row>
    <row r="67" spans="1:12" ht="15" customHeight="1" x14ac:dyDescent="0.25">
      <c r="A67" s="17" t="s">
        <v>554</v>
      </c>
      <c r="B67" s="80">
        <v>0</v>
      </c>
      <c r="C67" s="80">
        <f>IF(C27&gt;0,'P&amp;L'!B17/C27,0)</f>
        <v>0.1298531246525762</v>
      </c>
      <c r="D67" s="80">
        <f>IF(D27&gt;0,'P&amp;L'!C17/D27,0)</f>
        <v>0.32301537832896227</v>
      </c>
      <c r="E67" s="80">
        <f>IF(E27&gt;0,'P&amp;L'!D17/E27,0)</f>
        <v>0.46740534606983181</v>
      </c>
      <c r="F67" s="80">
        <f>IF(F27&gt;0,'P&amp;L'!E17/F27,0)</f>
        <v>0.45214633681358479</v>
      </c>
      <c r="G67" s="80">
        <f>IF(G27&gt;0,'P&amp;L'!F17/G27,0)</f>
        <v>0.43239006886842912</v>
      </c>
      <c r="H67" s="80">
        <f>IF(H27&gt;0,'P&amp;L'!G17/H27,0)</f>
        <v>0.36933017588879141</v>
      </c>
      <c r="I67" s="80">
        <f>IF(I27&gt;0,'P&amp;L'!H17/I27,0)</f>
        <v>0.33813668608588249</v>
      </c>
      <c r="J67" s="80">
        <f>IF(J27&gt;0,'P&amp;L'!I17/J27,0)</f>
        <v>0.31255428416397768</v>
      </c>
      <c r="K67" s="80">
        <f>IF(K27&gt;0,'P&amp;L'!J17/K27,0)</f>
        <v>0.2823385366356182</v>
      </c>
      <c r="L67" s="18" t="s">
        <v>555</v>
      </c>
    </row>
    <row r="68" spans="1:12" ht="15" customHeight="1" x14ac:dyDescent="0.25">
      <c r="A68" s="17" t="s">
        <v>556</v>
      </c>
      <c r="B68" s="46">
        <v>0</v>
      </c>
      <c r="C68" s="46">
        <f>IF(C27&gt;0,'P&amp;L'!B61/C27,0)</f>
        <v>-2.3761441824268408E-2</v>
      </c>
      <c r="D68" s="46">
        <f>IF(D27&gt;0,'P&amp;L'!C61/D27,0)</f>
        <v>9.9620171499150825E-2</v>
      </c>
      <c r="E68" s="46">
        <f>IF(E27&gt;0,'P&amp;L'!D61/E27,0)</f>
        <v>0.26707057008865709</v>
      </c>
      <c r="F68" s="46">
        <f>IF(F27&gt;0,'P&amp;L'!E61/F27,0)</f>
        <v>0.26943758713073568</v>
      </c>
      <c r="G68" s="46">
        <f>IF(G27&gt;0,'P&amp;L'!F61/G27,0)</f>
        <v>0.25852084960407262</v>
      </c>
      <c r="H68" s="46">
        <f>IF(H27&gt;0,'P&amp;L'!G61/H27,0)</f>
        <v>0.22030382458137288</v>
      </c>
      <c r="I68" s="46">
        <f>IF(I27&gt;0,'P&amp;L'!H61/I27,0)</f>
        <v>0.20046090946633904</v>
      </c>
      <c r="J68" s="46">
        <f>IF(J27&gt;0,'P&amp;L'!I61/J27,0)</f>
        <v>0.18501401093097028</v>
      </c>
      <c r="K68" s="46">
        <f>IF(K27&gt;0,'P&amp;L'!J61/K27,0)</f>
        <v>0.1658590973340574</v>
      </c>
      <c r="L68" s="18" t="s">
        <v>557</v>
      </c>
    </row>
    <row r="69" spans="1:12" ht="15" customHeight="1" x14ac:dyDescent="0.25">
      <c r="A69" s="17" t="s">
        <v>558</v>
      </c>
      <c r="B69" s="46">
        <v>0</v>
      </c>
      <c r="C69" s="46">
        <f>IF(C48&gt;0,'P&amp;L'!B61/C48,0)</f>
        <v>-3.7489935917954409E-2</v>
      </c>
      <c r="D69" s="46">
        <f>IF(D48&gt;0,'P&amp;L'!C61/D48,0)</f>
        <v>0.12726843523179379</v>
      </c>
      <c r="E69" s="46">
        <f>IF(E48&gt;0,'P&amp;L'!D61/E48,0)</f>
        <v>0.35428185646153715</v>
      </c>
      <c r="F69" s="46">
        <f>IF(F48&gt;0,'P&amp;L'!E61/F48,0)</f>
        <v>0.36410567310305747</v>
      </c>
      <c r="G69" s="46">
        <f>IF(G48&gt;0,'P&amp;L'!F61/G48,0)</f>
        <v>0.33389048907719243</v>
      </c>
      <c r="H69" s="46">
        <f>IF(H48&gt;0,'P&amp;L'!G61/H48,0)</f>
        <v>0.26732901037610601</v>
      </c>
      <c r="I69" s="46">
        <f>IF(I48&gt;0,'P&amp;L'!H61/I48,0)</f>
        <v>0.23729495257095423</v>
      </c>
      <c r="J69" s="46">
        <f>IF(J48&gt;0,'P&amp;L'!I61/J48,0)</f>
        <v>0.21461864501759198</v>
      </c>
      <c r="K69" s="46">
        <f>IF(K48&gt;0,'P&amp;L'!J61/K48,0)</f>
        <v>0.18853845833010846</v>
      </c>
      <c r="L69" s="18" t="s">
        <v>559</v>
      </c>
    </row>
    <row r="70" spans="1:12" ht="15" customHeight="1" x14ac:dyDescent="0.25">
      <c r="A70" s="17" t="s">
        <v>560</v>
      </c>
      <c r="B70" s="80" t="str">
        <f t="shared" ref="B70:K70" si="18">IF(B38&gt;0,B25/B38,"N/A")</f>
        <v>N/A</v>
      </c>
      <c r="C70" s="80">
        <f t="shared" si="18"/>
        <v>2.0528299203640499</v>
      </c>
      <c r="D70" s="80">
        <f t="shared" si="18"/>
        <v>3.4751848691695102</v>
      </c>
      <c r="E70" s="80">
        <f t="shared" si="18"/>
        <v>2.1344932607568694</v>
      </c>
      <c r="F70" s="80">
        <f t="shared" si="18"/>
        <v>1.4920822300676668</v>
      </c>
      <c r="G70" s="80">
        <f t="shared" si="18"/>
        <v>1.0914215686274509</v>
      </c>
      <c r="H70" s="80">
        <f t="shared" si="18"/>
        <v>0.92317882849342259</v>
      </c>
      <c r="I70" s="80">
        <f t="shared" si="18"/>
        <v>0.8000533827826477</v>
      </c>
      <c r="J70" s="80">
        <f t="shared" si="18"/>
        <v>0.68128722530293673</v>
      </c>
      <c r="K70" s="80">
        <f t="shared" si="18"/>
        <v>0.53826294546170483</v>
      </c>
      <c r="L70" s="18" t="s">
        <v>561</v>
      </c>
    </row>
    <row r="73" spans="1:12" ht="15" customHeight="1" x14ac:dyDescent="0.25">
      <c r="A73" s="10" t="s">
        <v>479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</row>
    <row r="74" spans="1:12" ht="15" customHeight="1" x14ac:dyDescent="0.25">
      <c r="A74" s="11" t="s">
        <v>562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2" ht="15" customHeight="1" x14ac:dyDescent="0.25">
      <c r="A75" s="11" t="s">
        <v>563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2" ht="15" customHeight="1" x14ac:dyDescent="0.25">
      <c r="A76" s="11" t="s">
        <v>564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2" ht="15" customHeight="1" x14ac:dyDescent="0.25">
      <c r="A77" s="11" t="s">
        <v>565</v>
      </c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2" ht="15" customHeight="1" x14ac:dyDescent="0.25">
      <c r="A78" s="11" t="s">
        <v>566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2" ht="15" customHeight="1" x14ac:dyDescent="0.25">
      <c r="A79" s="11" t="s">
        <v>567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2" ht="15" customHeight="1" x14ac:dyDescent="0.25">
      <c r="A80" s="11" t="s">
        <v>568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ht="15" customHeight="1" x14ac:dyDescent="0.25">
      <c r="A81" s="11" t="s">
        <v>569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</row>
  </sheetData>
  <mergeCells count="16">
    <mergeCell ref="A81:K81"/>
    <mergeCell ref="A76:K76"/>
    <mergeCell ref="A77:K77"/>
    <mergeCell ref="A78:K78"/>
    <mergeCell ref="A79:K79"/>
    <mergeCell ref="A80:K80"/>
    <mergeCell ref="A54:K54"/>
    <mergeCell ref="A64:K64"/>
    <mergeCell ref="A73:K73"/>
    <mergeCell ref="A74:K74"/>
    <mergeCell ref="A75:K75"/>
    <mergeCell ref="A1:K1"/>
    <mergeCell ref="A2:K2"/>
    <mergeCell ref="A4:K4"/>
    <mergeCell ref="A30:K30"/>
    <mergeCell ref="A44:K4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65100"/>
  </sheetPr>
  <dimension ref="A1:G116"/>
  <sheetViews>
    <sheetView zoomScaleNormal="100" workbookViewId="0">
      <selection sqref="A1:F1"/>
    </sheetView>
  </sheetViews>
  <sheetFormatPr baseColWidth="10" defaultColWidth="8.7109375" defaultRowHeight="15" x14ac:dyDescent="0.25"/>
  <cols>
    <col min="1" max="1" width="38" customWidth="1"/>
    <col min="2" max="6" width="18" customWidth="1"/>
    <col min="7" max="7" width="40" customWidth="1"/>
  </cols>
  <sheetData>
    <row r="1" spans="1:7" ht="31.5" customHeight="1" x14ac:dyDescent="0.25">
      <c r="A1" s="12" t="s">
        <v>570</v>
      </c>
      <c r="B1" s="12"/>
      <c r="C1" s="12"/>
      <c r="D1" s="12"/>
      <c r="E1" s="12"/>
      <c r="F1" s="12"/>
    </row>
    <row r="2" spans="1:7" ht="15" customHeight="1" x14ac:dyDescent="0.25">
      <c r="A2" s="11" t="s">
        <v>571</v>
      </c>
      <c r="B2" s="11"/>
      <c r="C2" s="11"/>
      <c r="D2" s="11"/>
      <c r="E2" s="11"/>
      <c r="F2" s="11"/>
    </row>
    <row r="4" spans="1:7" ht="15" customHeight="1" x14ac:dyDescent="0.25">
      <c r="A4" s="10" t="s">
        <v>572</v>
      </c>
      <c r="B4" s="10"/>
      <c r="C4" s="10"/>
      <c r="D4" s="10"/>
      <c r="E4" s="10"/>
      <c r="F4" s="10"/>
      <c r="G4" s="10"/>
    </row>
    <row r="5" spans="1:7" ht="15" customHeight="1" x14ac:dyDescent="0.25">
      <c r="B5" s="81"/>
      <c r="C5" s="81" t="s">
        <v>155</v>
      </c>
      <c r="D5" s="81" t="s">
        <v>128</v>
      </c>
      <c r="E5" s="81" t="s">
        <v>156</v>
      </c>
      <c r="G5" s="35" t="s">
        <v>252</v>
      </c>
    </row>
    <row r="6" spans="1:7" ht="15" customHeight="1" x14ac:dyDescent="0.25">
      <c r="A6" s="17" t="s">
        <v>573</v>
      </c>
      <c r="B6" s="40"/>
      <c r="C6" s="44">
        <v>5</v>
      </c>
      <c r="D6" s="44">
        <v>51.3</v>
      </c>
      <c r="E6" s="44">
        <v>45</v>
      </c>
      <c r="F6" s="40"/>
      <c r="G6" s="18" t="s">
        <v>574</v>
      </c>
    </row>
    <row r="7" spans="1:7" ht="15" customHeight="1" x14ac:dyDescent="0.25">
      <c r="A7" s="17" t="s">
        <v>575</v>
      </c>
      <c r="B7" s="40"/>
      <c r="C7" s="44">
        <v>25</v>
      </c>
      <c r="D7" s="44">
        <v>130</v>
      </c>
      <c r="E7" s="44">
        <v>250</v>
      </c>
      <c r="F7" s="40"/>
      <c r="G7" s="18" t="s">
        <v>574</v>
      </c>
    </row>
    <row r="8" spans="1:7" ht="15" customHeight="1" x14ac:dyDescent="0.25">
      <c r="A8" s="17" t="s">
        <v>576</v>
      </c>
      <c r="B8" s="40"/>
      <c r="C8" s="44">
        <v>30</v>
      </c>
      <c r="D8" s="44">
        <v>181.3</v>
      </c>
      <c r="E8" s="44">
        <v>295</v>
      </c>
      <c r="F8" s="40"/>
      <c r="G8" s="18" t="s">
        <v>577</v>
      </c>
    </row>
    <row r="9" spans="1:7" ht="15" customHeight="1" x14ac:dyDescent="0.25">
      <c r="A9" s="17" t="s">
        <v>578</v>
      </c>
      <c r="B9" s="40"/>
      <c r="C9" s="56">
        <v>0.16669999999999999</v>
      </c>
      <c r="D9" s="56">
        <v>0.28299999999999997</v>
      </c>
      <c r="E9" s="56">
        <v>0.1525</v>
      </c>
      <c r="F9" s="40"/>
      <c r="G9" s="18" t="s">
        <v>579</v>
      </c>
    </row>
    <row r="10" spans="1:7" ht="15" customHeight="1" x14ac:dyDescent="0.25">
      <c r="A10" s="17" t="s">
        <v>580</v>
      </c>
      <c r="B10" s="40"/>
      <c r="C10" s="44">
        <v>0</v>
      </c>
      <c r="D10" s="44">
        <v>29.3</v>
      </c>
      <c r="E10" s="44">
        <v>105</v>
      </c>
      <c r="F10" s="40"/>
      <c r="G10" s="18" t="s">
        <v>581</v>
      </c>
    </row>
    <row r="11" spans="1:7" ht="15" customHeight="1" x14ac:dyDescent="0.25">
      <c r="A11" s="17" t="s">
        <v>582</v>
      </c>
      <c r="B11" s="40"/>
      <c r="C11" s="44">
        <v>5</v>
      </c>
      <c r="D11" s="44">
        <v>80.599999999999994</v>
      </c>
      <c r="E11" s="44">
        <v>150</v>
      </c>
      <c r="F11" s="40"/>
      <c r="G11" s="18" t="s">
        <v>583</v>
      </c>
    </row>
    <row r="12" spans="1:7" ht="15" customHeight="1" x14ac:dyDescent="0.25">
      <c r="A12" s="17" t="s">
        <v>161</v>
      </c>
      <c r="B12" s="40"/>
      <c r="C12" s="82">
        <v>0</v>
      </c>
      <c r="D12" s="82" t="s">
        <v>584</v>
      </c>
      <c r="E12" s="82" t="s">
        <v>585</v>
      </c>
      <c r="F12" s="40"/>
      <c r="G12" s="40"/>
    </row>
    <row r="14" spans="1:7" ht="15" customHeight="1" x14ac:dyDescent="0.25">
      <c r="A14" s="10" t="s">
        <v>586</v>
      </c>
      <c r="B14" s="10"/>
      <c r="C14" s="10"/>
      <c r="D14" s="10"/>
      <c r="E14" s="10"/>
      <c r="F14" s="10"/>
      <c r="G14" s="10"/>
    </row>
    <row r="15" spans="1:7" ht="15" customHeight="1" x14ac:dyDescent="0.25">
      <c r="B15" s="81" t="s">
        <v>587</v>
      </c>
      <c r="C15" s="81" t="s">
        <v>588</v>
      </c>
      <c r="D15" s="81" t="s">
        <v>589</v>
      </c>
      <c r="E15" s="81" t="s">
        <v>590</v>
      </c>
      <c r="G15" s="35" t="s">
        <v>252</v>
      </c>
    </row>
    <row r="16" spans="1:7" ht="15" customHeight="1" x14ac:dyDescent="0.25">
      <c r="A16" s="83" t="s">
        <v>591</v>
      </c>
      <c r="B16" s="84">
        <v>0.5625</v>
      </c>
      <c r="C16" s="84">
        <v>0.46879999999999999</v>
      </c>
      <c r="D16" s="84">
        <v>0.33600000000000002</v>
      </c>
      <c r="E16" s="84">
        <v>0.28460000000000002</v>
      </c>
      <c r="F16" s="40"/>
      <c r="G16" s="40"/>
    </row>
    <row r="17" spans="1:7" ht="15" customHeight="1" x14ac:dyDescent="0.25">
      <c r="A17" s="83" t="s">
        <v>592</v>
      </c>
      <c r="B17" s="84">
        <v>0.33750000000000002</v>
      </c>
      <c r="C17" s="84">
        <v>0.28129999999999999</v>
      </c>
      <c r="D17" s="84">
        <v>0.2016</v>
      </c>
      <c r="E17" s="84">
        <v>0.17080000000000001</v>
      </c>
      <c r="F17" s="40"/>
      <c r="G17" s="40"/>
    </row>
    <row r="18" spans="1:7" ht="15" customHeight="1" x14ac:dyDescent="0.25">
      <c r="A18" s="83" t="s">
        <v>593</v>
      </c>
      <c r="B18" s="84">
        <v>0.1</v>
      </c>
      <c r="C18" s="84">
        <v>8.3299999999999999E-2</v>
      </c>
      <c r="D18" s="84">
        <v>5.9700000000000003E-2</v>
      </c>
      <c r="E18" s="84">
        <v>5.0599999999999999E-2</v>
      </c>
      <c r="F18" s="40"/>
      <c r="G18" s="40"/>
    </row>
    <row r="19" spans="1:7" ht="15" customHeight="1" x14ac:dyDescent="0.25">
      <c r="A19" s="85" t="s">
        <v>594</v>
      </c>
      <c r="B19" s="86">
        <v>1</v>
      </c>
      <c r="C19" s="86">
        <v>0.83330000000000004</v>
      </c>
      <c r="D19" s="86">
        <v>0.59740000000000004</v>
      </c>
      <c r="E19" s="86">
        <v>0.50600000000000001</v>
      </c>
      <c r="F19" s="77"/>
      <c r="G19" s="60" t="s">
        <v>595</v>
      </c>
    </row>
    <row r="21" spans="1:7" ht="15" customHeight="1" x14ac:dyDescent="0.25">
      <c r="A21" s="17" t="s">
        <v>596</v>
      </c>
      <c r="B21" s="40"/>
      <c r="C21" s="87">
        <v>0.16669999999999999</v>
      </c>
      <c r="D21" s="87">
        <v>0.1195</v>
      </c>
      <c r="E21" s="87">
        <v>0.1012</v>
      </c>
      <c r="F21" s="40"/>
      <c r="G21" s="40"/>
    </row>
    <row r="22" spans="1:7" ht="15" customHeight="1" x14ac:dyDescent="0.25">
      <c r="A22" s="17" t="s">
        <v>597</v>
      </c>
      <c r="B22" s="40"/>
      <c r="C22" s="40"/>
      <c r="D22" s="87">
        <v>0.28299999999999997</v>
      </c>
      <c r="E22" s="87">
        <v>0.23980000000000001</v>
      </c>
      <c r="F22" s="40"/>
      <c r="G22" s="40"/>
    </row>
    <row r="23" spans="1:7" ht="15" customHeight="1" x14ac:dyDescent="0.25">
      <c r="A23" s="17" t="s">
        <v>598</v>
      </c>
      <c r="B23" s="40"/>
      <c r="C23" s="40"/>
      <c r="D23" s="40"/>
      <c r="E23" s="87">
        <v>0.1525</v>
      </c>
      <c r="F23" s="40"/>
      <c r="G23" s="40"/>
    </row>
    <row r="24" spans="1:7" ht="15" customHeight="1" x14ac:dyDescent="0.25">
      <c r="A24" s="62" t="s">
        <v>599</v>
      </c>
      <c r="B24" s="88">
        <v>0</v>
      </c>
      <c r="C24" s="88">
        <v>0.16669999999999999</v>
      </c>
      <c r="D24" s="88">
        <v>0.40260000000000001</v>
      </c>
      <c r="E24" s="88">
        <v>0.49399999999999999</v>
      </c>
      <c r="F24" s="77"/>
      <c r="G24" s="77"/>
    </row>
    <row r="25" spans="1:7" ht="15" customHeight="1" x14ac:dyDescent="0.25">
      <c r="A25" s="89" t="s">
        <v>600</v>
      </c>
      <c r="B25" s="90">
        <f>B19+B24</f>
        <v>1</v>
      </c>
      <c r="C25" s="90">
        <f>C19+C24</f>
        <v>1</v>
      </c>
      <c r="D25" s="90">
        <f>D19+D24</f>
        <v>1</v>
      </c>
      <c r="E25" s="90">
        <f>E19+E24</f>
        <v>1</v>
      </c>
      <c r="F25" s="52"/>
      <c r="G25" s="43" t="s">
        <v>601</v>
      </c>
    </row>
    <row r="27" spans="1:7" ht="15" customHeight="1" x14ac:dyDescent="0.25">
      <c r="A27" s="10" t="s">
        <v>602</v>
      </c>
      <c r="B27" s="10"/>
      <c r="C27" s="10"/>
      <c r="D27" s="10"/>
      <c r="E27" s="10"/>
      <c r="F27" s="10"/>
      <c r="G27" s="10"/>
    </row>
    <row r="28" spans="1:7" ht="15" customHeight="1" x14ac:dyDescent="0.25">
      <c r="B28" s="81"/>
      <c r="C28" s="81" t="s">
        <v>155</v>
      </c>
      <c r="D28" s="81" t="s">
        <v>128</v>
      </c>
      <c r="E28" s="81" t="s">
        <v>156</v>
      </c>
      <c r="F28" s="81" t="s">
        <v>603</v>
      </c>
      <c r="G28" s="35" t="s">
        <v>252</v>
      </c>
    </row>
    <row r="29" spans="1:7" ht="15" customHeight="1" x14ac:dyDescent="0.25">
      <c r="A29" s="17" t="s">
        <v>604</v>
      </c>
      <c r="B29" s="87">
        <v>0.5625</v>
      </c>
      <c r="C29" s="87">
        <v>0.5625</v>
      </c>
      <c r="D29" s="87">
        <v>0.46879999999999999</v>
      </c>
      <c r="E29" s="87">
        <v>0.33600000000000002</v>
      </c>
      <c r="F29" s="40"/>
      <c r="G29" s="40"/>
    </row>
    <row r="30" spans="1:7" ht="15" customHeight="1" x14ac:dyDescent="0.25">
      <c r="A30" s="17" t="s">
        <v>605</v>
      </c>
      <c r="B30" s="40"/>
      <c r="C30" s="87">
        <v>0.46879999999999999</v>
      </c>
      <c r="D30" s="87">
        <v>0.33600000000000002</v>
      </c>
      <c r="E30" s="87">
        <v>0.28460000000000002</v>
      </c>
      <c r="F30" s="87">
        <v>0.28460000000000002</v>
      </c>
      <c r="G30" s="40"/>
    </row>
    <row r="31" spans="1:7" ht="15" customHeight="1" x14ac:dyDescent="0.25">
      <c r="A31" s="17" t="s">
        <v>606</v>
      </c>
      <c r="B31" s="40"/>
      <c r="C31" s="91">
        <v>-9.3700000000000006E-2</v>
      </c>
      <c r="D31" s="91">
        <v>-0.1328</v>
      </c>
      <c r="E31" s="91">
        <v>-5.1400000000000001E-2</v>
      </c>
      <c r="F31" s="91">
        <v>-0.27789999999999998</v>
      </c>
      <c r="G31" s="40"/>
    </row>
    <row r="33" spans="1:7" ht="15" customHeight="1" x14ac:dyDescent="0.25">
      <c r="A33" s="17" t="s">
        <v>607</v>
      </c>
      <c r="B33" s="87">
        <v>0.33750000000000002</v>
      </c>
      <c r="C33" s="87">
        <v>0.33750000000000002</v>
      </c>
      <c r="D33" s="87">
        <v>0.28129999999999999</v>
      </c>
      <c r="E33" s="87">
        <v>0.2016</v>
      </c>
      <c r="F33" s="40"/>
      <c r="G33" s="40"/>
    </row>
    <row r="34" spans="1:7" ht="15" customHeight="1" x14ac:dyDescent="0.25">
      <c r="A34" s="17" t="s">
        <v>608</v>
      </c>
      <c r="B34" s="40"/>
      <c r="C34" s="87">
        <v>0.28129999999999999</v>
      </c>
      <c r="D34" s="87">
        <v>0.2016</v>
      </c>
      <c r="E34" s="87">
        <v>0.17080000000000001</v>
      </c>
      <c r="F34" s="87">
        <v>0.17080000000000001</v>
      </c>
      <c r="G34" s="40"/>
    </row>
    <row r="35" spans="1:7" ht="15" customHeight="1" x14ac:dyDescent="0.25">
      <c r="A35" s="17" t="s">
        <v>609</v>
      </c>
      <c r="B35" s="40"/>
      <c r="C35" s="91">
        <v>-5.62E-2</v>
      </c>
      <c r="D35" s="91">
        <v>-7.9699999999999993E-2</v>
      </c>
      <c r="E35" s="91">
        <v>-3.0800000000000001E-2</v>
      </c>
      <c r="F35" s="91">
        <v>-0.16669999999999999</v>
      </c>
      <c r="G35" s="40"/>
    </row>
    <row r="37" spans="1:7" ht="15" customHeight="1" x14ac:dyDescent="0.25">
      <c r="A37" s="17" t="s">
        <v>610</v>
      </c>
      <c r="B37" s="87">
        <v>0.1</v>
      </c>
      <c r="C37" s="87">
        <v>0.1</v>
      </c>
      <c r="D37" s="87">
        <v>8.3299999999999999E-2</v>
      </c>
      <c r="E37" s="87">
        <v>5.9700000000000003E-2</v>
      </c>
      <c r="F37" s="40"/>
      <c r="G37" s="40"/>
    </row>
    <row r="38" spans="1:7" ht="15" customHeight="1" x14ac:dyDescent="0.25">
      <c r="A38" s="17" t="s">
        <v>611</v>
      </c>
      <c r="B38" s="40"/>
      <c r="C38" s="87">
        <v>8.3299999999999999E-2</v>
      </c>
      <c r="D38" s="87">
        <v>5.9700000000000003E-2</v>
      </c>
      <c r="E38" s="87">
        <v>5.0599999999999999E-2</v>
      </c>
      <c r="F38" s="87">
        <v>5.0599999999999999E-2</v>
      </c>
      <c r="G38" s="40"/>
    </row>
    <row r="39" spans="1:7" ht="15" customHeight="1" x14ac:dyDescent="0.25">
      <c r="A39" s="17" t="s">
        <v>612</v>
      </c>
      <c r="B39" s="40"/>
      <c r="C39" s="91">
        <v>-1.67E-2</v>
      </c>
      <c r="D39" s="91">
        <v>-2.3599999999999999E-2</v>
      </c>
      <c r="E39" s="91">
        <v>-9.1000000000000004E-3</v>
      </c>
      <c r="F39" s="91">
        <v>-4.9399999999999999E-2</v>
      </c>
      <c r="G39" s="40"/>
    </row>
    <row r="41" spans="1:7" ht="15" customHeight="1" x14ac:dyDescent="0.25">
      <c r="A41" s="69" t="s">
        <v>613</v>
      </c>
    </row>
    <row r="42" spans="1:7" ht="15" customHeight="1" x14ac:dyDescent="0.25">
      <c r="A42" s="17" t="s">
        <v>614</v>
      </c>
      <c r="B42" s="36" t="s">
        <v>615</v>
      </c>
      <c r="C42" s="40"/>
      <c r="D42" s="40"/>
      <c r="E42" s="40"/>
      <c r="F42" s="40"/>
      <c r="G42" s="18" t="s">
        <v>616</v>
      </c>
    </row>
    <row r="43" spans="1:7" ht="15" customHeight="1" x14ac:dyDescent="0.25">
      <c r="A43" s="17" t="s">
        <v>617</v>
      </c>
      <c r="B43" s="36" t="s">
        <v>618</v>
      </c>
      <c r="C43" s="40"/>
      <c r="D43" s="40"/>
      <c r="E43" s="40"/>
      <c r="F43" s="40"/>
      <c r="G43" s="18" t="s">
        <v>619</v>
      </c>
    </row>
    <row r="44" spans="1:7" ht="15" customHeight="1" x14ac:dyDescent="0.25">
      <c r="A44" s="17" t="s">
        <v>620</v>
      </c>
      <c r="B44" s="36" t="s">
        <v>621</v>
      </c>
      <c r="C44" s="40"/>
      <c r="D44" s="40"/>
      <c r="E44" s="40"/>
      <c r="F44" s="40"/>
      <c r="G44" s="18" t="s">
        <v>622</v>
      </c>
    </row>
    <row r="47" spans="1:7" ht="15" customHeight="1" x14ac:dyDescent="0.25">
      <c r="A47" s="10" t="s">
        <v>623</v>
      </c>
      <c r="B47" s="10"/>
      <c r="C47" s="10"/>
      <c r="D47" s="10"/>
      <c r="E47" s="10"/>
      <c r="F47" s="10"/>
      <c r="G47" s="10"/>
    </row>
    <row r="48" spans="1:7" ht="15" customHeight="1" x14ac:dyDescent="0.25">
      <c r="A48" s="69" t="s">
        <v>624</v>
      </c>
    </row>
    <row r="49" spans="1:7" ht="15" customHeight="1" x14ac:dyDescent="0.25">
      <c r="A49" s="17" t="s">
        <v>625</v>
      </c>
      <c r="B49" s="92">
        <v>222</v>
      </c>
      <c r="C49" s="40"/>
      <c r="D49" s="40"/>
      <c r="E49" s="40"/>
      <c r="F49" s="40"/>
      <c r="G49" s="18" t="s">
        <v>626</v>
      </c>
    </row>
    <row r="50" spans="1:7" ht="15" customHeight="1" x14ac:dyDescent="0.25">
      <c r="A50" s="17" t="s">
        <v>627</v>
      </c>
      <c r="B50" s="93" t="s">
        <v>628</v>
      </c>
      <c r="C50" s="40"/>
      <c r="D50" s="40"/>
      <c r="E50" s="40"/>
      <c r="F50" s="40"/>
      <c r="G50" s="18" t="s">
        <v>629</v>
      </c>
    </row>
    <row r="51" spans="1:7" ht="15" customHeight="1" x14ac:dyDescent="0.25">
      <c r="A51" s="17" t="s">
        <v>630</v>
      </c>
      <c r="B51" s="92">
        <v>2300</v>
      </c>
      <c r="C51" s="40"/>
      <c r="D51" s="40"/>
      <c r="E51" s="40"/>
      <c r="F51" s="40"/>
      <c r="G51" s="18" t="s">
        <v>631</v>
      </c>
    </row>
    <row r="53" spans="1:7" ht="15" customHeight="1" x14ac:dyDescent="0.25">
      <c r="B53" s="81" t="s">
        <v>632</v>
      </c>
      <c r="C53" s="81" t="s">
        <v>633</v>
      </c>
      <c r="D53" s="81" t="s">
        <v>634</v>
      </c>
      <c r="E53" s="81" t="s">
        <v>635</v>
      </c>
      <c r="F53" s="81" t="s">
        <v>636</v>
      </c>
      <c r="G53" s="35" t="s">
        <v>252</v>
      </c>
    </row>
    <row r="54" spans="1:7" ht="15" customHeight="1" x14ac:dyDescent="0.25">
      <c r="A54" s="83" t="s">
        <v>591</v>
      </c>
      <c r="B54" s="84">
        <v>0.28460000000000002</v>
      </c>
      <c r="C54" s="94">
        <v>654</v>
      </c>
      <c r="D54" s="40"/>
      <c r="E54" s="40"/>
      <c r="F54" s="95"/>
      <c r="G54" s="40"/>
    </row>
    <row r="55" spans="1:7" ht="15" customHeight="1" x14ac:dyDescent="0.25">
      <c r="A55" s="83" t="s">
        <v>592</v>
      </c>
      <c r="B55" s="84">
        <v>0.17080000000000001</v>
      </c>
      <c r="C55" s="94">
        <v>393</v>
      </c>
      <c r="D55" s="40"/>
      <c r="E55" s="40"/>
      <c r="F55" s="95"/>
      <c r="G55" s="40"/>
    </row>
    <row r="56" spans="1:7" ht="15" customHeight="1" x14ac:dyDescent="0.25">
      <c r="A56" s="83" t="s">
        <v>593</v>
      </c>
      <c r="B56" s="84">
        <v>5.0599999999999999E-2</v>
      </c>
      <c r="C56" s="94">
        <v>116</v>
      </c>
      <c r="D56" s="40"/>
      <c r="E56" s="40"/>
      <c r="F56" s="95"/>
      <c r="G56" s="40"/>
    </row>
    <row r="57" spans="1:7" ht="15" customHeight="1" x14ac:dyDescent="0.25">
      <c r="A57" s="85" t="s">
        <v>594</v>
      </c>
      <c r="B57" s="86">
        <v>0.50600000000000001</v>
      </c>
      <c r="C57" s="96">
        <v>1164</v>
      </c>
      <c r="D57" s="77"/>
      <c r="E57" s="77"/>
      <c r="F57" s="97" t="s">
        <v>637</v>
      </c>
      <c r="G57" s="77"/>
    </row>
    <row r="59" spans="1:7" ht="15" customHeight="1" x14ac:dyDescent="0.25">
      <c r="A59" s="17" t="s">
        <v>596</v>
      </c>
      <c r="B59" s="87">
        <v>0.1012</v>
      </c>
      <c r="C59" s="98">
        <v>233</v>
      </c>
      <c r="D59" s="44">
        <v>5</v>
      </c>
      <c r="E59" s="99">
        <v>46.6</v>
      </c>
      <c r="F59" s="95" t="s">
        <v>638</v>
      </c>
      <c r="G59" s="40"/>
    </row>
    <row r="60" spans="1:7" ht="15" customHeight="1" x14ac:dyDescent="0.25">
      <c r="A60" s="17" t="s">
        <v>597</v>
      </c>
      <c r="B60" s="87">
        <v>0.23980000000000001</v>
      </c>
      <c r="C60" s="98">
        <v>552</v>
      </c>
      <c r="D60" s="44">
        <v>51.3</v>
      </c>
      <c r="E60" s="99">
        <v>10.8</v>
      </c>
      <c r="F60" s="95" t="s">
        <v>639</v>
      </c>
      <c r="G60" s="40"/>
    </row>
    <row r="61" spans="1:7" ht="15" customHeight="1" x14ac:dyDescent="0.25">
      <c r="A61" s="17" t="s">
        <v>598</v>
      </c>
      <c r="B61" s="87">
        <v>0.1525</v>
      </c>
      <c r="C61" s="98">
        <v>351</v>
      </c>
      <c r="D61" s="44">
        <v>45</v>
      </c>
      <c r="E61" s="99">
        <v>7.8</v>
      </c>
      <c r="F61" s="95" t="s">
        <v>640</v>
      </c>
      <c r="G61" s="40"/>
    </row>
    <row r="62" spans="1:7" ht="15" customHeight="1" x14ac:dyDescent="0.25">
      <c r="A62" s="62" t="s">
        <v>599</v>
      </c>
      <c r="B62" s="100">
        <v>0.49399999999999999</v>
      </c>
      <c r="C62" s="101">
        <v>1136</v>
      </c>
      <c r="D62" s="102">
        <v>101.3</v>
      </c>
      <c r="E62" s="103">
        <v>11.2</v>
      </c>
      <c r="F62" s="97" t="s">
        <v>641</v>
      </c>
      <c r="G62" s="77"/>
    </row>
    <row r="64" spans="1:7" ht="15.75" customHeight="1" x14ac:dyDescent="0.3">
      <c r="A64" s="104" t="s">
        <v>642</v>
      </c>
      <c r="B64" s="105"/>
      <c r="C64" s="106">
        <v>2300</v>
      </c>
      <c r="D64" s="105"/>
      <c r="E64" s="105"/>
      <c r="F64" s="105"/>
      <c r="G64" s="105"/>
    </row>
    <row r="67" spans="1:7" ht="15" customHeight="1" x14ac:dyDescent="0.25">
      <c r="A67" s="10" t="s">
        <v>643</v>
      </c>
      <c r="B67" s="10"/>
      <c r="C67" s="10"/>
      <c r="D67" s="10"/>
      <c r="E67" s="10"/>
      <c r="F67" s="10"/>
      <c r="G67" s="10"/>
    </row>
    <row r="68" spans="1:7" ht="27.75" customHeight="1" x14ac:dyDescent="0.25">
      <c r="B68" s="81" t="s">
        <v>644</v>
      </c>
      <c r="C68" s="81" t="s">
        <v>645</v>
      </c>
      <c r="D68" s="81" t="s">
        <v>646</v>
      </c>
      <c r="E68" s="81" t="s">
        <v>647</v>
      </c>
      <c r="G68" s="35" t="s">
        <v>252</v>
      </c>
    </row>
    <row r="69" spans="1:7" ht="15" customHeight="1" x14ac:dyDescent="0.25">
      <c r="A69" s="25" t="s">
        <v>630</v>
      </c>
      <c r="B69" s="107">
        <v>1776</v>
      </c>
      <c r="C69" s="107">
        <v>2220</v>
      </c>
      <c r="D69" s="107">
        <v>2442</v>
      </c>
      <c r="E69" s="107">
        <v>2886</v>
      </c>
      <c r="F69" s="40"/>
      <c r="G69" s="40"/>
    </row>
    <row r="70" spans="1:7" ht="15" customHeight="1" x14ac:dyDescent="0.25">
      <c r="A70" s="17" t="s">
        <v>648</v>
      </c>
      <c r="B70" s="99">
        <v>35.946240000000003</v>
      </c>
      <c r="C70" s="99">
        <v>44.9328</v>
      </c>
      <c r="D70" s="99">
        <v>49.426079999999999</v>
      </c>
      <c r="E70" s="99">
        <v>58.412640000000003</v>
      </c>
      <c r="F70" s="40"/>
      <c r="G70" s="40"/>
    </row>
    <row r="71" spans="1:7" ht="15" customHeight="1" x14ac:dyDescent="0.25">
      <c r="A71" s="17" t="s">
        <v>649</v>
      </c>
      <c r="B71" s="99">
        <v>8.3018479532163791</v>
      </c>
      <c r="C71" s="99">
        <v>10.377309941520499</v>
      </c>
      <c r="D71" s="99">
        <v>11.415040935672501</v>
      </c>
      <c r="E71" s="99">
        <v>13.490502923976599</v>
      </c>
      <c r="F71" s="40"/>
      <c r="G71" s="40"/>
    </row>
    <row r="72" spans="1:7" ht="15" customHeight="1" x14ac:dyDescent="0.25">
      <c r="A72" s="17" t="s">
        <v>650</v>
      </c>
      <c r="B72" s="99">
        <v>6.0186666666666699</v>
      </c>
      <c r="C72" s="99">
        <v>7.5233333333333299</v>
      </c>
      <c r="D72" s="99">
        <v>8.2756666666666696</v>
      </c>
      <c r="E72" s="99">
        <v>9.7803333333333295</v>
      </c>
      <c r="F72" s="40"/>
      <c r="G72" s="40"/>
    </row>
    <row r="73" spans="1:7" ht="15" customHeight="1" x14ac:dyDescent="0.25">
      <c r="A73" s="17" t="s">
        <v>651</v>
      </c>
      <c r="B73" s="107">
        <v>898.65599999999995</v>
      </c>
      <c r="C73" s="107">
        <v>1123.32</v>
      </c>
      <c r="D73" s="107">
        <v>1235.652</v>
      </c>
      <c r="E73" s="107">
        <v>1460.316</v>
      </c>
      <c r="F73" s="40"/>
      <c r="G73" s="40"/>
    </row>
    <row r="76" spans="1:7" ht="15" customHeight="1" x14ac:dyDescent="0.25">
      <c r="A76" s="10" t="s">
        <v>652</v>
      </c>
      <c r="B76" s="10"/>
      <c r="C76" s="10"/>
      <c r="D76" s="10"/>
      <c r="E76" s="10"/>
      <c r="F76" s="10"/>
      <c r="G76" s="10"/>
    </row>
    <row r="77" spans="1:7" ht="15" customHeight="1" x14ac:dyDescent="0.25">
      <c r="A77" s="17" t="s">
        <v>653</v>
      </c>
      <c r="B77" s="9" t="s">
        <v>654</v>
      </c>
      <c r="C77" s="9"/>
      <c r="D77" s="40"/>
      <c r="E77" s="40"/>
      <c r="F77" s="40"/>
      <c r="G77" s="18" t="s">
        <v>655</v>
      </c>
    </row>
    <row r="78" spans="1:7" ht="15" customHeight="1" x14ac:dyDescent="0.25">
      <c r="A78" s="17" t="s">
        <v>656</v>
      </c>
      <c r="B78" s="9" t="s">
        <v>657</v>
      </c>
      <c r="C78" s="9"/>
      <c r="D78" s="40"/>
      <c r="E78" s="40"/>
      <c r="F78" s="40"/>
      <c r="G78" s="18" t="s">
        <v>658</v>
      </c>
    </row>
    <row r="79" spans="1:7" ht="15" customHeight="1" x14ac:dyDescent="0.25">
      <c r="A79" s="17" t="s">
        <v>659</v>
      </c>
      <c r="B79" s="9" t="s">
        <v>660</v>
      </c>
      <c r="C79" s="9"/>
      <c r="D79" s="40"/>
      <c r="E79" s="40"/>
      <c r="F79" s="40"/>
      <c r="G79" s="18" t="s">
        <v>661</v>
      </c>
    </row>
    <row r="80" spans="1:7" ht="15" customHeight="1" x14ac:dyDescent="0.25">
      <c r="A80" s="17" t="s">
        <v>662</v>
      </c>
      <c r="B80" s="9" t="s">
        <v>663</v>
      </c>
      <c r="C80" s="9"/>
      <c r="D80" s="40"/>
      <c r="E80" s="40"/>
      <c r="F80" s="40"/>
      <c r="G80" s="18" t="s">
        <v>664</v>
      </c>
    </row>
    <row r="81" spans="1:7" ht="15" customHeight="1" x14ac:dyDescent="0.25">
      <c r="A81" s="17" t="s">
        <v>665</v>
      </c>
      <c r="B81" s="9" t="s">
        <v>666</v>
      </c>
      <c r="C81" s="9"/>
      <c r="D81" s="40"/>
      <c r="E81" s="40"/>
      <c r="F81" s="40"/>
      <c r="G81" s="18" t="s">
        <v>667</v>
      </c>
    </row>
    <row r="82" spans="1:7" ht="15" customHeight="1" x14ac:dyDescent="0.25">
      <c r="A82" s="17" t="s">
        <v>668</v>
      </c>
      <c r="B82" s="9" t="s">
        <v>669</v>
      </c>
      <c r="C82" s="9"/>
      <c r="D82" s="40"/>
      <c r="E82" s="40"/>
      <c r="F82" s="40"/>
      <c r="G82" s="18" t="s">
        <v>670</v>
      </c>
    </row>
    <row r="84" spans="1:7" ht="15" customHeight="1" x14ac:dyDescent="0.25">
      <c r="A84" s="69" t="s">
        <v>671</v>
      </c>
    </row>
    <row r="85" spans="1:7" ht="27.75" customHeight="1" x14ac:dyDescent="0.25">
      <c r="B85" s="81" t="s">
        <v>672</v>
      </c>
      <c r="C85" s="81" t="s">
        <v>673</v>
      </c>
      <c r="D85" s="81" t="s">
        <v>674</v>
      </c>
      <c r="E85" s="81" t="s">
        <v>675</v>
      </c>
      <c r="F85" s="81" t="s">
        <v>676</v>
      </c>
    </row>
    <row r="86" spans="1:7" ht="15" customHeight="1" x14ac:dyDescent="0.25">
      <c r="A86" s="17" t="s">
        <v>677</v>
      </c>
      <c r="B86" s="108">
        <v>0</v>
      </c>
      <c r="C86" s="108">
        <v>0.25</v>
      </c>
      <c r="D86" s="108">
        <v>0.5</v>
      </c>
      <c r="E86" s="108">
        <v>0.75</v>
      </c>
      <c r="F86" s="108">
        <v>1</v>
      </c>
      <c r="G86" s="40"/>
    </row>
    <row r="87" spans="1:7" ht="15" customHeight="1" x14ac:dyDescent="0.25">
      <c r="A87" s="17" t="s">
        <v>678</v>
      </c>
      <c r="B87" s="48">
        <v>0</v>
      </c>
      <c r="C87" s="48">
        <v>0.1406</v>
      </c>
      <c r="D87" s="48">
        <v>0.28129999999999999</v>
      </c>
      <c r="E87" s="48">
        <v>0.4219</v>
      </c>
      <c r="F87" s="48">
        <v>0.5625</v>
      </c>
      <c r="G87" s="40"/>
    </row>
    <row r="88" spans="1:7" ht="15" customHeight="1" x14ac:dyDescent="0.25">
      <c r="A88" s="17" t="s">
        <v>679</v>
      </c>
      <c r="B88" s="108">
        <v>0</v>
      </c>
      <c r="C88" s="108">
        <v>0.25</v>
      </c>
      <c r="D88" s="108">
        <v>0.5</v>
      </c>
      <c r="E88" s="108">
        <v>0.75</v>
      </c>
      <c r="F88" s="108">
        <v>1</v>
      </c>
      <c r="G88" s="40"/>
    </row>
    <row r="89" spans="1:7" ht="15" customHeight="1" x14ac:dyDescent="0.25">
      <c r="A89" s="17" t="s">
        <v>680</v>
      </c>
      <c r="B89" s="48">
        <v>0</v>
      </c>
      <c r="C89" s="48">
        <v>8.4400000000000003E-2</v>
      </c>
      <c r="D89" s="48">
        <v>0.16880000000000001</v>
      </c>
      <c r="E89" s="48">
        <v>0.25309999999999999</v>
      </c>
      <c r="F89" s="48">
        <v>0.33750000000000002</v>
      </c>
      <c r="G89" s="40"/>
    </row>
    <row r="90" spans="1:7" ht="15" customHeight="1" x14ac:dyDescent="0.25">
      <c r="A90" s="17" t="s">
        <v>681</v>
      </c>
      <c r="B90" s="108">
        <v>0</v>
      </c>
      <c r="C90" s="108">
        <v>0.25</v>
      </c>
      <c r="D90" s="108">
        <v>0.5</v>
      </c>
      <c r="E90" s="108">
        <v>0.75</v>
      </c>
      <c r="F90" s="108">
        <v>1</v>
      </c>
      <c r="G90" s="40"/>
    </row>
    <row r="91" spans="1:7" ht="15" customHeight="1" x14ac:dyDescent="0.25">
      <c r="A91" s="17" t="s">
        <v>682</v>
      </c>
      <c r="B91" s="48">
        <v>0</v>
      </c>
      <c r="C91" s="48">
        <v>2.5000000000000001E-2</v>
      </c>
      <c r="D91" s="48">
        <v>0.05</v>
      </c>
      <c r="E91" s="48">
        <v>7.4999999999999997E-2</v>
      </c>
      <c r="F91" s="48">
        <v>0.1</v>
      </c>
      <c r="G91" s="40"/>
    </row>
    <row r="94" spans="1:7" ht="15" customHeight="1" x14ac:dyDescent="0.25">
      <c r="A94" s="10" t="s">
        <v>683</v>
      </c>
      <c r="B94" s="10"/>
      <c r="C94" s="10"/>
      <c r="D94" s="10"/>
      <c r="E94" s="10"/>
      <c r="F94" s="10"/>
      <c r="G94" s="10"/>
    </row>
    <row r="95" spans="1:7" ht="27.75" customHeight="1" x14ac:dyDescent="0.25">
      <c r="B95" s="81" t="s">
        <v>684</v>
      </c>
      <c r="C95" s="81" t="s">
        <v>685</v>
      </c>
      <c r="D95" s="81" t="s">
        <v>686</v>
      </c>
      <c r="G95" s="35" t="s">
        <v>252</v>
      </c>
    </row>
    <row r="96" spans="1:7" ht="15" customHeight="1" x14ac:dyDescent="0.25">
      <c r="A96" s="17" t="s">
        <v>687</v>
      </c>
      <c r="B96" s="36">
        <v>2</v>
      </c>
      <c r="C96" s="36">
        <v>2</v>
      </c>
      <c r="D96" s="36">
        <v>2</v>
      </c>
      <c r="E96" s="40"/>
      <c r="F96" s="40"/>
      <c r="G96" s="18" t="s">
        <v>688</v>
      </c>
    </row>
    <row r="97" spans="1:7" ht="15" customHeight="1" x14ac:dyDescent="0.25">
      <c r="A97" s="17" t="s">
        <v>689</v>
      </c>
      <c r="B97" s="36">
        <v>1</v>
      </c>
      <c r="C97" s="36">
        <v>1</v>
      </c>
      <c r="D97" s="36">
        <v>1</v>
      </c>
      <c r="E97" s="40"/>
      <c r="F97" s="40"/>
      <c r="G97" s="18" t="s">
        <v>690</v>
      </c>
    </row>
    <row r="98" spans="1:7" ht="15" customHeight="1" x14ac:dyDescent="0.25">
      <c r="A98" s="17" t="s">
        <v>691</v>
      </c>
      <c r="B98" s="36">
        <v>0</v>
      </c>
      <c r="C98" s="36" t="s">
        <v>692</v>
      </c>
      <c r="D98" s="36">
        <v>2</v>
      </c>
      <c r="E98" s="40"/>
      <c r="F98" s="40"/>
      <c r="G98" s="18" t="s">
        <v>693</v>
      </c>
    </row>
    <row r="99" spans="1:7" ht="15" customHeight="1" x14ac:dyDescent="0.25">
      <c r="A99" s="17" t="s">
        <v>694</v>
      </c>
      <c r="B99" s="36">
        <v>3</v>
      </c>
      <c r="C99" s="36" t="s">
        <v>695</v>
      </c>
      <c r="D99" s="36">
        <v>5</v>
      </c>
      <c r="E99" s="40"/>
      <c r="F99" s="40"/>
      <c r="G99" s="18"/>
    </row>
    <row r="101" spans="1:7" ht="15" customHeight="1" x14ac:dyDescent="0.25">
      <c r="A101" s="17" t="s">
        <v>696</v>
      </c>
      <c r="B101" s="36" t="s">
        <v>697</v>
      </c>
      <c r="C101" s="36" t="s">
        <v>698</v>
      </c>
      <c r="D101" s="36" t="s">
        <v>698</v>
      </c>
      <c r="E101" s="40"/>
      <c r="F101" s="40"/>
      <c r="G101" s="18" t="s">
        <v>699</v>
      </c>
    </row>
    <row r="102" spans="1:7" ht="15" customHeight="1" x14ac:dyDescent="0.25">
      <c r="A102" s="17" t="s">
        <v>700</v>
      </c>
      <c r="B102" s="36" t="s">
        <v>701</v>
      </c>
      <c r="C102" s="36" t="s">
        <v>702</v>
      </c>
      <c r="D102" s="36" t="s">
        <v>702</v>
      </c>
      <c r="E102" s="40"/>
      <c r="F102" s="40"/>
      <c r="G102" s="18" t="s">
        <v>703</v>
      </c>
    </row>
    <row r="103" spans="1:7" ht="15" customHeight="1" x14ac:dyDescent="0.25">
      <c r="A103" s="17" t="s">
        <v>704</v>
      </c>
      <c r="B103" s="36" t="s">
        <v>701</v>
      </c>
      <c r="C103" s="36" t="s">
        <v>705</v>
      </c>
      <c r="D103" s="36" t="s">
        <v>705</v>
      </c>
      <c r="E103" s="40"/>
      <c r="F103" s="40"/>
      <c r="G103" s="18" t="s">
        <v>706</v>
      </c>
    </row>
    <row r="104" spans="1:7" ht="15" customHeight="1" x14ac:dyDescent="0.25">
      <c r="A104" s="17" t="s">
        <v>707</v>
      </c>
      <c r="B104" s="36" t="s">
        <v>701</v>
      </c>
      <c r="C104" s="36" t="s">
        <v>708</v>
      </c>
      <c r="D104" s="36" t="s">
        <v>708</v>
      </c>
      <c r="E104" s="40"/>
      <c r="F104" s="40"/>
      <c r="G104" s="18" t="s">
        <v>709</v>
      </c>
    </row>
    <row r="105" spans="1:7" ht="15" customHeight="1" x14ac:dyDescent="0.25">
      <c r="A105" s="17" t="s">
        <v>710</v>
      </c>
      <c r="B105" s="36" t="s">
        <v>701</v>
      </c>
      <c r="C105" s="36" t="s">
        <v>711</v>
      </c>
      <c r="D105" s="36" t="s">
        <v>711</v>
      </c>
      <c r="E105" s="40"/>
      <c r="F105" s="40"/>
      <c r="G105" s="18" t="s">
        <v>712</v>
      </c>
    </row>
    <row r="108" spans="1:7" ht="15" customHeight="1" x14ac:dyDescent="0.25">
      <c r="A108" s="10" t="s">
        <v>479</v>
      </c>
      <c r="B108" s="10"/>
      <c r="C108" s="10"/>
      <c r="D108" s="10"/>
      <c r="E108" s="10"/>
      <c r="F108" s="10"/>
      <c r="G108" s="10"/>
    </row>
    <row r="109" spans="1:7" ht="15" customHeight="1" x14ac:dyDescent="0.25">
      <c r="A109" s="11" t="s">
        <v>713</v>
      </c>
      <c r="B109" s="11"/>
      <c r="C109" s="11"/>
      <c r="D109" s="11"/>
      <c r="E109" s="11"/>
      <c r="F109" s="11"/>
    </row>
    <row r="110" spans="1:7" ht="15" customHeight="1" x14ac:dyDescent="0.25">
      <c r="A110" s="11" t="s">
        <v>714</v>
      </c>
      <c r="B110" s="11"/>
      <c r="C110" s="11"/>
      <c r="D110" s="11"/>
      <c r="E110" s="11"/>
      <c r="F110" s="11"/>
    </row>
    <row r="111" spans="1:7" ht="15" customHeight="1" x14ac:dyDescent="0.25">
      <c r="A111" s="11" t="s">
        <v>715</v>
      </c>
      <c r="B111" s="11"/>
      <c r="C111" s="11"/>
      <c r="D111" s="11"/>
      <c r="E111" s="11"/>
      <c r="F111" s="11"/>
    </row>
    <row r="112" spans="1:7" ht="15" customHeight="1" x14ac:dyDescent="0.25">
      <c r="A112" s="11" t="s">
        <v>716</v>
      </c>
      <c r="B112" s="11"/>
      <c r="C112" s="11"/>
      <c r="D112" s="11"/>
      <c r="E112" s="11"/>
      <c r="F112" s="11"/>
    </row>
    <row r="113" spans="1:6" ht="15" customHeight="1" x14ac:dyDescent="0.25">
      <c r="A113" s="11" t="s">
        <v>717</v>
      </c>
      <c r="B113" s="11"/>
      <c r="C113" s="11"/>
      <c r="D113" s="11"/>
      <c r="E113" s="11"/>
      <c r="F113" s="11"/>
    </row>
    <row r="114" spans="1:6" ht="15" customHeight="1" x14ac:dyDescent="0.25">
      <c r="A114" s="11" t="s">
        <v>718</v>
      </c>
      <c r="B114" s="11"/>
      <c r="C114" s="11"/>
      <c r="D114" s="11"/>
      <c r="E114" s="11"/>
      <c r="F114" s="11"/>
    </row>
    <row r="115" spans="1:6" ht="15" customHeight="1" x14ac:dyDescent="0.25">
      <c r="A115" s="11" t="s">
        <v>719</v>
      </c>
      <c r="B115" s="11"/>
      <c r="C115" s="11"/>
      <c r="D115" s="11"/>
      <c r="E115" s="11"/>
      <c r="F115" s="11"/>
    </row>
    <row r="116" spans="1:6" ht="15" customHeight="1" x14ac:dyDescent="0.25">
      <c r="A116" s="11" t="s">
        <v>720</v>
      </c>
      <c r="B116" s="11"/>
      <c r="C116" s="11"/>
      <c r="D116" s="11"/>
      <c r="E116" s="11"/>
      <c r="F116" s="11"/>
    </row>
  </sheetData>
  <mergeCells count="24">
    <mergeCell ref="A113:F113"/>
    <mergeCell ref="A114:F114"/>
    <mergeCell ref="A115:F115"/>
    <mergeCell ref="A116:F116"/>
    <mergeCell ref="A108:G108"/>
    <mergeCell ref="A109:F109"/>
    <mergeCell ref="A110:F110"/>
    <mergeCell ref="A111:F111"/>
    <mergeCell ref="A112:F112"/>
    <mergeCell ref="B79:C79"/>
    <mergeCell ref="B80:C80"/>
    <mergeCell ref="B81:C81"/>
    <mergeCell ref="B82:C82"/>
    <mergeCell ref="A94:G94"/>
    <mergeCell ref="A47:G47"/>
    <mergeCell ref="A67:G67"/>
    <mergeCell ref="A76:G76"/>
    <mergeCell ref="B77:C77"/>
    <mergeCell ref="B78:C78"/>
    <mergeCell ref="A1:F1"/>
    <mergeCell ref="A2:F2"/>
    <mergeCell ref="A4:G4"/>
    <mergeCell ref="A14:G14"/>
    <mergeCell ref="A27:G27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6D00"/>
  </sheetPr>
  <dimension ref="A1:M103"/>
  <sheetViews>
    <sheetView zoomScaleNormal="100" workbookViewId="0">
      <selection sqref="A1:M1"/>
    </sheetView>
  </sheetViews>
  <sheetFormatPr baseColWidth="10" defaultColWidth="8.7109375" defaultRowHeight="15" x14ac:dyDescent="0.25"/>
  <cols>
    <col min="1" max="1" width="38" customWidth="1"/>
    <col min="2" max="13" width="14" customWidth="1"/>
    <col min="14" max="14" width="40" customWidth="1"/>
  </cols>
  <sheetData>
    <row r="1" spans="1:13" ht="31.5" customHeight="1" x14ac:dyDescent="0.25">
      <c r="A1" s="12" t="s">
        <v>721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15" customHeight="1" x14ac:dyDescent="0.25">
      <c r="A2" s="11" t="s">
        <v>722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4" spans="1:13" ht="15" customHeight="1" x14ac:dyDescent="0.25">
      <c r="A4" s="10" t="s">
        <v>723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ht="15" customHeight="1" x14ac:dyDescent="0.25">
      <c r="A5" s="69" t="s">
        <v>724</v>
      </c>
      <c r="B5" s="14" t="s">
        <v>725</v>
      </c>
      <c r="C5" s="109">
        <v>20</v>
      </c>
      <c r="D5" s="14" t="s">
        <v>726</v>
      </c>
      <c r="E5" s="110">
        <v>0.08</v>
      </c>
      <c r="F5" s="14" t="s">
        <v>727</v>
      </c>
      <c r="G5" s="111">
        <f>Assumptions!C8</f>
        <v>3000</v>
      </c>
    </row>
    <row r="6" spans="1:13" ht="27.75" customHeight="1" x14ac:dyDescent="0.25">
      <c r="A6" s="81" t="s">
        <v>728</v>
      </c>
      <c r="B6" s="81" t="s">
        <v>729</v>
      </c>
      <c r="C6" s="81" t="s">
        <v>730</v>
      </c>
      <c r="D6" s="81" t="s">
        <v>731</v>
      </c>
      <c r="E6" s="81" t="s">
        <v>732</v>
      </c>
      <c r="F6" s="81" t="s">
        <v>733</v>
      </c>
      <c r="G6" s="81" t="s">
        <v>734</v>
      </c>
      <c r="H6" s="81" t="s">
        <v>735</v>
      </c>
      <c r="I6" s="81" t="s">
        <v>736</v>
      </c>
      <c r="J6" s="35" t="s">
        <v>252</v>
      </c>
    </row>
    <row r="7" spans="1:13" ht="15" customHeight="1" x14ac:dyDescent="0.25">
      <c r="A7" s="112">
        <v>0.15</v>
      </c>
      <c r="B7" s="113">
        <f>$C$5*Assumptions!$C$7*A7*Assumptions!$C$8/1000000</f>
        <v>78.84</v>
      </c>
      <c r="C7" s="113">
        <f t="shared" ref="C7:C14" si="0">B7*$E$5</f>
        <v>6.3072000000000008</v>
      </c>
      <c r="D7" s="113">
        <v>67.5</v>
      </c>
      <c r="E7" s="113">
        <f t="shared" ref="E7:E14" si="1">C7+D7</f>
        <v>73.807199999999995</v>
      </c>
      <c r="F7" s="113">
        <f t="shared" ref="F7:F14" si="2">B7-E7</f>
        <v>5.0328000000000088</v>
      </c>
      <c r="G7" s="114">
        <f t="shared" ref="G7:G14" si="3">IF(B7&gt;0,F7/B7,0)</f>
        <v>6.383561643835628E-2</v>
      </c>
      <c r="H7" s="113">
        <f t="shared" ref="H7:H14" si="4">F7+26.075</f>
        <v>31.107800000000008</v>
      </c>
      <c r="I7" s="114">
        <f t="shared" ref="I7:I14" si="5">IF(B7&gt;0,H7/B7,0)</f>
        <v>0.39456874682902088</v>
      </c>
      <c r="J7" s="14" t="s">
        <v>737</v>
      </c>
    </row>
    <row r="8" spans="1:13" ht="15" customHeight="1" x14ac:dyDescent="0.25">
      <c r="A8" s="112">
        <v>0.2</v>
      </c>
      <c r="B8" s="113">
        <f>$C$5*Assumptions!$C$7*A8*Assumptions!$C$8/1000000</f>
        <v>105.12</v>
      </c>
      <c r="C8" s="113">
        <f t="shared" si="0"/>
        <v>8.4096000000000011</v>
      </c>
      <c r="D8" s="113">
        <v>67.5</v>
      </c>
      <c r="E8" s="113">
        <f t="shared" si="1"/>
        <v>75.909599999999998</v>
      </c>
      <c r="F8" s="113">
        <f t="shared" si="2"/>
        <v>29.210400000000007</v>
      </c>
      <c r="G8" s="114">
        <f t="shared" si="3"/>
        <v>0.27787671232876721</v>
      </c>
      <c r="H8" s="113">
        <f t="shared" si="4"/>
        <v>55.28540000000001</v>
      </c>
      <c r="I8" s="114">
        <f t="shared" si="5"/>
        <v>0.52592656012176564</v>
      </c>
      <c r="J8" s="14" t="s">
        <v>738</v>
      </c>
    </row>
    <row r="9" spans="1:13" ht="15" customHeight="1" x14ac:dyDescent="0.25">
      <c r="A9" s="112">
        <v>0.3</v>
      </c>
      <c r="B9" s="113">
        <f>$C$5*Assumptions!$C$7*A9*Assumptions!$C$8/1000000</f>
        <v>157.68</v>
      </c>
      <c r="C9" s="113">
        <f t="shared" si="0"/>
        <v>12.614400000000002</v>
      </c>
      <c r="D9" s="113">
        <v>67.5</v>
      </c>
      <c r="E9" s="113">
        <f t="shared" si="1"/>
        <v>80.114400000000003</v>
      </c>
      <c r="F9" s="113">
        <f t="shared" si="2"/>
        <v>77.565600000000003</v>
      </c>
      <c r="G9" s="114">
        <f t="shared" si="3"/>
        <v>0.49191780821917808</v>
      </c>
      <c r="H9" s="113">
        <f t="shared" si="4"/>
        <v>103.64060000000001</v>
      </c>
      <c r="I9" s="114">
        <f t="shared" si="5"/>
        <v>0.6572843734145104</v>
      </c>
      <c r="J9" s="14"/>
    </row>
    <row r="10" spans="1:13" ht="15" customHeight="1" x14ac:dyDescent="0.25">
      <c r="A10" s="112">
        <v>0.4</v>
      </c>
      <c r="B10" s="113">
        <f>$C$5*Assumptions!$C$7*A10*Assumptions!$C$8/1000000</f>
        <v>210.24</v>
      </c>
      <c r="C10" s="113">
        <f t="shared" si="0"/>
        <v>16.819200000000002</v>
      </c>
      <c r="D10" s="113">
        <v>67.5</v>
      </c>
      <c r="E10" s="113">
        <f t="shared" si="1"/>
        <v>84.319199999999995</v>
      </c>
      <c r="F10" s="113">
        <f t="shared" si="2"/>
        <v>125.92080000000001</v>
      </c>
      <c r="G10" s="114">
        <f t="shared" si="3"/>
        <v>0.59893835616438362</v>
      </c>
      <c r="H10" s="113">
        <f t="shared" si="4"/>
        <v>151.9958</v>
      </c>
      <c r="I10" s="114">
        <f t="shared" si="5"/>
        <v>0.72296328006088273</v>
      </c>
      <c r="J10" s="14"/>
    </row>
    <row r="11" spans="1:13" ht="15" customHeight="1" x14ac:dyDescent="0.25">
      <c r="A11" s="112">
        <v>0.45</v>
      </c>
      <c r="B11" s="113">
        <f>$C$5*Assumptions!$C$7*A11*Assumptions!$C$8/1000000</f>
        <v>236.52</v>
      </c>
      <c r="C11" s="113">
        <f t="shared" si="0"/>
        <v>18.921600000000002</v>
      </c>
      <c r="D11" s="113">
        <v>67.5</v>
      </c>
      <c r="E11" s="113">
        <f t="shared" si="1"/>
        <v>86.421599999999998</v>
      </c>
      <c r="F11" s="113">
        <f t="shared" si="2"/>
        <v>150.09840000000003</v>
      </c>
      <c r="G11" s="114">
        <f t="shared" si="3"/>
        <v>0.63461187214611881</v>
      </c>
      <c r="H11" s="113">
        <f t="shared" si="4"/>
        <v>176.17340000000002</v>
      </c>
      <c r="I11" s="114">
        <f t="shared" si="5"/>
        <v>0.74485624894300695</v>
      </c>
      <c r="J11" s="14" t="s">
        <v>17</v>
      </c>
    </row>
    <row r="12" spans="1:13" ht="15" customHeight="1" x14ac:dyDescent="0.25">
      <c r="A12" s="112">
        <v>0.5</v>
      </c>
      <c r="B12" s="113">
        <f>$C$5*Assumptions!$C$7*A12*Assumptions!$C$8/1000000</f>
        <v>262.8</v>
      </c>
      <c r="C12" s="113">
        <f t="shared" si="0"/>
        <v>21.024000000000001</v>
      </c>
      <c r="D12" s="113">
        <v>67.5</v>
      </c>
      <c r="E12" s="113">
        <f t="shared" si="1"/>
        <v>88.524000000000001</v>
      </c>
      <c r="F12" s="113">
        <f t="shared" si="2"/>
        <v>174.27600000000001</v>
      </c>
      <c r="G12" s="114">
        <f t="shared" si="3"/>
        <v>0.66315068493150686</v>
      </c>
      <c r="H12" s="113">
        <f t="shared" si="4"/>
        <v>200.351</v>
      </c>
      <c r="I12" s="114">
        <f t="shared" si="5"/>
        <v>0.76237062404870626</v>
      </c>
      <c r="J12" s="14"/>
    </row>
    <row r="13" spans="1:13" ht="15" customHeight="1" x14ac:dyDescent="0.25">
      <c r="A13" s="115">
        <v>0.6</v>
      </c>
      <c r="B13" s="116">
        <f>$C$5*Assumptions!$C$7*A13*Assumptions!$C$8/1000000</f>
        <v>315.36</v>
      </c>
      <c r="C13" s="116">
        <f t="shared" si="0"/>
        <v>25.228800000000003</v>
      </c>
      <c r="D13" s="116">
        <v>67.5</v>
      </c>
      <c r="E13" s="116">
        <f t="shared" si="1"/>
        <v>92.728800000000007</v>
      </c>
      <c r="F13" s="117">
        <f t="shared" si="2"/>
        <v>222.63120000000001</v>
      </c>
      <c r="G13" s="118">
        <f t="shared" si="3"/>
        <v>0.70595890410958906</v>
      </c>
      <c r="H13" s="117">
        <f t="shared" si="4"/>
        <v>248.7062</v>
      </c>
      <c r="I13" s="118">
        <f t="shared" si="5"/>
        <v>0.78864218670725517</v>
      </c>
      <c r="J13" s="14" t="s">
        <v>739</v>
      </c>
    </row>
    <row r="14" spans="1:13" ht="15" customHeight="1" x14ac:dyDescent="0.25">
      <c r="A14" s="112">
        <v>0.65</v>
      </c>
      <c r="B14" s="113">
        <f>$C$5*Assumptions!$C$7*A14*Assumptions!$C$8/1000000</f>
        <v>341.64</v>
      </c>
      <c r="C14" s="113">
        <f t="shared" si="0"/>
        <v>27.331199999999999</v>
      </c>
      <c r="D14" s="113">
        <v>67.5</v>
      </c>
      <c r="E14" s="113">
        <f t="shared" si="1"/>
        <v>94.831199999999995</v>
      </c>
      <c r="F14" s="113">
        <f t="shared" si="2"/>
        <v>246.80879999999999</v>
      </c>
      <c r="G14" s="114">
        <f t="shared" si="3"/>
        <v>0.72242360379346682</v>
      </c>
      <c r="H14" s="113">
        <f t="shared" si="4"/>
        <v>272.88380000000001</v>
      </c>
      <c r="I14" s="114">
        <f t="shared" si="5"/>
        <v>0.79874663388362022</v>
      </c>
      <c r="J14" s="14" t="s">
        <v>740</v>
      </c>
    </row>
    <row r="16" spans="1:13" ht="15" customHeight="1" x14ac:dyDescent="0.25">
      <c r="A16" s="8" t="s">
        <v>741</v>
      </c>
      <c r="B16" s="8"/>
      <c r="C16" s="8"/>
      <c r="D16" s="8"/>
      <c r="E16" s="8"/>
      <c r="F16" s="8"/>
      <c r="G16" s="8"/>
      <c r="H16" s="8"/>
      <c r="I16" s="8"/>
    </row>
    <row r="19" spans="1:13" ht="15" customHeight="1" x14ac:dyDescent="0.25">
      <c r="A19" s="10" t="s">
        <v>742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spans="1:13" ht="15" customHeight="1" x14ac:dyDescent="0.25">
      <c r="A20" s="35" t="s">
        <v>743</v>
      </c>
      <c r="B20" s="34" t="s">
        <v>223</v>
      </c>
      <c r="C20" s="34" t="s">
        <v>744</v>
      </c>
      <c r="D20" s="34" t="s">
        <v>745</v>
      </c>
      <c r="E20" s="34" t="s">
        <v>746</v>
      </c>
      <c r="F20" s="34" t="s">
        <v>747</v>
      </c>
      <c r="G20" s="34" t="s">
        <v>748</v>
      </c>
    </row>
    <row r="21" spans="1:13" ht="15" customHeight="1" x14ac:dyDescent="0.25">
      <c r="A21" s="119">
        <v>0.15</v>
      </c>
      <c r="B21" s="120">
        <v>-7</v>
      </c>
      <c r="C21" s="120">
        <v>-2.9</v>
      </c>
      <c r="D21" s="113">
        <v>1.2</v>
      </c>
      <c r="E21" s="113">
        <v>5.3</v>
      </c>
      <c r="F21" s="113">
        <v>9.4</v>
      </c>
      <c r="G21" s="113">
        <v>13.5</v>
      </c>
    </row>
    <row r="22" spans="1:13" ht="15" customHeight="1" x14ac:dyDescent="0.25">
      <c r="A22" s="119">
        <v>0.2</v>
      </c>
      <c r="B22" s="120">
        <v>-1</v>
      </c>
      <c r="C22" s="113">
        <v>9.1999999999999993</v>
      </c>
      <c r="D22" s="113">
        <v>19.3</v>
      </c>
      <c r="E22" s="121">
        <v>29.5</v>
      </c>
      <c r="F22" s="121">
        <v>39.6</v>
      </c>
      <c r="G22" s="121">
        <v>49.8</v>
      </c>
    </row>
    <row r="23" spans="1:13" ht="15" customHeight="1" x14ac:dyDescent="0.25">
      <c r="A23" s="119">
        <v>0.3</v>
      </c>
      <c r="B23" s="113">
        <v>11.1</v>
      </c>
      <c r="C23" s="121">
        <v>33.4</v>
      </c>
      <c r="D23" s="121">
        <v>55.6</v>
      </c>
      <c r="E23" s="121">
        <v>77.8</v>
      </c>
      <c r="F23" s="121">
        <v>100.1</v>
      </c>
      <c r="G23" s="121">
        <v>122.3</v>
      </c>
    </row>
    <row r="24" spans="1:13" ht="15" customHeight="1" x14ac:dyDescent="0.25">
      <c r="A24" s="119">
        <v>0.4</v>
      </c>
      <c r="B24" s="121">
        <v>23.2</v>
      </c>
      <c r="C24" s="121">
        <v>57.5</v>
      </c>
      <c r="D24" s="121">
        <v>91.9</v>
      </c>
      <c r="E24" s="121">
        <v>126.2</v>
      </c>
      <c r="F24" s="121">
        <v>160.5</v>
      </c>
      <c r="G24" s="121">
        <v>194.9</v>
      </c>
    </row>
    <row r="25" spans="1:13" ht="15" customHeight="1" x14ac:dyDescent="0.25">
      <c r="A25" s="119">
        <v>0.5</v>
      </c>
      <c r="B25" s="121">
        <v>35.299999999999997</v>
      </c>
      <c r="C25" s="121">
        <v>81.7</v>
      </c>
      <c r="D25" s="121">
        <v>128.1</v>
      </c>
      <c r="E25" s="121">
        <v>174.6</v>
      </c>
      <c r="F25" s="121">
        <v>221</v>
      </c>
      <c r="G25" s="121">
        <v>267.39999999999998</v>
      </c>
    </row>
    <row r="26" spans="1:13" ht="15" customHeight="1" x14ac:dyDescent="0.25">
      <c r="A26" s="119">
        <v>0.6</v>
      </c>
      <c r="B26" s="121">
        <v>47.4</v>
      </c>
      <c r="C26" s="121">
        <v>105.9</v>
      </c>
      <c r="D26" s="121">
        <v>164.4</v>
      </c>
      <c r="E26" s="122">
        <v>222.9</v>
      </c>
      <c r="F26" s="121">
        <v>281.39999999999998</v>
      </c>
      <c r="G26" s="121">
        <v>339.9</v>
      </c>
    </row>
    <row r="27" spans="1:13" ht="15" customHeight="1" x14ac:dyDescent="0.25">
      <c r="A27" s="119">
        <v>0.65</v>
      </c>
      <c r="B27" s="121">
        <v>53.4</v>
      </c>
      <c r="C27" s="121">
        <v>118</v>
      </c>
      <c r="D27" s="121">
        <v>182.5</v>
      </c>
      <c r="E27" s="121">
        <v>247.1</v>
      </c>
      <c r="F27" s="121">
        <v>311.60000000000002</v>
      </c>
      <c r="G27" s="121">
        <v>376.2</v>
      </c>
    </row>
    <row r="29" spans="1:13" ht="15" customHeight="1" x14ac:dyDescent="0.25">
      <c r="A29" s="11" t="s">
        <v>749</v>
      </c>
      <c r="B29" s="11"/>
      <c r="C29" s="11"/>
      <c r="D29" s="11"/>
      <c r="E29" s="11"/>
      <c r="F29" s="11"/>
      <c r="G29" s="11"/>
    </row>
    <row r="32" spans="1:13" ht="15" customHeight="1" x14ac:dyDescent="0.25">
      <c r="A32" s="10" t="s">
        <v>750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</row>
    <row r="33" spans="1:13" ht="27.75" customHeight="1" x14ac:dyDescent="0.25">
      <c r="A33" s="81" t="s">
        <v>751</v>
      </c>
      <c r="B33" s="81" t="s">
        <v>729</v>
      </c>
      <c r="C33" s="81" t="s">
        <v>733</v>
      </c>
      <c r="D33" s="81" t="s">
        <v>734</v>
      </c>
      <c r="E33" s="81" t="s">
        <v>735</v>
      </c>
      <c r="F33" s="81" t="s">
        <v>752</v>
      </c>
      <c r="G33" s="81" t="s">
        <v>753</v>
      </c>
    </row>
    <row r="34" spans="1:13" ht="15" customHeight="1" x14ac:dyDescent="0.25">
      <c r="A34" s="123">
        <v>2000</v>
      </c>
      <c r="B34" s="113">
        <v>210.24</v>
      </c>
      <c r="C34" s="113">
        <v>125.9208</v>
      </c>
      <c r="D34" s="114">
        <v>0.59893835616438396</v>
      </c>
      <c r="E34" s="113">
        <v>151.9958</v>
      </c>
      <c r="F34" s="124">
        <v>-105.12</v>
      </c>
      <c r="G34" s="124">
        <v>-96.710400000000007</v>
      </c>
    </row>
    <row r="35" spans="1:13" ht="15" customHeight="1" x14ac:dyDescent="0.25">
      <c r="A35" s="123">
        <v>2500</v>
      </c>
      <c r="B35" s="113">
        <v>262.8</v>
      </c>
      <c r="C35" s="113">
        <v>174.27600000000001</v>
      </c>
      <c r="D35" s="114">
        <v>0.66315068493150697</v>
      </c>
      <c r="E35" s="113">
        <v>200.351</v>
      </c>
      <c r="F35" s="124">
        <v>-52.56</v>
      </c>
      <c r="G35" s="124">
        <v>-48.355200000000004</v>
      </c>
    </row>
    <row r="36" spans="1:13" ht="15" customHeight="1" x14ac:dyDescent="0.25">
      <c r="A36" s="123">
        <v>2750</v>
      </c>
      <c r="B36" s="113">
        <v>289.08</v>
      </c>
      <c r="C36" s="113">
        <v>198.45359999999999</v>
      </c>
      <c r="D36" s="114">
        <v>0.686500622665006</v>
      </c>
      <c r="E36" s="113">
        <v>224.52860000000001</v>
      </c>
      <c r="F36" s="124">
        <v>-26.28</v>
      </c>
      <c r="G36" s="124">
        <v>-24.177600000000002</v>
      </c>
    </row>
    <row r="37" spans="1:13" ht="15" customHeight="1" x14ac:dyDescent="0.25">
      <c r="A37" s="125">
        <v>3000</v>
      </c>
      <c r="B37" s="116">
        <v>315.36</v>
      </c>
      <c r="C37" s="117">
        <v>222.63120000000001</v>
      </c>
      <c r="D37" s="118">
        <v>0.70595890410958895</v>
      </c>
      <c r="E37" s="117">
        <v>248.7062</v>
      </c>
      <c r="F37" s="126">
        <v>0</v>
      </c>
      <c r="G37" s="126">
        <v>0</v>
      </c>
    </row>
    <row r="38" spans="1:13" ht="15" customHeight="1" x14ac:dyDescent="0.25">
      <c r="A38" s="123">
        <v>3250</v>
      </c>
      <c r="B38" s="113">
        <v>341.64</v>
      </c>
      <c r="C38" s="113">
        <v>246.80879999999999</v>
      </c>
      <c r="D38" s="114">
        <v>0.72242360379346704</v>
      </c>
      <c r="E38" s="113">
        <v>272.88380000000001</v>
      </c>
      <c r="F38" s="124">
        <v>26.28</v>
      </c>
      <c r="G38" s="124">
        <v>24.177599999999899</v>
      </c>
    </row>
    <row r="39" spans="1:13" ht="15" customHeight="1" x14ac:dyDescent="0.25">
      <c r="A39" s="123">
        <v>3500</v>
      </c>
      <c r="B39" s="113">
        <v>367.92</v>
      </c>
      <c r="C39" s="113">
        <v>270.9864</v>
      </c>
      <c r="D39" s="114">
        <v>0.73653620352250504</v>
      </c>
      <c r="E39" s="113">
        <v>297.06139999999999</v>
      </c>
      <c r="F39" s="124">
        <v>52.56</v>
      </c>
      <c r="G39" s="124">
        <v>48.355200000000004</v>
      </c>
    </row>
    <row r="40" spans="1:13" ht="15" customHeight="1" x14ac:dyDescent="0.25">
      <c r="A40" s="123">
        <v>4000</v>
      </c>
      <c r="B40" s="113">
        <v>420.48</v>
      </c>
      <c r="C40" s="113">
        <v>319.34160000000003</v>
      </c>
      <c r="D40" s="114">
        <v>0.75946917808219205</v>
      </c>
      <c r="E40" s="113">
        <v>345.41660000000002</v>
      </c>
      <c r="F40" s="124">
        <v>105.12</v>
      </c>
      <c r="G40" s="124">
        <v>96.710400000000007</v>
      </c>
    </row>
    <row r="42" spans="1:13" ht="15" customHeight="1" x14ac:dyDescent="0.25">
      <c r="A42" s="7" t="s">
        <v>754</v>
      </c>
      <c r="B42" s="7"/>
      <c r="C42" s="7"/>
      <c r="D42" s="7"/>
      <c r="E42" s="7"/>
      <c r="F42" s="7"/>
      <c r="G42" s="7"/>
    </row>
    <row r="45" spans="1:13" ht="15" customHeight="1" x14ac:dyDescent="0.25">
      <c r="A45" s="10" t="s">
        <v>755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</row>
    <row r="46" spans="1:13" ht="27.75" customHeight="1" x14ac:dyDescent="0.25">
      <c r="A46" s="81" t="s">
        <v>756</v>
      </c>
      <c r="B46" s="81" t="s">
        <v>757</v>
      </c>
      <c r="C46" s="81" t="s">
        <v>758</v>
      </c>
      <c r="D46" s="81" t="s">
        <v>735</v>
      </c>
      <c r="E46" s="81" t="s">
        <v>759</v>
      </c>
      <c r="F46" s="81" t="s">
        <v>760</v>
      </c>
      <c r="G46" s="81" t="s">
        <v>761</v>
      </c>
      <c r="H46" s="81" t="s">
        <v>762</v>
      </c>
      <c r="I46" s="81" t="s">
        <v>763</v>
      </c>
      <c r="J46" s="81" t="s">
        <v>764</v>
      </c>
    </row>
    <row r="47" spans="1:13" ht="15" customHeight="1" x14ac:dyDescent="0.25">
      <c r="A47" s="127" t="s">
        <v>765</v>
      </c>
      <c r="B47" s="128">
        <v>15</v>
      </c>
      <c r="C47" s="129">
        <v>0.35</v>
      </c>
      <c r="D47" s="128">
        <v>83</v>
      </c>
      <c r="E47" s="130">
        <v>8</v>
      </c>
      <c r="F47" s="128">
        <v>665</v>
      </c>
      <c r="G47" s="131">
        <v>13.4596</v>
      </c>
      <c r="H47" s="131">
        <v>3.1085185185185198</v>
      </c>
      <c r="I47" s="131">
        <v>2.2536111111111099</v>
      </c>
      <c r="J47" s="128">
        <v>336.49</v>
      </c>
    </row>
    <row r="48" spans="1:13" ht="15" customHeight="1" x14ac:dyDescent="0.25">
      <c r="A48" s="127" t="s">
        <v>766</v>
      </c>
      <c r="B48" s="128">
        <v>20</v>
      </c>
      <c r="C48" s="129">
        <v>0.4</v>
      </c>
      <c r="D48" s="128">
        <v>126</v>
      </c>
      <c r="E48" s="130">
        <v>8</v>
      </c>
      <c r="F48" s="128">
        <v>1005</v>
      </c>
      <c r="G48" s="131">
        <v>20.341200000000001</v>
      </c>
      <c r="H48" s="131">
        <v>4.6978362573099401</v>
      </c>
      <c r="I48" s="131">
        <v>3.4058333333333302</v>
      </c>
      <c r="J48" s="128">
        <v>508.53</v>
      </c>
    </row>
    <row r="49" spans="1:13" ht="15" customHeight="1" x14ac:dyDescent="0.25">
      <c r="A49" s="132" t="s">
        <v>767</v>
      </c>
      <c r="B49" s="123">
        <v>20</v>
      </c>
      <c r="C49" s="114">
        <v>0.5</v>
      </c>
      <c r="D49" s="123">
        <v>174</v>
      </c>
      <c r="E49" s="133">
        <v>9</v>
      </c>
      <c r="F49" s="123">
        <v>1570</v>
      </c>
      <c r="G49" s="134">
        <v>31.776800000000001</v>
      </c>
      <c r="H49" s="134">
        <v>7.3389083820662799</v>
      </c>
      <c r="I49" s="134">
        <v>5.3205555555555604</v>
      </c>
      <c r="J49" s="123">
        <v>794.42</v>
      </c>
    </row>
    <row r="50" spans="1:13" ht="15" customHeight="1" x14ac:dyDescent="0.25">
      <c r="A50" s="135" t="s">
        <v>768</v>
      </c>
      <c r="B50" s="125">
        <v>20</v>
      </c>
      <c r="C50" s="118">
        <v>0.6</v>
      </c>
      <c r="D50" s="125">
        <v>223</v>
      </c>
      <c r="E50" s="136">
        <v>10</v>
      </c>
      <c r="F50" s="125">
        <v>2230</v>
      </c>
      <c r="G50" s="137">
        <v>45.135199999999998</v>
      </c>
      <c r="H50" s="137">
        <v>10.4240545808967</v>
      </c>
      <c r="I50" s="137">
        <v>7.5572222222222196</v>
      </c>
      <c r="J50" s="125">
        <v>1128.3800000000001</v>
      </c>
    </row>
    <row r="51" spans="1:13" ht="15" customHeight="1" x14ac:dyDescent="0.25">
      <c r="A51" s="138" t="s">
        <v>769</v>
      </c>
      <c r="B51" s="139">
        <v>25</v>
      </c>
      <c r="C51" s="140">
        <v>0.65</v>
      </c>
      <c r="D51" s="139">
        <v>268</v>
      </c>
      <c r="E51" s="141">
        <v>11</v>
      </c>
      <c r="F51" s="139">
        <v>2950</v>
      </c>
      <c r="G51" s="142">
        <v>59.707999999999998</v>
      </c>
      <c r="H51" s="142">
        <v>13.7896686159844</v>
      </c>
      <c r="I51" s="142">
        <v>9.99722222222222</v>
      </c>
      <c r="J51" s="139">
        <v>1492.7</v>
      </c>
    </row>
    <row r="52" spans="1:13" ht="15" customHeight="1" x14ac:dyDescent="0.25">
      <c r="A52" s="138" t="s">
        <v>770</v>
      </c>
      <c r="B52" s="139">
        <v>40</v>
      </c>
      <c r="C52" s="140">
        <v>0.55000000000000004</v>
      </c>
      <c r="D52" s="139">
        <v>445</v>
      </c>
      <c r="E52" s="141">
        <v>12</v>
      </c>
      <c r="F52" s="139">
        <v>5350</v>
      </c>
      <c r="G52" s="142">
        <v>108.28400000000001</v>
      </c>
      <c r="H52" s="142">
        <v>25.008382066276798</v>
      </c>
      <c r="I52" s="142">
        <v>18.130555555555599</v>
      </c>
      <c r="J52" s="139">
        <v>2707.1</v>
      </c>
    </row>
    <row r="54" spans="1:13" ht="15" customHeight="1" x14ac:dyDescent="0.25">
      <c r="A54" s="69" t="s">
        <v>771</v>
      </c>
      <c r="G54" s="143" t="s">
        <v>772</v>
      </c>
      <c r="H54" s="143" t="s">
        <v>773</v>
      </c>
      <c r="I54" s="143" t="s">
        <v>774</v>
      </c>
    </row>
    <row r="57" spans="1:13" ht="15" customHeight="1" x14ac:dyDescent="0.25">
      <c r="A57" s="10" t="s">
        <v>775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</row>
    <row r="58" spans="1:13" ht="27.75" customHeight="1" x14ac:dyDescent="0.25">
      <c r="A58" s="81" t="s">
        <v>776</v>
      </c>
      <c r="B58" s="81" t="s">
        <v>729</v>
      </c>
      <c r="C58" s="81" t="s">
        <v>777</v>
      </c>
      <c r="D58" s="81" t="s">
        <v>733</v>
      </c>
      <c r="E58" s="81" t="s">
        <v>778</v>
      </c>
      <c r="F58" s="81" t="s">
        <v>779</v>
      </c>
    </row>
    <row r="59" spans="1:13" ht="15" customHeight="1" x14ac:dyDescent="0.25">
      <c r="A59" s="144" t="s">
        <v>780</v>
      </c>
      <c r="B59" s="113">
        <v>210.24</v>
      </c>
      <c r="C59" s="145">
        <v>-0.33333333333333298</v>
      </c>
      <c r="D59" s="113">
        <v>125.9208</v>
      </c>
      <c r="E59" s="145">
        <v>-0.43439733514439999</v>
      </c>
      <c r="F59" s="146">
        <v>1.3031920054332</v>
      </c>
    </row>
    <row r="60" spans="1:13" ht="15" customHeight="1" x14ac:dyDescent="0.25">
      <c r="A60" s="144" t="s">
        <v>781</v>
      </c>
      <c r="B60" s="113">
        <v>236.52</v>
      </c>
      <c r="C60" s="145">
        <v>-0.25</v>
      </c>
      <c r="D60" s="113">
        <v>150.0984</v>
      </c>
      <c r="E60" s="145">
        <v>-0.3257980013583</v>
      </c>
      <c r="F60" s="146">
        <v>1.3031920054332</v>
      </c>
    </row>
    <row r="61" spans="1:13" ht="15" customHeight="1" x14ac:dyDescent="0.25">
      <c r="A61" s="144" t="s">
        <v>782</v>
      </c>
      <c r="B61" s="113">
        <v>262.8</v>
      </c>
      <c r="C61" s="145">
        <v>-0.16666666666666699</v>
      </c>
      <c r="D61" s="113">
        <v>174.27600000000001</v>
      </c>
      <c r="E61" s="145">
        <v>-0.21719866757219999</v>
      </c>
      <c r="F61" s="146">
        <v>1.3031920054332</v>
      </c>
    </row>
    <row r="62" spans="1:13" ht="15" customHeight="1" x14ac:dyDescent="0.25">
      <c r="A62" s="144" t="s">
        <v>783</v>
      </c>
      <c r="B62" s="113">
        <v>289.08</v>
      </c>
      <c r="C62" s="145">
        <v>-8.3333333333333301E-2</v>
      </c>
      <c r="D62" s="113">
        <v>198.45359999999999</v>
      </c>
      <c r="E62" s="145">
        <v>-0.1085993337861</v>
      </c>
      <c r="F62" s="146">
        <v>1.3031920054332</v>
      </c>
    </row>
    <row r="63" spans="1:13" ht="15" customHeight="1" x14ac:dyDescent="0.25">
      <c r="A63" s="135" t="s">
        <v>784</v>
      </c>
      <c r="B63" s="116">
        <v>315.36</v>
      </c>
      <c r="C63" s="147">
        <v>0</v>
      </c>
      <c r="D63" s="116">
        <v>222.63120000000001</v>
      </c>
      <c r="E63" s="147">
        <v>0</v>
      </c>
      <c r="F63" s="135" t="s">
        <v>785</v>
      </c>
    </row>
    <row r="64" spans="1:13" ht="15" customHeight="1" x14ac:dyDescent="0.25">
      <c r="A64" s="144" t="s">
        <v>786</v>
      </c>
      <c r="B64" s="113">
        <v>341.64</v>
      </c>
      <c r="C64" s="145">
        <v>8.3333333333333301E-2</v>
      </c>
      <c r="D64" s="113">
        <v>246.80879999999999</v>
      </c>
      <c r="E64" s="145">
        <v>0.1085993337861</v>
      </c>
      <c r="F64" s="146">
        <v>1.3031920054332</v>
      </c>
    </row>
    <row r="65" spans="1:13" ht="15" customHeight="1" x14ac:dyDescent="0.25">
      <c r="A65" s="144" t="s">
        <v>787</v>
      </c>
      <c r="B65" s="113">
        <v>367.92</v>
      </c>
      <c r="C65" s="145">
        <v>0.16666666666666699</v>
      </c>
      <c r="D65" s="113">
        <v>270.9864</v>
      </c>
      <c r="E65" s="145">
        <v>0.21719866757219999</v>
      </c>
      <c r="F65" s="146">
        <v>1.3031920054332</v>
      </c>
    </row>
    <row r="67" spans="1:13" ht="15" customHeight="1" x14ac:dyDescent="0.25">
      <c r="A67" s="11" t="s">
        <v>788</v>
      </c>
      <c r="B67" s="11"/>
      <c r="C67" s="11"/>
      <c r="D67" s="11"/>
      <c r="E67" s="11"/>
      <c r="F67" s="11"/>
    </row>
    <row r="70" spans="1:13" ht="15" customHeight="1" x14ac:dyDescent="0.25">
      <c r="A70" s="10" t="s">
        <v>789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</row>
    <row r="71" spans="1:13" ht="27.75" customHeight="1" x14ac:dyDescent="0.25">
      <c r="A71" s="81" t="s">
        <v>790</v>
      </c>
      <c r="B71" s="81" t="s">
        <v>791</v>
      </c>
      <c r="C71" s="81" t="s">
        <v>733</v>
      </c>
      <c r="D71" s="81" t="s">
        <v>792</v>
      </c>
      <c r="E71" s="81" t="s">
        <v>793</v>
      </c>
      <c r="F71" s="35" t="s">
        <v>252</v>
      </c>
    </row>
    <row r="72" spans="1:13" ht="15" customHeight="1" x14ac:dyDescent="0.25">
      <c r="A72" s="114">
        <v>0.06</v>
      </c>
      <c r="B72" s="113">
        <v>18.921600000000002</v>
      </c>
      <c r="C72" s="113">
        <v>228.9384</v>
      </c>
      <c r="D72" s="124">
        <v>6.3071999999999697</v>
      </c>
      <c r="E72" s="148">
        <v>0.72595890410958896</v>
      </c>
      <c r="F72" s="14" t="s">
        <v>794</v>
      </c>
    </row>
    <row r="73" spans="1:13" ht="15" customHeight="1" x14ac:dyDescent="0.25">
      <c r="A73" s="114">
        <v>7.0000000000000007E-2</v>
      </c>
      <c r="B73" s="113">
        <v>22.075199999999999</v>
      </c>
      <c r="C73" s="113">
        <v>225.78479999999999</v>
      </c>
      <c r="D73" s="124">
        <v>3.15359999999998</v>
      </c>
      <c r="E73" s="148">
        <v>0.71595890410958896</v>
      </c>
      <c r="F73" s="14"/>
    </row>
    <row r="74" spans="1:13" ht="15" customHeight="1" x14ac:dyDescent="0.25">
      <c r="A74" s="118">
        <v>0.08</v>
      </c>
      <c r="B74" s="116">
        <v>25.2288</v>
      </c>
      <c r="C74" s="117">
        <v>222.63120000000001</v>
      </c>
      <c r="D74" s="126">
        <v>0</v>
      </c>
      <c r="E74" s="149">
        <v>0.70595890410958895</v>
      </c>
      <c r="F74" s="14" t="s">
        <v>795</v>
      </c>
    </row>
    <row r="75" spans="1:13" ht="15" customHeight="1" x14ac:dyDescent="0.25">
      <c r="A75" s="114">
        <v>0.1</v>
      </c>
      <c r="B75" s="113">
        <v>31.536000000000001</v>
      </c>
      <c r="C75" s="113">
        <v>216.32400000000001</v>
      </c>
      <c r="D75" s="124">
        <v>-6.3072000000000203</v>
      </c>
      <c r="E75" s="148">
        <v>0.68595890410958904</v>
      </c>
      <c r="F75" s="14"/>
    </row>
    <row r="76" spans="1:13" ht="15" customHeight="1" x14ac:dyDescent="0.25">
      <c r="A76" s="114">
        <v>0.12</v>
      </c>
      <c r="B76" s="113">
        <v>37.843200000000003</v>
      </c>
      <c r="C76" s="113">
        <v>210.01679999999999</v>
      </c>
      <c r="D76" s="124">
        <v>-12.614400000000099</v>
      </c>
      <c r="E76" s="148">
        <v>0.66595890410958902</v>
      </c>
      <c r="F76" s="14"/>
    </row>
    <row r="77" spans="1:13" ht="15" customHeight="1" x14ac:dyDescent="0.25">
      <c r="A77" s="114">
        <v>0.13</v>
      </c>
      <c r="B77" s="113">
        <v>40.9968</v>
      </c>
      <c r="C77" s="113">
        <v>206.86320000000001</v>
      </c>
      <c r="D77" s="124">
        <v>-15.768000000000001</v>
      </c>
      <c r="E77" s="148">
        <v>0.65595890410958901</v>
      </c>
      <c r="F77" s="14" t="s">
        <v>796</v>
      </c>
    </row>
    <row r="78" spans="1:13" ht="15" customHeight="1" x14ac:dyDescent="0.25">
      <c r="A78" s="114">
        <v>0.15</v>
      </c>
      <c r="B78" s="113">
        <v>47.304000000000002</v>
      </c>
      <c r="C78" s="113">
        <v>200.55600000000001</v>
      </c>
      <c r="D78" s="124">
        <v>-22.075199999999999</v>
      </c>
      <c r="E78" s="148">
        <v>0.635958904109589</v>
      </c>
      <c r="F78" s="14"/>
    </row>
    <row r="82" spans="1:13" ht="15" customHeight="1" x14ac:dyDescent="0.25">
      <c r="A82" s="10" t="s">
        <v>797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</row>
    <row r="83" spans="1:13" ht="15" customHeight="1" x14ac:dyDescent="0.25">
      <c r="A83" s="150" t="s">
        <v>760</v>
      </c>
      <c r="B83" s="34" t="s">
        <v>798</v>
      </c>
      <c r="C83" s="34" t="s">
        <v>799</v>
      </c>
      <c r="D83" s="34" t="s">
        <v>800</v>
      </c>
      <c r="E83" s="34" t="s">
        <v>801</v>
      </c>
      <c r="F83" s="34" t="s">
        <v>802</v>
      </c>
      <c r="G83" s="34" t="s">
        <v>803</v>
      </c>
      <c r="H83" s="34" t="s">
        <v>804</v>
      </c>
    </row>
    <row r="84" spans="1:13" ht="15" customHeight="1" x14ac:dyDescent="0.25">
      <c r="A84" s="151" t="s">
        <v>805</v>
      </c>
      <c r="B84" s="152">
        <v>581</v>
      </c>
      <c r="C84" s="152">
        <v>664</v>
      </c>
      <c r="D84" s="152">
        <v>747</v>
      </c>
      <c r="E84" s="152">
        <v>830</v>
      </c>
      <c r="F84" s="152">
        <v>913</v>
      </c>
      <c r="G84" s="152">
        <v>996</v>
      </c>
      <c r="H84" s="123">
        <v>1079</v>
      </c>
    </row>
    <row r="85" spans="1:13" ht="15" customHeight="1" x14ac:dyDescent="0.25">
      <c r="A85" s="151" t="s">
        <v>806</v>
      </c>
      <c r="B85" s="152">
        <v>882</v>
      </c>
      <c r="C85" s="123">
        <v>1008</v>
      </c>
      <c r="D85" s="123">
        <v>1134</v>
      </c>
      <c r="E85" s="123">
        <v>1260</v>
      </c>
      <c r="F85" s="123">
        <v>1386</v>
      </c>
      <c r="G85" s="123">
        <v>1512</v>
      </c>
      <c r="H85" s="123">
        <v>1638</v>
      </c>
    </row>
    <row r="86" spans="1:13" ht="15" customHeight="1" x14ac:dyDescent="0.25">
      <c r="A86" s="151" t="s">
        <v>807</v>
      </c>
      <c r="B86" s="123">
        <v>1218</v>
      </c>
      <c r="C86" s="123">
        <v>1392</v>
      </c>
      <c r="D86" s="123">
        <v>1566</v>
      </c>
      <c r="E86" s="123">
        <v>1740</v>
      </c>
      <c r="F86" s="123">
        <v>1914</v>
      </c>
      <c r="G86" s="153">
        <v>2088</v>
      </c>
      <c r="H86" s="153">
        <v>2262</v>
      </c>
    </row>
    <row r="87" spans="1:13" ht="15" customHeight="1" x14ac:dyDescent="0.25">
      <c r="A87" s="154" t="s">
        <v>808</v>
      </c>
      <c r="B87" s="123">
        <v>1561</v>
      </c>
      <c r="C87" s="123">
        <v>1784</v>
      </c>
      <c r="D87" s="153">
        <v>2007</v>
      </c>
      <c r="E87" s="155">
        <v>2230</v>
      </c>
      <c r="F87" s="153">
        <v>2453</v>
      </c>
      <c r="G87" s="153">
        <v>2676</v>
      </c>
      <c r="H87" s="153">
        <v>2899</v>
      </c>
    </row>
    <row r="88" spans="1:13" ht="15" customHeight="1" x14ac:dyDescent="0.25">
      <c r="A88" s="151" t="s">
        <v>809</v>
      </c>
      <c r="B88" s="123">
        <v>1876</v>
      </c>
      <c r="C88" s="153">
        <v>2144</v>
      </c>
      <c r="D88" s="153">
        <v>2412</v>
      </c>
      <c r="E88" s="153">
        <v>2680</v>
      </c>
      <c r="F88" s="153">
        <v>2948</v>
      </c>
      <c r="G88" s="156">
        <v>3216</v>
      </c>
      <c r="H88" s="156">
        <v>3484</v>
      </c>
    </row>
    <row r="89" spans="1:13" ht="15" customHeight="1" x14ac:dyDescent="0.25">
      <c r="A89" s="151" t="s">
        <v>810</v>
      </c>
      <c r="B89" s="153">
        <v>2450</v>
      </c>
      <c r="C89" s="153">
        <v>2800</v>
      </c>
      <c r="D89" s="156">
        <v>3150</v>
      </c>
      <c r="E89" s="156">
        <v>3500</v>
      </c>
      <c r="F89" s="156">
        <v>3850</v>
      </c>
      <c r="G89" s="156">
        <v>4200</v>
      </c>
      <c r="H89" s="156">
        <v>4550</v>
      </c>
    </row>
    <row r="90" spans="1:13" ht="15" customHeight="1" x14ac:dyDescent="0.25">
      <c r="A90" s="151" t="s">
        <v>811</v>
      </c>
      <c r="B90" s="156">
        <v>3115</v>
      </c>
      <c r="C90" s="156">
        <v>3560</v>
      </c>
      <c r="D90" s="156">
        <v>4005</v>
      </c>
      <c r="E90" s="156">
        <v>4450</v>
      </c>
      <c r="F90" s="156">
        <v>4895</v>
      </c>
      <c r="G90" s="156">
        <v>5340</v>
      </c>
      <c r="H90" s="156">
        <v>5785</v>
      </c>
    </row>
    <row r="92" spans="1:13" ht="15" customHeight="1" x14ac:dyDescent="0.25">
      <c r="A92" s="11" t="s">
        <v>812</v>
      </c>
      <c r="B92" s="11"/>
      <c r="C92" s="11"/>
      <c r="D92" s="11"/>
      <c r="E92" s="11"/>
      <c r="F92" s="11"/>
      <c r="G92" s="11"/>
      <c r="H92" s="11"/>
    </row>
    <row r="95" spans="1:13" ht="15" customHeight="1" x14ac:dyDescent="0.25">
      <c r="A95" s="10" t="s">
        <v>479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</row>
    <row r="96" spans="1:13" ht="15" customHeight="1" x14ac:dyDescent="0.25">
      <c r="A96" s="11" t="s">
        <v>813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 spans="1:13" ht="15" customHeight="1" x14ac:dyDescent="0.25">
      <c r="A97" s="11" t="s">
        <v>814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 spans="1:13" ht="15" customHeight="1" x14ac:dyDescent="0.25">
      <c r="A98" s="11" t="s">
        <v>815</v>
      </c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 spans="1:13" ht="15" customHeight="1" x14ac:dyDescent="0.25">
      <c r="A99" s="11" t="s">
        <v>816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 spans="1:13" ht="15" customHeight="1" x14ac:dyDescent="0.25">
      <c r="A100" s="11" t="s">
        <v>817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 spans="1:13" ht="15" customHeight="1" x14ac:dyDescent="0.25">
      <c r="A101" s="11" t="s">
        <v>818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 spans="1:13" ht="15" customHeight="1" x14ac:dyDescent="0.25">
      <c r="A102" s="11" t="s">
        <v>819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 spans="1:13" ht="15" customHeight="1" x14ac:dyDescent="0.25">
      <c r="A103" s="11" t="s">
        <v>820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</sheetData>
  <mergeCells count="23">
    <mergeCell ref="A101:M101"/>
    <mergeCell ref="A102:M102"/>
    <mergeCell ref="A103:M103"/>
    <mergeCell ref="A96:M96"/>
    <mergeCell ref="A97:M97"/>
    <mergeCell ref="A98:M98"/>
    <mergeCell ref="A99:M99"/>
    <mergeCell ref="A100:M100"/>
    <mergeCell ref="A67:F67"/>
    <mergeCell ref="A70:M70"/>
    <mergeCell ref="A82:M82"/>
    <mergeCell ref="A92:H92"/>
    <mergeCell ref="A95:M95"/>
    <mergeCell ref="A29:G29"/>
    <mergeCell ref="A32:M32"/>
    <mergeCell ref="A42:G42"/>
    <mergeCell ref="A45:M45"/>
    <mergeCell ref="A57:M57"/>
    <mergeCell ref="A1:M1"/>
    <mergeCell ref="A2:M2"/>
    <mergeCell ref="A4:M4"/>
    <mergeCell ref="A16:I16"/>
    <mergeCell ref="A19:M19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65100"/>
  </sheetPr>
  <dimension ref="A1:M129"/>
  <sheetViews>
    <sheetView tabSelected="1" topLeftCell="A75" zoomScaleNormal="100" workbookViewId="0">
      <selection activeCell="C82" sqref="C82"/>
    </sheetView>
  </sheetViews>
  <sheetFormatPr baseColWidth="10" defaultColWidth="8.7109375" defaultRowHeight="15" x14ac:dyDescent="0.25"/>
  <cols>
    <col min="1" max="1" width="38" customWidth="1"/>
    <col min="2" max="11" width="15" customWidth="1"/>
    <col min="12" max="12" width="40" customWidth="1"/>
  </cols>
  <sheetData>
    <row r="1" spans="1:12" ht="31.5" customHeight="1" x14ac:dyDescent="0.25">
      <c r="A1" s="12" t="s">
        <v>821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2" ht="15" customHeight="1" x14ac:dyDescent="0.25">
      <c r="A2" s="11" t="s">
        <v>822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4" spans="1:12" ht="15" customHeight="1" x14ac:dyDescent="0.25">
      <c r="A4" s="10" t="s">
        <v>823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29"/>
    </row>
    <row r="5" spans="1:12" ht="15" customHeight="1" x14ac:dyDescent="0.25">
      <c r="A5" s="17" t="s">
        <v>9</v>
      </c>
      <c r="B5" s="55">
        <f>Assumptions!C7</f>
        <v>8760</v>
      </c>
      <c r="C5" s="40"/>
      <c r="D5" s="40"/>
      <c r="E5" s="40"/>
      <c r="F5" s="40"/>
      <c r="G5" s="40"/>
      <c r="H5" s="40"/>
      <c r="I5" s="40"/>
      <c r="J5" s="40"/>
      <c r="K5" s="40"/>
      <c r="L5" s="18" t="s">
        <v>824</v>
      </c>
    </row>
    <row r="6" spans="1:12" ht="15" customHeight="1" x14ac:dyDescent="0.25">
      <c r="A6" s="17" t="s">
        <v>825</v>
      </c>
      <c r="B6" s="55">
        <f>Assumptions!C8</f>
        <v>3000</v>
      </c>
      <c r="C6" s="40"/>
      <c r="D6" s="40"/>
      <c r="E6" s="40"/>
      <c r="F6" s="40"/>
      <c r="G6" s="40"/>
      <c r="H6" s="40"/>
      <c r="I6" s="40"/>
      <c r="J6" s="40"/>
      <c r="K6" s="40"/>
      <c r="L6" s="18" t="s">
        <v>826</v>
      </c>
    </row>
    <row r="7" spans="1:12" ht="15" customHeight="1" x14ac:dyDescent="0.25">
      <c r="A7" s="17" t="s">
        <v>827</v>
      </c>
      <c r="B7" s="157">
        <f>Assumptions!C19</f>
        <v>0.08</v>
      </c>
      <c r="C7" s="40"/>
      <c r="D7" s="40"/>
      <c r="E7" s="40"/>
      <c r="F7" s="40"/>
      <c r="G7" s="40"/>
      <c r="H7" s="40"/>
      <c r="I7" s="40"/>
      <c r="J7" s="40"/>
      <c r="K7" s="40"/>
      <c r="L7" s="18" t="s">
        <v>828</v>
      </c>
    </row>
    <row r="8" spans="1:12" ht="15" customHeight="1" x14ac:dyDescent="0.25">
      <c r="A8" s="17" t="s">
        <v>829</v>
      </c>
      <c r="B8" s="157">
        <f>1-Assumptions!C19</f>
        <v>0.92</v>
      </c>
      <c r="C8" s="40"/>
      <c r="D8" s="40"/>
      <c r="E8" s="40"/>
      <c r="F8" s="40"/>
      <c r="G8" s="40"/>
      <c r="H8" s="40"/>
      <c r="I8" s="40"/>
      <c r="J8" s="40"/>
      <c r="K8" s="40"/>
      <c r="L8" s="18" t="s">
        <v>830</v>
      </c>
    </row>
    <row r="9" spans="1:12" ht="15" customHeight="1" x14ac:dyDescent="0.25">
      <c r="A9" s="17" t="s">
        <v>831</v>
      </c>
      <c r="B9" s="71">
        <f>Assumptions!C7*Assumptions!C8/1000000</f>
        <v>26.28</v>
      </c>
      <c r="C9" s="40"/>
      <c r="D9" s="40"/>
      <c r="E9" s="40"/>
      <c r="F9" s="40"/>
      <c r="G9" s="40"/>
      <c r="H9" s="40"/>
      <c r="I9" s="40"/>
      <c r="J9" s="40"/>
      <c r="K9" s="40"/>
      <c r="L9" s="18" t="s">
        <v>832</v>
      </c>
    </row>
    <row r="11" spans="1:12" ht="15" customHeight="1" x14ac:dyDescent="0.25">
      <c r="A11" s="69" t="s">
        <v>833</v>
      </c>
    </row>
    <row r="12" spans="1:12" ht="15" customHeight="1" x14ac:dyDescent="0.25">
      <c r="A12" s="17" t="s">
        <v>321</v>
      </c>
      <c r="B12" s="158">
        <f>Assumptions!C23/Assumptions!C24/1000000</f>
        <v>1.25</v>
      </c>
      <c r="C12" s="40"/>
      <c r="D12" s="40"/>
      <c r="E12" s="40"/>
      <c r="F12" s="40"/>
      <c r="G12" s="40"/>
      <c r="H12" s="40"/>
      <c r="I12" s="40"/>
      <c r="J12" s="40"/>
      <c r="K12" s="40"/>
      <c r="L12" s="18" t="s">
        <v>834</v>
      </c>
    </row>
    <row r="13" spans="1:12" ht="15" customHeight="1" x14ac:dyDescent="0.25">
      <c r="A13" s="17" t="s">
        <v>835</v>
      </c>
      <c r="B13" s="158">
        <f>Assumptions!C23*0.5*Assumptions!C26/1000000</f>
        <v>0.375</v>
      </c>
      <c r="C13" s="40"/>
      <c r="D13" s="40"/>
      <c r="E13" s="40"/>
      <c r="F13" s="40"/>
      <c r="G13" s="40"/>
      <c r="H13" s="40"/>
      <c r="I13" s="40"/>
      <c r="J13" s="40"/>
      <c r="K13" s="40"/>
      <c r="L13" s="18" t="s">
        <v>836</v>
      </c>
    </row>
    <row r="14" spans="1:12" ht="15" customHeight="1" x14ac:dyDescent="0.25">
      <c r="A14" s="17" t="s">
        <v>837</v>
      </c>
      <c r="B14" s="158">
        <v>0.15</v>
      </c>
      <c r="C14" s="40"/>
      <c r="D14" s="40"/>
      <c r="E14" s="40"/>
      <c r="F14" s="40"/>
      <c r="G14" s="40"/>
      <c r="H14" s="40"/>
      <c r="I14" s="40"/>
      <c r="J14" s="40"/>
      <c r="K14" s="40"/>
      <c r="L14" s="18" t="s">
        <v>838</v>
      </c>
    </row>
    <row r="15" spans="1:12" ht="15" customHeight="1" x14ac:dyDescent="0.25">
      <c r="A15" s="17" t="s">
        <v>839</v>
      </c>
      <c r="B15" s="158">
        <f>Assumptions!C52*16/20/1000000</f>
        <v>0.88</v>
      </c>
      <c r="C15" s="40"/>
      <c r="D15" s="40"/>
      <c r="E15" s="40"/>
      <c r="F15" s="40"/>
      <c r="G15" s="40"/>
      <c r="H15" s="40"/>
      <c r="I15" s="40"/>
      <c r="J15" s="40"/>
      <c r="K15" s="40"/>
      <c r="L15" s="18" t="s">
        <v>840</v>
      </c>
    </row>
    <row r="16" spans="1:12" ht="15" customHeight="1" x14ac:dyDescent="0.25">
      <c r="A16" s="17" t="s">
        <v>841</v>
      </c>
      <c r="B16" s="158">
        <f>(Assumptions!C53*4+Assumptions!C68)/20/1000000</f>
        <v>0.54</v>
      </c>
      <c r="C16" s="40"/>
      <c r="D16" s="40"/>
      <c r="E16" s="40"/>
      <c r="F16" s="40"/>
      <c r="G16" s="40"/>
      <c r="H16" s="40"/>
      <c r="I16" s="40"/>
      <c r="J16" s="40"/>
      <c r="K16" s="40"/>
      <c r="L16" s="18" t="s">
        <v>842</v>
      </c>
    </row>
    <row r="17" spans="1:12" ht="15" customHeight="1" x14ac:dyDescent="0.25">
      <c r="A17" s="17" t="s">
        <v>843</v>
      </c>
      <c r="B17" s="158">
        <f>Assumptions!C71/20/1000000</f>
        <v>5.3749999999999999E-2</v>
      </c>
      <c r="C17" s="40"/>
      <c r="D17" s="40"/>
      <c r="E17" s="40"/>
      <c r="F17" s="40"/>
      <c r="G17" s="40"/>
      <c r="H17" s="40"/>
      <c r="I17" s="40"/>
      <c r="J17" s="40"/>
      <c r="K17" s="40"/>
      <c r="L17" s="18" t="s">
        <v>844</v>
      </c>
    </row>
    <row r="18" spans="1:12" ht="15" customHeight="1" x14ac:dyDescent="0.25">
      <c r="A18" s="25" t="s">
        <v>845</v>
      </c>
      <c r="B18" s="159">
        <f>SUM(B12:B17)</f>
        <v>3.2487499999999998</v>
      </c>
      <c r="C18" s="40"/>
      <c r="D18" s="40"/>
      <c r="E18" s="40"/>
      <c r="F18" s="40"/>
      <c r="G18" s="40"/>
      <c r="H18" s="40"/>
      <c r="I18" s="40"/>
      <c r="J18" s="40"/>
      <c r="K18" s="40"/>
      <c r="L18" s="18" t="s">
        <v>846</v>
      </c>
    </row>
    <row r="19" spans="1:12" ht="15" customHeight="1" x14ac:dyDescent="0.25"/>
    <row r="20" spans="1:12" ht="15.75" customHeight="1" x14ac:dyDescent="0.25">
      <c r="A20" s="160" t="s">
        <v>847</v>
      </c>
    </row>
    <row r="21" spans="1:12" ht="15" customHeight="1" x14ac:dyDescent="0.25">
      <c r="A21" s="25" t="s">
        <v>848</v>
      </c>
      <c r="B21" s="79">
        <f>B18/(1-Assumptions!C19)</f>
        <v>3.5312499999999996</v>
      </c>
      <c r="C21" s="40"/>
      <c r="D21" s="40"/>
      <c r="E21" s="40"/>
      <c r="F21" s="40"/>
      <c r="G21" s="40"/>
      <c r="H21" s="40"/>
      <c r="I21" s="40"/>
      <c r="J21" s="40"/>
      <c r="K21" s="40"/>
      <c r="L21" s="18" t="s">
        <v>849</v>
      </c>
    </row>
    <row r="22" spans="1:12" ht="15" customHeight="1" x14ac:dyDescent="0.25">
      <c r="A22" s="25" t="s">
        <v>850</v>
      </c>
      <c r="B22" s="161">
        <f>B21*1000000/Assumptions!C8</f>
        <v>1177.0833333333333</v>
      </c>
      <c r="C22" s="40"/>
      <c r="D22" s="40"/>
      <c r="E22" s="40"/>
      <c r="F22" s="40"/>
      <c r="G22" s="40"/>
      <c r="H22" s="40"/>
      <c r="I22" s="40"/>
      <c r="J22" s="40"/>
      <c r="K22" s="40"/>
      <c r="L22" s="18" t="s">
        <v>851</v>
      </c>
    </row>
    <row r="23" spans="1:12" ht="27.75" customHeight="1" x14ac:dyDescent="0.3">
      <c r="A23" s="25" t="s">
        <v>852</v>
      </c>
      <c r="B23" s="162">
        <f>B22/Assumptions!C7</f>
        <v>0.13437024353120242</v>
      </c>
      <c r="C23" s="40"/>
      <c r="D23" s="40"/>
      <c r="E23" s="40"/>
      <c r="F23" s="40"/>
      <c r="G23" s="40"/>
      <c r="H23" s="40"/>
      <c r="I23" s="40"/>
      <c r="J23" s="40"/>
      <c r="K23" s="40"/>
      <c r="L23" s="18" t="s">
        <v>853</v>
      </c>
    </row>
    <row r="24" spans="1:12" ht="15" customHeight="1" x14ac:dyDescent="0.25"/>
    <row r="25" spans="1:12" ht="15" customHeight="1" x14ac:dyDescent="0.25">
      <c r="A25" s="69" t="s">
        <v>854</v>
      </c>
    </row>
    <row r="26" spans="1:12" ht="15" customHeight="1" x14ac:dyDescent="0.25">
      <c r="A26" s="81" t="s">
        <v>728</v>
      </c>
      <c r="B26" s="81" t="s">
        <v>855</v>
      </c>
      <c r="C26" s="81" t="s">
        <v>729</v>
      </c>
      <c r="D26" s="81" t="s">
        <v>856</v>
      </c>
      <c r="E26" s="81" t="s">
        <v>857</v>
      </c>
      <c r="F26" s="81" t="s">
        <v>858</v>
      </c>
      <c r="G26" s="81" t="s">
        <v>859</v>
      </c>
    </row>
    <row r="27" spans="1:12" ht="15" customHeight="1" x14ac:dyDescent="0.25">
      <c r="A27" s="163">
        <v>0.13500000000000001</v>
      </c>
      <c r="B27" s="164">
        <v>1182.5999999999999</v>
      </c>
      <c r="C27" s="165">
        <v>3.5478000000000001</v>
      </c>
      <c r="D27" s="165">
        <v>0.28382400000000002</v>
      </c>
      <c r="E27" s="165">
        <v>1.7749999999999999</v>
      </c>
      <c r="F27" s="165">
        <v>1.4889760000000001</v>
      </c>
      <c r="G27" s="166">
        <v>0.83885971830985995</v>
      </c>
      <c r="H27" s="14" t="s">
        <v>860</v>
      </c>
    </row>
    <row r="28" spans="1:12" ht="15" customHeight="1" x14ac:dyDescent="0.25">
      <c r="A28" s="167">
        <v>0.2</v>
      </c>
      <c r="B28" s="168">
        <v>1752</v>
      </c>
      <c r="C28" s="169">
        <v>5.2560000000000002</v>
      </c>
      <c r="D28" s="169">
        <v>0.42048000000000002</v>
      </c>
      <c r="E28" s="169">
        <v>1.7749999999999999</v>
      </c>
      <c r="F28" s="169">
        <v>3.0605199999999999</v>
      </c>
      <c r="G28" s="170">
        <v>1.7242366197183101</v>
      </c>
      <c r="H28" s="14"/>
    </row>
    <row r="29" spans="1:12" ht="15" customHeight="1" x14ac:dyDescent="0.25">
      <c r="A29" s="167">
        <v>0.3</v>
      </c>
      <c r="B29" s="168">
        <v>2628</v>
      </c>
      <c r="C29" s="169">
        <v>7.8840000000000003</v>
      </c>
      <c r="D29" s="169">
        <v>0.63071999999999995</v>
      </c>
      <c r="E29" s="169">
        <v>1.7749999999999999</v>
      </c>
      <c r="F29" s="169">
        <v>5.4782799999999998</v>
      </c>
      <c r="G29" s="170">
        <v>3.0863549295774702</v>
      </c>
      <c r="H29" s="14"/>
    </row>
    <row r="30" spans="1:12" ht="15" customHeight="1" x14ac:dyDescent="0.25">
      <c r="A30" s="167">
        <v>0.4</v>
      </c>
      <c r="B30" s="168">
        <v>3504</v>
      </c>
      <c r="C30" s="169">
        <v>10.512</v>
      </c>
      <c r="D30" s="169">
        <v>0.84096000000000004</v>
      </c>
      <c r="E30" s="169">
        <v>1.7749999999999999</v>
      </c>
      <c r="F30" s="169">
        <v>7.8960400000000002</v>
      </c>
      <c r="G30" s="170">
        <v>4.4484732394366198</v>
      </c>
      <c r="H30" s="14"/>
    </row>
    <row r="31" spans="1:12" ht="15" customHeight="1" x14ac:dyDescent="0.25">
      <c r="A31" s="167">
        <v>0.5</v>
      </c>
      <c r="B31" s="168">
        <v>4380</v>
      </c>
      <c r="C31" s="169">
        <v>13.14</v>
      </c>
      <c r="D31" s="169">
        <v>1.0511999999999999</v>
      </c>
      <c r="E31" s="169">
        <v>1.7749999999999999</v>
      </c>
      <c r="F31" s="169">
        <v>10.313800000000001</v>
      </c>
      <c r="G31" s="170">
        <v>5.81059154929578</v>
      </c>
      <c r="H31" s="14"/>
    </row>
    <row r="32" spans="1:12" ht="15" customHeight="1" x14ac:dyDescent="0.25">
      <c r="A32" s="6">
        <v>0.6</v>
      </c>
      <c r="B32" s="6"/>
      <c r="C32" s="6"/>
      <c r="D32" s="6"/>
      <c r="E32" s="6"/>
      <c r="F32" s="6"/>
      <c r="G32" s="6"/>
      <c r="H32" s="14" t="s">
        <v>768</v>
      </c>
    </row>
    <row r="33" spans="1:13" ht="15" customHeight="1" x14ac:dyDescent="0.25">
      <c r="A33" s="167">
        <v>0.65</v>
      </c>
      <c r="B33" s="168">
        <v>5694</v>
      </c>
      <c r="C33" s="169">
        <v>17.082000000000001</v>
      </c>
      <c r="D33" s="169">
        <v>1.36656</v>
      </c>
      <c r="E33" s="169">
        <v>1.7749999999999999</v>
      </c>
      <c r="F33" s="169">
        <v>13.940440000000001</v>
      </c>
      <c r="G33" s="170">
        <v>7.8537690140845102</v>
      </c>
      <c r="H33" s="14"/>
    </row>
    <row r="35" spans="1:13" ht="15" customHeight="1" x14ac:dyDescent="0.25">
      <c r="A35" s="5" t="s">
        <v>861</v>
      </c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3" ht="27.75" customHeight="1" x14ac:dyDescent="0.25"/>
    <row r="37" spans="1:13" ht="15" customHeight="1" x14ac:dyDescent="0.25"/>
    <row r="38" spans="1:13" ht="15" customHeight="1" x14ac:dyDescent="0.25">
      <c r="A38" s="16" t="s">
        <v>862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</row>
    <row r="39" spans="1:13" ht="15" customHeight="1" x14ac:dyDescent="0.25">
      <c r="A39" s="81" t="s">
        <v>757</v>
      </c>
      <c r="B39" s="81" t="s">
        <v>863</v>
      </c>
      <c r="C39" s="81" t="s">
        <v>864</v>
      </c>
      <c r="D39" s="81" t="s">
        <v>865</v>
      </c>
      <c r="E39" s="81" t="s">
        <v>866</v>
      </c>
      <c r="F39" s="81" t="s">
        <v>867</v>
      </c>
      <c r="G39" s="81" t="s">
        <v>868</v>
      </c>
      <c r="H39" s="81" t="s">
        <v>869</v>
      </c>
      <c r="I39" s="81" t="s">
        <v>870</v>
      </c>
      <c r="J39" s="81" t="s">
        <v>871</v>
      </c>
      <c r="K39" s="81" t="s">
        <v>872</v>
      </c>
      <c r="L39" s="81" t="s">
        <v>873</v>
      </c>
    </row>
    <row r="40" spans="1:13" ht="15" customHeight="1" x14ac:dyDescent="0.25">
      <c r="A40" s="168">
        <v>3</v>
      </c>
      <c r="B40" s="168">
        <v>5</v>
      </c>
      <c r="C40" s="171">
        <v>5.5</v>
      </c>
      <c r="D40" s="171">
        <v>5.6</v>
      </c>
      <c r="E40" s="171">
        <v>3.75</v>
      </c>
      <c r="F40" s="169">
        <v>1.075</v>
      </c>
      <c r="G40" s="171">
        <v>1.125</v>
      </c>
      <c r="H40" s="171">
        <v>5.2</v>
      </c>
      <c r="I40" s="171">
        <v>0.45</v>
      </c>
      <c r="J40" s="171">
        <v>22.7</v>
      </c>
      <c r="K40" s="171">
        <v>24.673913043478301</v>
      </c>
      <c r="L40" s="172">
        <v>0.31296186001367698</v>
      </c>
      <c r="M40" s="14" t="s">
        <v>874</v>
      </c>
    </row>
    <row r="41" spans="1:13" ht="15" customHeight="1" x14ac:dyDescent="0.25">
      <c r="A41" s="168">
        <v>4</v>
      </c>
      <c r="B41" s="168">
        <v>6</v>
      </c>
      <c r="C41" s="171">
        <v>6.6</v>
      </c>
      <c r="D41" s="171">
        <v>5.6</v>
      </c>
      <c r="E41" s="171">
        <v>5</v>
      </c>
      <c r="F41" s="169">
        <v>1.075</v>
      </c>
      <c r="G41" s="171">
        <v>1.5</v>
      </c>
      <c r="H41" s="171">
        <v>5.2</v>
      </c>
      <c r="I41" s="171">
        <v>0.6</v>
      </c>
      <c r="J41" s="171">
        <v>25.574999999999999</v>
      </c>
      <c r="K41" s="171">
        <v>27.798913043478301</v>
      </c>
      <c r="L41" s="172">
        <v>0.26444932499503698</v>
      </c>
      <c r="M41" s="14" t="s">
        <v>875</v>
      </c>
    </row>
    <row r="42" spans="1:13" ht="15" customHeight="1" x14ac:dyDescent="0.25">
      <c r="A42" s="164">
        <v>5</v>
      </c>
      <c r="B42" s="164">
        <v>7</v>
      </c>
      <c r="C42" s="173">
        <v>7.7</v>
      </c>
      <c r="D42" s="173">
        <v>5.6</v>
      </c>
      <c r="E42" s="173">
        <v>6.25</v>
      </c>
      <c r="F42" s="165">
        <v>1.075</v>
      </c>
      <c r="G42" s="173">
        <v>1.875</v>
      </c>
      <c r="H42" s="173">
        <v>5.2</v>
      </c>
      <c r="I42" s="173">
        <v>0.75</v>
      </c>
      <c r="J42" s="173">
        <v>28.45</v>
      </c>
      <c r="K42" s="173">
        <v>30.923913043478301</v>
      </c>
      <c r="L42" s="174">
        <v>0.23534180398385299</v>
      </c>
      <c r="M42" s="14" t="s">
        <v>876</v>
      </c>
    </row>
    <row r="43" spans="1:13" ht="15" customHeight="1" x14ac:dyDescent="0.25">
      <c r="A43" s="168">
        <v>8</v>
      </c>
      <c r="B43" s="168">
        <v>8</v>
      </c>
      <c r="C43" s="171">
        <v>8.8000000000000007</v>
      </c>
      <c r="D43" s="171">
        <v>5.6</v>
      </c>
      <c r="E43" s="171">
        <v>10</v>
      </c>
      <c r="F43" s="169">
        <v>1.075</v>
      </c>
      <c r="G43" s="171">
        <v>3</v>
      </c>
      <c r="H43" s="171">
        <v>5.2</v>
      </c>
      <c r="I43" s="171">
        <v>1.2</v>
      </c>
      <c r="J43" s="171">
        <v>34.875</v>
      </c>
      <c r="K43" s="171">
        <v>37.9076086956522</v>
      </c>
      <c r="L43" s="172">
        <v>0.18030635795116101</v>
      </c>
      <c r="M43" s="14" t="s">
        <v>877</v>
      </c>
    </row>
    <row r="44" spans="1:13" ht="15" customHeight="1" x14ac:dyDescent="0.25">
      <c r="A44" s="168">
        <v>10</v>
      </c>
      <c r="B44" s="168">
        <v>10</v>
      </c>
      <c r="C44" s="171">
        <v>11</v>
      </c>
      <c r="D44" s="171">
        <v>5.6</v>
      </c>
      <c r="E44" s="171">
        <v>12.5</v>
      </c>
      <c r="F44" s="169">
        <v>1.075</v>
      </c>
      <c r="G44" s="171">
        <v>4.8224999999999998</v>
      </c>
      <c r="H44" s="171">
        <v>5.2</v>
      </c>
      <c r="I44" s="171">
        <v>1.5</v>
      </c>
      <c r="J44" s="171">
        <v>41.697499999999998</v>
      </c>
      <c r="K44" s="171">
        <v>45.323369565217398</v>
      </c>
      <c r="L44" s="172">
        <v>0.17246335450996</v>
      </c>
      <c r="M44" s="14" t="s">
        <v>878</v>
      </c>
    </row>
    <row r="45" spans="1:13" ht="15" customHeight="1" x14ac:dyDescent="0.25">
      <c r="A45" s="168">
        <v>15</v>
      </c>
      <c r="B45" s="168">
        <v>13</v>
      </c>
      <c r="C45" s="171">
        <v>14.3</v>
      </c>
      <c r="D45" s="171">
        <v>5.6</v>
      </c>
      <c r="E45" s="171">
        <v>18.75</v>
      </c>
      <c r="F45" s="169">
        <v>1.075</v>
      </c>
      <c r="G45" s="171">
        <v>7.4474999999999998</v>
      </c>
      <c r="H45" s="171">
        <v>5.2</v>
      </c>
      <c r="I45" s="171">
        <v>2.25</v>
      </c>
      <c r="J45" s="171">
        <v>54.622500000000002</v>
      </c>
      <c r="K45" s="171">
        <v>59.372282608695699</v>
      </c>
      <c r="L45" s="172">
        <v>0.15061461848984201</v>
      </c>
      <c r="M45" s="14" t="s">
        <v>879</v>
      </c>
    </row>
    <row r="46" spans="1:13" ht="15" customHeight="1" x14ac:dyDescent="0.25">
      <c r="A46" s="125">
        <v>20</v>
      </c>
      <c r="B46" s="125">
        <v>16</v>
      </c>
      <c r="C46" s="116">
        <v>17.600000000000001</v>
      </c>
      <c r="D46" s="116">
        <v>5.6</v>
      </c>
      <c r="E46" s="116">
        <v>25</v>
      </c>
      <c r="F46" s="175">
        <v>1.075</v>
      </c>
      <c r="G46" s="116">
        <v>10.0725</v>
      </c>
      <c r="H46" s="116">
        <v>5.2</v>
      </c>
      <c r="I46" s="116">
        <v>3</v>
      </c>
      <c r="J46" s="116">
        <v>67.547499999999999</v>
      </c>
      <c r="K46" s="116">
        <v>73.421195652173907</v>
      </c>
      <c r="L46" s="118">
        <v>0.13969025047978301</v>
      </c>
      <c r="M46" s="14" t="s">
        <v>880</v>
      </c>
    </row>
    <row r="47" spans="1:13" ht="15" customHeight="1" x14ac:dyDescent="0.25">
      <c r="A47" s="168">
        <v>25</v>
      </c>
      <c r="B47" s="168">
        <v>19</v>
      </c>
      <c r="C47" s="171">
        <v>20.9</v>
      </c>
      <c r="D47" s="171">
        <v>5.6</v>
      </c>
      <c r="E47" s="171">
        <v>31.25</v>
      </c>
      <c r="F47" s="169">
        <v>1.075</v>
      </c>
      <c r="G47" s="171">
        <v>12.6975</v>
      </c>
      <c r="H47" s="171">
        <v>5.2</v>
      </c>
      <c r="I47" s="171">
        <v>3.75</v>
      </c>
      <c r="J47" s="171">
        <v>80.472499999999997</v>
      </c>
      <c r="K47" s="171">
        <v>87.4701086956522</v>
      </c>
      <c r="L47" s="172">
        <v>0.13313562967374801</v>
      </c>
      <c r="M47" s="14" t="s">
        <v>881</v>
      </c>
    </row>
    <row r="49" spans="1:12" ht="15" customHeight="1" x14ac:dyDescent="0.25">
      <c r="A49" s="7" t="s">
        <v>882</v>
      </c>
      <c r="B49" s="7"/>
      <c r="C49" s="7"/>
      <c r="D49" s="7"/>
      <c r="E49" s="7"/>
      <c r="F49" s="7"/>
      <c r="G49" s="7"/>
      <c r="H49" s="7"/>
      <c r="I49" s="7"/>
      <c r="J49" s="7"/>
      <c r="K49" s="7"/>
    </row>
    <row r="50" spans="1:12" ht="15" customHeight="1" x14ac:dyDescent="0.25"/>
    <row r="51" spans="1:12" ht="15" customHeight="1" x14ac:dyDescent="0.25"/>
    <row r="52" spans="1:12" ht="15" customHeight="1" x14ac:dyDescent="0.25">
      <c r="A52" s="16" t="s">
        <v>883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</row>
    <row r="53" spans="1:12" ht="15" customHeight="1" x14ac:dyDescent="0.25">
      <c r="A53" s="17" t="s">
        <v>884</v>
      </c>
      <c r="B53" s="176">
        <v>315.39999999999998</v>
      </c>
      <c r="C53" s="40"/>
      <c r="D53" s="40"/>
      <c r="E53" s="40"/>
      <c r="F53" s="40"/>
      <c r="G53" s="40"/>
      <c r="H53" s="40"/>
      <c r="I53" s="40"/>
      <c r="J53" s="40"/>
      <c r="K53" s="40"/>
      <c r="L53" s="18" t="s">
        <v>885</v>
      </c>
    </row>
    <row r="54" spans="1:12" ht="15" customHeight="1" x14ac:dyDescent="0.25">
      <c r="A54" s="17" t="s">
        <v>886</v>
      </c>
      <c r="B54" s="177">
        <v>-25.2</v>
      </c>
      <c r="C54" s="40"/>
      <c r="D54" s="40"/>
      <c r="E54" s="40"/>
      <c r="F54" s="40"/>
      <c r="G54" s="40"/>
      <c r="H54" s="40"/>
      <c r="I54" s="40"/>
      <c r="J54" s="40"/>
      <c r="K54" s="40"/>
      <c r="L54" s="18" t="s">
        <v>887</v>
      </c>
    </row>
    <row r="55" spans="1:12" ht="15" customHeight="1" x14ac:dyDescent="0.25">
      <c r="A55" s="50" t="s">
        <v>888</v>
      </c>
      <c r="B55" s="178">
        <v>290.2</v>
      </c>
      <c r="C55" s="52"/>
      <c r="D55" s="52"/>
      <c r="E55" s="52"/>
      <c r="F55" s="52"/>
      <c r="G55" s="52"/>
      <c r="H55" s="52"/>
      <c r="I55" s="52"/>
      <c r="J55" s="52"/>
      <c r="K55" s="52"/>
      <c r="L55" s="43" t="s">
        <v>889</v>
      </c>
    </row>
    <row r="56" spans="1:12" ht="15" customHeight="1" x14ac:dyDescent="0.25"/>
    <row r="57" spans="1:12" ht="15" customHeight="1" x14ac:dyDescent="0.25">
      <c r="A57" s="17" t="s">
        <v>890</v>
      </c>
      <c r="B57" s="177">
        <v>-17.600000000000001</v>
      </c>
      <c r="C57" s="40"/>
      <c r="D57" s="40"/>
      <c r="E57" s="40"/>
      <c r="F57" s="40"/>
      <c r="G57" s="40"/>
      <c r="H57" s="40"/>
      <c r="I57" s="40"/>
      <c r="J57" s="40"/>
      <c r="K57" s="40"/>
      <c r="L57" s="18" t="s">
        <v>891</v>
      </c>
    </row>
    <row r="58" spans="1:12" ht="15" customHeight="1" x14ac:dyDescent="0.25">
      <c r="A58" s="17" t="s">
        <v>892</v>
      </c>
      <c r="B58" s="177">
        <v>-5.6</v>
      </c>
      <c r="C58" s="40"/>
      <c r="D58" s="40"/>
      <c r="E58" s="40"/>
      <c r="F58" s="40"/>
      <c r="G58" s="40"/>
      <c r="H58" s="40"/>
      <c r="I58" s="40"/>
      <c r="J58" s="40"/>
      <c r="K58" s="40"/>
      <c r="L58" s="18" t="s">
        <v>893</v>
      </c>
    </row>
    <row r="59" spans="1:12" ht="15" customHeight="1" x14ac:dyDescent="0.25">
      <c r="A59" s="17" t="s">
        <v>894</v>
      </c>
      <c r="B59" s="177">
        <v>-25</v>
      </c>
      <c r="C59" s="40"/>
      <c r="D59" s="40"/>
      <c r="E59" s="40"/>
      <c r="F59" s="40"/>
      <c r="G59" s="40"/>
      <c r="H59" s="40"/>
      <c r="I59" s="40"/>
      <c r="J59" s="40"/>
      <c r="K59" s="40"/>
      <c r="L59" s="18" t="s">
        <v>895</v>
      </c>
    </row>
    <row r="60" spans="1:12" ht="15" customHeight="1" x14ac:dyDescent="0.25">
      <c r="A60" s="17" t="s">
        <v>896</v>
      </c>
      <c r="B60" s="177">
        <v>-1.075</v>
      </c>
      <c r="C60" s="40"/>
      <c r="D60" s="40"/>
      <c r="E60" s="40"/>
      <c r="F60" s="40"/>
      <c r="G60" s="40"/>
      <c r="H60" s="40"/>
      <c r="I60" s="40"/>
      <c r="J60" s="40"/>
      <c r="K60" s="40"/>
      <c r="L60" s="18" t="s">
        <v>897</v>
      </c>
    </row>
    <row r="61" spans="1:12" ht="15" customHeight="1" x14ac:dyDescent="0.25">
      <c r="A61" s="17" t="s">
        <v>898</v>
      </c>
      <c r="B61" s="177">
        <v>-10.07</v>
      </c>
      <c r="C61" s="40"/>
      <c r="D61" s="40"/>
      <c r="E61" s="40"/>
      <c r="F61" s="40"/>
      <c r="G61" s="40"/>
      <c r="H61" s="40"/>
      <c r="I61" s="40"/>
      <c r="J61" s="40"/>
      <c r="K61" s="40"/>
      <c r="L61" s="18" t="s">
        <v>899</v>
      </c>
    </row>
    <row r="62" spans="1:12" ht="15" customHeight="1" x14ac:dyDescent="0.25">
      <c r="A62" s="17" t="s">
        <v>900</v>
      </c>
      <c r="B62" s="177">
        <v>-5.2</v>
      </c>
      <c r="C62" s="40"/>
      <c r="D62" s="40"/>
      <c r="E62" s="40"/>
      <c r="F62" s="40"/>
      <c r="G62" s="40"/>
      <c r="H62" s="40"/>
      <c r="I62" s="40"/>
      <c r="J62" s="40"/>
      <c r="K62" s="40"/>
      <c r="L62" s="18" t="s">
        <v>901</v>
      </c>
    </row>
    <row r="63" spans="1:12" ht="15.75" customHeight="1" x14ac:dyDescent="0.25">
      <c r="A63" s="17" t="s">
        <v>902</v>
      </c>
      <c r="B63" s="177">
        <v>-3</v>
      </c>
      <c r="C63" s="40"/>
      <c r="D63" s="40"/>
      <c r="E63" s="40"/>
      <c r="F63" s="40"/>
      <c r="G63" s="40"/>
      <c r="H63" s="40"/>
      <c r="I63" s="40"/>
      <c r="J63" s="40"/>
      <c r="K63" s="40"/>
      <c r="L63" s="18" t="s">
        <v>903</v>
      </c>
    </row>
    <row r="64" spans="1:12" ht="15" customHeight="1" x14ac:dyDescent="0.25">
      <c r="A64" s="50" t="s">
        <v>904</v>
      </c>
      <c r="B64" s="179">
        <v>-67.5</v>
      </c>
      <c r="C64" s="52"/>
      <c r="D64" s="52"/>
      <c r="E64" s="52"/>
      <c r="F64" s="52"/>
      <c r="G64" s="52"/>
      <c r="H64" s="52"/>
      <c r="I64" s="52"/>
      <c r="J64" s="52"/>
      <c r="K64" s="52"/>
      <c r="L64" s="43" t="s">
        <v>905</v>
      </c>
    </row>
    <row r="66" spans="1:12" ht="15.75" customHeight="1" x14ac:dyDescent="0.3">
      <c r="A66" s="50" t="s">
        <v>906</v>
      </c>
      <c r="B66" s="180">
        <v>222.7</v>
      </c>
      <c r="C66" s="52"/>
      <c r="D66" s="52"/>
      <c r="E66" s="52"/>
      <c r="F66" s="52"/>
      <c r="G66" s="52"/>
      <c r="H66" s="52"/>
      <c r="I66" s="52"/>
      <c r="J66" s="52"/>
      <c r="K66" s="52"/>
      <c r="L66" s="43" t="s">
        <v>907</v>
      </c>
    </row>
    <row r="67" spans="1:12" ht="15" customHeight="1" x14ac:dyDescent="0.25">
      <c r="A67" s="4" t="s">
        <v>908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18" t="s">
        <v>368</v>
      </c>
    </row>
    <row r="68" spans="1:12" ht="27.75" customHeight="1" x14ac:dyDescent="0.25"/>
    <row r="69" spans="1:12" ht="15" customHeight="1" x14ac:dyDescent="0.25"/>
    <row r="70" spans="1:12" ht="15" customHeight="1" x14ac:dyDescent="0.25">
      <c r="A70" s="16" t="s">
        <v>909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</row>
    <row r="71" spans="1:12" ht="15" customHeight="1" x14ac:dyDescent="0.25">
      <c r="A71" s="81" t="s">
        <v>910</v>
      </c>
      <c r="B71" s="81" t="s">
        <v>911</v>
      </c>
      <c r="C71" s="81" t="s">
        <v>912</v>
      </c>
      <c r="D71" s="81" t="s">
        <v>913</v>
      </c>
      <c r="E71" s="81" t="s">
        <v>914</v>
      </c>
    </row>
    <row r="72" spans="1:12" ht="15" customHeight="1" x14ac:dyDescent="0.25">
      <c r="A72" s="181" t="s">
        <v>915</v>
      </c>
      <c r="B72" s="182" t="s">
        <v>916</v>
      </c>
      <c r="C72" s="183" t="s">
        <v>917</v>
      </c>
      <c r="D72" s="184" t="s">
        <v>918</v>
      </c>
      <c r="E72" s="185" t="s">
        <v>919</v>
      </c>
    </row>
    <row r="73" spans="1:12" ht="15" customHeight="1" x14ac:dyDescent="0.25">
      <c r="A73" s="181" t="s">
        <v>920</v>
      </c>
      <c r="B73" s="182" t="s">
        <v>921</v>
      </c>
      <c r="C73" s="183" t="s">
        <v>917</v>
      </c>
      <c r="D73" s="184" t="s">
        <v>922</v>
      </c>
      <c r="E73" s="185" t="s">
        <v>923</v>
      </c>
    </row>
    <row r="74" spans="1:12" ht="15" customHeight="1" x14ac:dyDescent="0.25">
      <c r="A74" s="181" t="s">
        <v>924</v>
      </c>
      <c r="B74" s="182" t="s">
        <v>925</v>
      </c>
      <c r="C74" s="183" t="s">
        <v>746</v>
      </c>
      <c r="D74" s="184" t="s">
        <v>926</v>
      </c>
      <c r="E74" s="185" t="s">
        <v>927</v>
      </c>
    </row>
    <row r="75" spans="1:12" ht="15" customHeight="1" x14ac:dyDescent="0.25">
      <c r="A75" s="181" t="s">
        <v>928</v>
      </c>
      <c r="B75" s="182" t="s">
        <v>929</v>
      </c>
      <c r="C75" s="183" t="s">
        <v>930</v>
      </c>
      <c r="D75" s="184" t="s">
        <v>922</v>
      </c>
      <c r="E75" s="185" t="s">
        <v>931</v>
      </c>
    </row>
    <row r="76" spans="1:12" ht="15" customHeight="1" x14ac:dyDescent="0.25">
      <c r="A76" s="181" t="s">
        <v>932</v>
      </c>
      <c r="B76" s="182" t="s">
        <v>933</v>
      </c>
      <c r="C76" s="183" t="s">
        <v>934</v>
      </c>
      <c r="D76" s="184" t="s">
        <v>918</v>
      </c>
      <c r="E76" s="185" t="s">
        <v>935</v>
      </c>
    </row>
    <row r="77" spans="1:12" ht="15" customHeight="1" x14ac:dyDescent="0.25">
      <c r="A77" s="181" t="s">
        <v>936</v>
      </c>
      <c r="B77" s="182" t="s">
        <v>937</v>
      </c>
      <c r="C77" s="183" t="s">
        <v>938</v>
      </c>
      <c r="D77" s="184" t="s">
        <v>939</v>
      </c>
      <c r="E77" s="185" t="s">
        <v>940</v>
      </c>
    </row>
    <row r="78" spans="1:12" ht="1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2" ht="41.25" customHeight="1" x14ac:dyDescent="0.25"/>
    <row r="80" spans="1:12" ht="15" customHeight="1" x14ac:dyDescent="0.25"/>
    <row r="81" spans="1:12" ht="15" customHeight="1" x14ac:dyDescent="0.25">
      <c r="A81" s="16" t="s">
        <v>941</v>
      </c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</row>
    <row r="82" spans="1:12" ht="15" customHeight="1" x14ac:dyDescent="0.25">
      <c r="A82" s="81" t="s">
        <v>728</v>
      </c>
      <c r="B82" s="81" t="s">
        <v>942</v>
      </c>
      <c r="C82" s="81" t="s">
        <v>943</v>
      </c>
      <c r="D82" s="81" t="s">
        <v>944</v>
      </c>
      <c r="E82" s="81" t="s">
        <v>945</v>
      </c>
      <c r="F82" s="81" t="s">
        <v>946</v>
      </c>
    </row>
    <row r="83" spans="1:12" ht="15" customHeight="1" x14ac:dyDescent="0.25">
      <c r="A83" s="172">
        <v>0.2</v>
      </c>
      <c r="B83" s="186">
        <v>5.2560000000000002</v>
      </c>
      <c r="C83" s="186">
        <v>3.6692300000000002</v>
      </c>
      <c r="D83" s="186">
        <v>1.58677</v>
      </c>
      <c r="E83" s="171">
        <v>10</v>
      </c>
      <c r="F83" s="187">
        <v>75.625326921986201</v>
      </c>
    </row>
    <row r="84" spans="1:12" ht="15" customHeight="1" x14ac:dyDescent="0.25">
      <c r="A84" s="172">
        <v>0.3</v>
      </c>
      <c r="B84" s="186">
        <v>7.8840000000000003</v>
      </c>
      <c r="C84" s="186">
        <v>3.87947</v>
      </c>
      <c r="D84" s="186">
        <v>4.0045299999999999</v>
      </c>
      <c r="E84" s="171">
        <v>10</v>
      </c>
      <c r="F84" s="168">
        <v>29.966063433161999</v>
      </c>
    </row>
    <row r="85" spans="1:12" ht="15" customHeight="1" x14ac:dyDescent="0.25">
      <c r="A85" s="172">
        <v>0.4</v>
      </c>
      <c r="B85" s="186">
        <v>10.512</v>
      </c>
      <c r="C85" s="186">
        <v>4.0897100000000002</v>
      </c>
      <c r="D85" s="186">
        <v>6.4222900000000003</v>
      </c>
      <c r="E85" s="171">
        <v>10</v>
      </c>
      <c r="F85" s="168">
        <v>18.684923913432801</v>
      </c>
    </row>
    <row r="86" spans="1:12" ht="15" customHeight="1" x14ac:dyDescent="0.25">
      <c r="A86" s="172">
        <v>0.5</v>
      </c>
      <c r="B86" s="186">
        <v>13.14</v>
      </c>
      <c r="C86" s="186">
        <v>4.2999499999999999</v>
      </c>
      <c r="D86" s="186">
        <v>8.8400499999999997</v>
      </c>
      <c r="E86" s="171">
        <v>10</v>
      </c>
      <c r="F86" s="168">
        <v>13.5745838541637</v>
      </c>
    </row>
    <row r="87" spans="1:12" ht="15" customHeight="1" x14ac:dyDescent="0.25">
      <c r="A87" s="2">
        <v>0.6</v>
      </c>
      <c r="B87" s="2"/>
      <c r="C87" s="2"/>
      <c r="D87" s="2"/>
      <c r="E87" s="2"/>
      <c r="F87" s="2"/>
    </row>
    <row r="88" spans="1:12" ht="15" customHeight="1" x14ac:dyDescent="0.25">
      <c r="A88" s="172">
        <v>0.65</v>
      </c>
      <c r="B88" s="186">
        <v>17.082000000000001</v>
      </c>
      <c r="C88" s="186">
        <v>4.61531</v>
      </c>
      <c r="D88" s="186">
        <v>12.46669</v>
      </c>
      <c r="E88" s="171">
        <v>10</v>
      </c>
      <c r="F88" s="168">
        <v>9.6256504332745898</v>
      </c>
    </row>
    <row r="90" spans="1:12" ht="15" customHeight="1" x14ac:dyDescent="0.25">
      <c r="A90" s="5" t="s">
        <v>947</v>
      </c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2" ht="27.75" customHeight="1" x14ac:dyDescent="0.25"/>
    <row r="92" spans="1:12" ht="15" customHeight="1" x14ac:dyDescent="0.25"/>
    <row r="93" spans="1:12" ht="15" customHeight="1" x14ac:dyDescent="0.25">
      <c r="A93" s="16" t="s">
        <v>948</v>
      </c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</row>
    <row r="94" spans="1:12" ht="15" customHeight="1" x14ac:dyDescent="0.25">
      <c r="A94" s="81" t="s">
        <v>949</v>
      </c>
      <c r="B94" s="81" t="s">
        <v>119</v>
      </c>
      <c r="C94" s="81" t="s">
        <v>950</v>
      </c>
      <c r="D94" s="81" t="s">
        <v>951</v>
      </c>
      <c r="E94" s="81" t="s">
        <v>952</v>
      </c>
      <c r="F94" s="81" t="s">
        <v>953</v>
      </c>
      <c r="G94" s="81" t="s">
        <v>954</v>
      </c>
      <c r="H94" s="81" t="s">
        <v>955</v>
      </c>
      <c r="I94" s="81" t="s">
        <v>186</v>
      </c>
    </row>
    <row r="95" spans="1:12" ht="15" customHeight="1" x14ac:dyDescent="0.25">
      <c r="A95" s="188" t="s">
        <v>155</v>
      </c>
      <c r="B95" s="189" t="s">
        <v>956</v>
      </c>
      <c r="C95" s="190">
        <v>0</v>
      </c>
      <c r="D95" s="191" t="s">
        <v>957</v>
      </c>
      <c r="E95" s="190">
        <v>0</v>
      </c>
      <c r="F95" s="190">
        <v>2.9</v>
      </c>
      <c r="G95" s="152">
        <v>-2.9</v>
      </c>
      <c r="H95" s="190">
        <v>-2.9</v>
      </c>
      <c r="I95" s="192" t="s">
        <v>958</v>
      </c>
    </row>
    <row r="96" spans="1:12" ht="15" customHeight="1" x14ac:dyDescent="0.25">
      <c r="A96" s="188" t="s">
        <v>959</v>
      </c>
      <c r="B96" s="189" t="s">
        <v>960</v>
      </c>
      <c r="C96" s="190">
        <v>5</v>
      </c>
      <c r="D96" s="191" t="s">
        <v>961</v>
      </c>
      <c r="E96" s="190">
        <v>13</v>
      </c>
      <c r="F96" s="190">
        <v>15</v>
      </c>
      <c r="G96" s="152">
        <v>-2</v>
      </c>
      <c r="H96" s="190">
        <v>-4.9000000000000004</v>
      </c>
      <c r="I96" s="192" t="s">
        <v>962</v>
      </c>
    </row>
    <row r="97" spans="1:12" ht="15" customHeight="1" x14ac:dyDescent="0.25">
      <c r="A97" s="193" t="s">
        <v>963</v>
      </c>
      <c r="B97" s="189" t="s">
        <v>130</v>
      </c>
      <c r="C97" s="194">
        <v>8</v>
      </c>
      <c r="D97" s="195" t="s">
        <v>964</v>
      </c>
      <c r="E97" s="194">
        <v>73</v>
      </c>
      <c r="F97" s="194">
        <v>44</v>
      </c>
      <c r="G97" s="196">
        <v>29</v>
      </c>
      <c r="H97" s="196">
        <v>24.1</v>
      </c>
      <c r="I97" s="197" t="s">
        <v>965</v>
      </c>
    </row>
    <row r="98" spans="1:12" ht="15" customHeight="1" x14ac:dyDescent="0.25">
      <c r="A98" s="198" t="s">
        <v>966</v>
      </c>
      <c r="B98" s="189" t="s">
        <v>132</v>
      </c>
      <c r="C98" s="194">
        <v>11</v>
      </c>
      <c r="D98" s="195" t="s">
        <v>967</v>
      </c>
      <c r="E98" s="194">
        <v>116</v>
      </c>
      <c r="F98" s="194">
        <v>56</v>
      </c>
      <c r="G98" s="199">
        <v>60</v>
      </c>
      <c r="H98" s="194">
        <v>84.1</v>
      </c>
      <c r="I98" s="200" t="s">
        <v>968</v>
      </c>
    </row>
    <row r="99" spans="1:12" ht="15" customHeight="1" x14ac:dyDescent="0.25">
      <c r="A99" s="198" t="s">
        <v>969</v>
      </c>
      <c r="B99" s="189" t="s">
        <v>133</v>
      </c>
      <c r="C99" s="194">
        <v>14</v>
      </c>
      <c r="D99" s="195" t="s">
        <v>970</v>
      </c>
      <c r="E99" s="194">
        <v>166</v>
      </c>
      <c r="F99" s="194">
        <v>67</v>
      </c>
      <c r="G99" s="199">
        <v>99</v>
      </c>
      <c r="H99" s="194">
        <v>183.1</v>
      </c>
      <c r="I99" s="200" t="s">
        <v>971</v>
      </c>
    </row>
    <row r="100" spans="1:12" ht="15" customHeight="1" x14ac:dyDescent="0.25">
      <c r="A100" s="198" t="s">
        <v>972</v>
      </c>
      <c r="B100" s="189" t="s">
        <v>134</v>
      </c>
      <c r="C100" s="194">
        <v>20</v>
      </c>
      <c r="D100" s="195" t="s">
        <v>973</v>
      </c>
      <c r="E100" s="194">
        <v>263</v>
      </c>
      <c r="F100" s="194">
        <v>99</v>
      </c>
      <c r="G100" s="199">
        <v>164</v>
      </c>
      <c r="H100" s="194">
        <v>347.1</v>
      </c>
      <c r="I100" s="200" t="s">
        <v>974</v>
      </c>
    </row>
    <row r="101" spans="1:12" ht="15" customHeight="1" x14ac:dyDescent="0.25">
      <c r="A101" s="1" t="s">
        <v>975</v>
      </c>
      <c r="B101" s="1"/>
      <c r="C101" s="1"/>
      <c r="D101" s="1"/>
      <c r="E101" s="1"/>
      <c r="F101" s="1"/>
      <c r="G101" s="1"/>
      <c r="H101" s="1"/>
      <c r="I101" s="1"/>
    </row>
    <row r="102" spans="1:12" ht="15" customHeight="1" x14ac:dyDescent="0.25">
      <c r="A102" s="198" t="s">
        <v>976</v>
      </c>
      <c r="B102" s="189" t="s">
        <v>251</v>
      </c>
      <c r="C102" s="194">
        <v>25</v>
      </c>
      <c r="D102" s="195" t="s">
        <v>977</v>
      </c>
      <c r="E102" s="194">
        <v>427</v>
      </c>
      <c r="F102" s="194">
        <v>133</v>
      </c>
      <c r="G102" s="199">
        <v>294</v>
      </c>
      <c r="H102" s="194">
        <v>1094</v>
      </c>
      <c r="I102" s="200" t="s">
        <v>978</v>
      </c>
    </row>
    <row r="104" spans="1:12" ht="15" customHeight="1" x14ac:dyDescent="0.25">
      <c r="A104" s="7" t="s">
        <v>979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</row>
    <row r="105" spans="1:12" ht="27.75" customHeight="1" x14ac:dyDescent="0.25"/>
    <row r="106" spans="1:12" ht="15" customHeight="1" x14ac:dyDescent="0.25"/>
    <row r="107" spans="1:12" ht="15" customHeight="1" x14ac:dyDescent="0.25">
      <c r="A107" s="16" t="s">
        <v>980</v>
      </c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</row>
    <row r="108" spans="1:12" ht="15" customHeight="1" x14ac:dyDescent="0.25">
      <c r="A108" s="81" t="s">
        <v>981</v>
      </c>
      <c r="B108" s="81" t="s">
        <v>982</v>
      </c>
      <c r="C108" s="81" t="s">
        <v>983</v>
      </c>
      <c r="D108" s="81" t="s">
        <v>984</v>
      </c>
    </row>
    <row r="109" spans="1:12" ht="15" customHeight="1" x14ac:dyDescent="0.25">
      <c r="A109" s="181" t="s">
        <v>985</v>
      </c>
      <c r="B109" s="201" t="s">
        <v>986</v>
      </c>
      <c r="C109" s="184" t="s">
        <v>987</v>
      </c>
      <c r="D109" s="185" t="s">
        <v>988</v>
      </c>
    </row>
    <row r="110" spans="1:12" ht="15" customHeight="1" x14ac:dyDescent="0.25">
      <c r="A110" s="181" t="s">
        <v>989</v>
      </c>
      <c r="B110" s="201" t="s">
        <v>990</v>
      </c>
      <c r="C110" s="202" t="s">
        <v>991</v>
      </c>
      <c r="D110" s="185" t="s">
        <v>992</v>
      </c>
    </row>
    <row r="111" spans="1:12" ht="15" customHeight="1" x14ac:dyDescent="0.25">
      <c r="A111" s="181" t="s">
        <v>993</v>
      </c>
      <c r="B111" s="201" t="s">
        <v>994</v>
      </c>
      <c r="C111" s="184" t="s">
        <v>987</v>
      </c>
      <c r="D111" s="185" t="s">
        <v>995</v>
      </c>
    </row>
    <row r="112" spans="1:12" ht="15" customHeight="1" x14ac:dyDescent="0.25">
      <c r="A112" s="181" t="s">
        <v>996</v>
      </c>
      <c r="B112" s="201" t="s">
        <v>997</v>
      </c>
      <c r="C112" s="202" t="s">
        <v>991</v>
      </c>
      <c r="D112" s="185" t="s">
        <v>998</v>
      </c>
    </row>
    <row r="113" spans="1:12" ht="15" customHeight="1" x14ac:dyDescent="0.25">
      <c r="A113" s="181" t="s">
        <v>999</v>
      </c>
      <c r="B113" s="201" t="s">
        <v>1000</v>
      </c>
      <c r="C113" s="202" t="s">
        <v>991</v>
      </c>
      <c r="D113" s="185" t="s">
        <v>1001</v>
      </c>
    </row>
    <row r="114" spans="1:12" ht="15" customHeight="1" x14ac:dyDescent="0.25">
      <c r="A114" s="181" t="s">
        <v>1002</v>
      </c>
      <c r="B114" s="201" t="s">
        <v>1003</v>
      </c>
      <c r="C114" s="184" t="s">
        <v>987</v>
      </c>
      <c r="D114" s="185" t="s">
        <v>1004</v>
      </c>
    </row>
    <row r="115" spans="1:12" ht="15" customHeight="1" x14ac:dyDescent="0.25">
      <c r="A115" s="181" t="s">
        <v>1005</v>
      </c>
      <c r="B115" s="201" t="s">
        <v>1006</v>
      </c>
      <c r="C115" s="184" t="s">
        <v>987</v>
      </c>
      <c r="D115" s="185" t="s">
        <v>1007</v>
      </c>
    </row>
    <row r="116" spans="1:12" ht="15" customHeight="1" x14ac:dyDescent="0.25">
      <c r="A116" s="181" t="s">
        <v>1008</v>
      </c>
      <c r="B116" s="201" t="s">
        <v>1009</v>
      </c>
      <c r="C116" s="203" t="s">
        <v>1010</v>
      </c>
      <c r="D116" s="185" t="s">
        <v>1011</v>
      </c>
    </row>
    <row r="117" spans="1:12" ht="15" customHeight="1" x14ac:dyDescent="0.25">
      <c r="A117" s="181" t="s">
        <v>1012</v>
      </c>
      <c r="B117" s="201" t="s">
        <v>1013</v>
      </c>
      <c r="C117" s="203" t="s">
        <v>1010</v>
      </c>
      <c r="D117" s="185" t="s">
        <v>1014</v>
      </c>
    </row>
    <row r="118" spans="1:12" ht="1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2" ht="1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2" ht="1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1:12" ht="15" customHeight="1" x14ac:dyDescent="0.25">
      <c r="A121" s="10" t="s">
        <v>479</v>
      </c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29"/>
    </row>
    <row r="122" spans="1:12" ht="15" customHeight="1" x14ac:dyDescent="0.25">
      <c r="A122" s="11" t="s">
        <v>1015</v>
      </c>
      <c r="B122" s="11"/>
      <c r="C122" s="11"/>
      <c r="D122" s="11"/>
      <c r="E122" s="11"/>
      <c r="F122" s="11"/>
      <c r="G122" s="11"/>
      <c r="H122" s="11"/>
      <c r="I122" s="11"/>
      <c r="J122" s="11"/>
      <c r="K122" s="11"/>
    </row>
    <row r="123" spans="1:12" ht="15" customHeight="1" x14ac:dyDescent="0.25">
      <c r="A123" s="11" t="s">
        <v>1016</v>
      </c>
      <c r="B123" s="11"/>
      <c r="C123" s="11"/>
      <c r="D123" s="11"/>
      <c r="E123" s="11"/>
      <c r="F123" s="11"/>
      <c r="G123" s="11"/>
      <c r="H123" s="11"/>
      <c r="I123" s="11"/>
      <c r="J123" s="11"/>
      <c r="K123" s="11"/>
    </row>
    <row r="124" spans="1:12" ht="15" customHeight="1" x14ac:dyDescent="0.25">
      <c r="A124" s="11" t="s">
        <v>1017</v>
      </c>
      <c r="B124" s="11"/>
      <c r="C124" s="11"/>
      <c r="D124" s="11"/>
      <c r="E124" s="11"/>
      <c r="F124" s="11"/>
      <c r="G124" s="11"/>
      <c r="H124" s="11"/>
      <c r="I124" s="11"/>
      <c r="J124" s="11"/>
      <c r="K124" s="11"/>
    </row>
    <row r="125" spans="1:12" ht="15" customHeight="1" x14ac:dyDescent="0.25">
      <c r="A125" s="11" t="s">
        <v>1018</v>
      </c>
      <c r="B125" s="11"/>
      <c r="C125" s="11"/>
      <c r="D125" s="11"/>
      <c r="E125" s="11"/>
      <c r="F125" s="11"/>
      <c r="G125" s="11"/>
      <c r="H125" s="11"/>
      <c r="I125" s="11"/>
      <c r="J125" s="11"/>
      <c r="K125" s="11"/>
    </row>
    <row r="126" spans="1:12" ht="15" customHeight="1" x14ac:dyDescent="0.25">
      <c r="A126" s="11" t="s">
        <v>1019</v>
      </c>
      <c r="B126" s="11"/>
      <c r="C126" s="11"/>
      <c r="D126" s="11"/>
      <c r="E126" s="11"/>
      <c r="F126" s="11"/>
      <c r="G126" s="11"/>
      <c r="H126" s="11"/>
      <c r="I126" s="11"/>
      <c r="J126" s="11"/>
      <c r="K126" s="11"/>
    </row>
    <row r="127" spans="1:12" ht="15" customHeight="1" x14ac:dyDescent="0.25">
      <c r="A127" s="14" t="s">
        <v>1020</v>
      </c>
    </row>
    <row r="128" spans="1:12" ht="15" customHeight="1" x14ac:dyDescent="0.25">
      <c r="A128" s="14" t="s">
        <v>1021</v>
      </c>
    </row>
    <row r="129" spans="1:1" ht="15" customHeight="1" x14ac:dyDescent="0.25">
      <c r="A129" s="14" t="s">
        <v>1022</v>
      </c>
    </row>
  </sheetData>
  <mergeCells count="21">
    <mergeCell ref="A126:K126"/>
    <mergeCell ref="A121:K121"/>
    <mergeCell ref="A122:K122"/>
    <mergeCell ref="A123:K123"/>
    <mergeCell ref="A124:K124"/>
    <mergeCell ref="A125:K125"/>
    <mergeCell ref="A101:I101"/>
    <mergeCell ref="A104:K104"/>
    <mergeCell ref="A118:K118"/>
    <mergeCell ref="A119:K119"/>
    <mergeCell ref="A120:K120"/>
    <mergeCell ref="A49:K49"/>
    <mergeCell ref="A67:K67"/>
    <mergeCell ref="A78:K78"/>
    <mergeCell ref="A87:F87"/>
    <mergeCell ref="A90:K90"/>
    <mergeCell ref="A1:K1"/>
    <mergeCell ref="A2:K2"/>
    <mergeCell ref="A4:K4"/>
    <mergeCell ref="A32:G32"/>
    <mergeCell ref="A35:K3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9</vt:i4>
      </vt:variant>
      <vt:variant>
        <vt:lpstr>Navngitte områder</vt:lpstr>
      </vt:variant>
      <vt:variant>
        <vt:i4>2</vt:i4>
      </vt:variant>
    </vt:vector>
  </HeadingPairs>
  <TitlesOfParts>
    <vt:vector size="11" baseType="lpstr">
      <vt:lpstr>Dashboard</vt:lpstr>
      <vt:lpstr>Assumptions</vt:lpstr>
      <vt:lpstr>Revenue</vt:lpstr>
      <vt:lpstr>P&amp;L</vt:lpstr>
      <vt:lpstr>Cash Flow</vt:lpstr>
      <vt:lpstr>Balance Sheet</vt:lpstr>
      <vt:lpstr>Cap Table</vt:lpstr>
      <vt:lpstr>Sensitivity</vt:lpstr>
      <vt:lpstr>Break-Even</vt:lpstr>
      <vt:lpstr>Assumptions!Utskriftstitler</vt:lpstr>
      <vt:lpstr>Revenue!Utskriftstitler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Tore Ausland</cp:lastModifiedBy>
  <cp:revision>0</cp:revision>
  <dcterms:created xsi:type="dcterms:W3CDTF">2026-02-12T15:39:50Z</dcterms:created>
  <dcterms:modified xsi:type="dcterms:W3CDTF">2026-02-12T17:48:51Z</dcterms:modified>
  <dc:language>en-US</dc:language>
</cp:coreProperties>
</file>