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 Table — All Rounds" sheetId="2" state="visible" r:id="rId4"/>
    <sheet name="Dilution Waterfall" sheetId="3" state="visible" r:id="rId5"/>
    <sheet name="Exit Distribution" sheetId="4" state="visible" r:id="rId6"/>
    <sheet name="Validation" sheetId="5" state="visible" r:id="rId7"/>
    <sheet name="Change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<sst xmlns="http://schemas.openxmlformats.org/spreadsheetml/2006/main" count="349" uniqueCount="288">
  <si>
    <t xml:space="preserve">Parameter</t>
  </si>
  <si>
    <t xml:space="preserve">Value</t>
  </si>
  <si>
    <t xml:space="preserve">Unit</t>
  </si>
  <si>
    <t xml:space="preserve">Source</t>
  </si>
  <si>
    <t xml:space="preserve">Company</t>
  </si>
  <si>
    <t xml:space="preserve">Aurelian Manufacturing AS</t>
  </si>
  <si>
    <t xml:space="preserve">Brønnøysund</t>
  </si>
  <si>
    <t xml:space="preserve">Org.nr.</t>
  </si>
  <si>
    <t xml:space="preserve">835 679 632</t>
  </si>
  <si>
    <t xml:space="preserve">Municipality</t>
  </si>
  <si>
    <t xml:space="preserve">Moss kommune</t>
  </si>
  <si>
    <t xml:space="preserve">Vedtekter §2</t>
  </si>
  <si>
    <t xml:space="preserve">Share capital</t>
  </si>
  <si>
    <t xml:space="preserve">NOK</t>
  </si>
  <si>
    <t xml:space="preserve">Vedtekter §4</t>
  </si>
  <si>
    <t xml:space="preserve">Total shares outstanding</t>
  </si>
  <si>
    <t xml:space="preserve">shares</t>
  </si>
  <si>
    <t xml:space="preserve">Par value per share</t>
  </si>
  <si>
    <t xml:space="preserve">FOUNDERS (Eierbok 09.02.2026)</t>
  </si>
  <si>
    <t xml:space="preserve">Hölen Industrier AS (André Tandberg)</t>
  </si>
  <si>
    <t xml:space="preserve">Eierbok — 56.25%</t>
  </si>
  <si>
    <t xml:space="preserve">Quality Group Invest AS (Tore Ausland)</t>
  </si>
  <si>
    <t xml:space="preserve">Eierbok — 33.75%</t>
  </si>
  <si>
    <t xml:space="preserve">STAH Invest AS (Henrik S. Strøm)</t>
  </si>
  <si>
    <t xml:space="preserve">Eierbok — 10.00%</t>
  </si>
  <si>
    <t xml:space="preserve">FUNDRAISING ROUNDS (REV6 §4.1)</t>
  </si>
  <si>
    <t xml:space="preserve">Pre-Seed ASK</t>
  </si>
  <si>
    <t xml:space="preserve">FM8 Cap Table R6</t>
  </si>
  <si>
    <t xml:space="preserve">Pre-Seed Pre-Money</t>
  </si>
  <si>
    <t xml:space="preserve">FM8 Cap Table R7</t>
  </si>
  <si>
    <t xml:space="preserve">Pre-Seed Post-Money</t>
  </si>
  <si>
    <t xml:space="preserve">FM8 Cap Table R8</t>
  </si>
  <si>
    <t xml:space="preserve">Seed ASK</t>
  </si>
  <si>
    <t xml:space="preserve">Seed Pre-Money</t>
  </si>
  <si>
    <t xml:space="preserve">Seed Post-Money</t>
  </si>
  <si>
    <t xml:space="preserve">Seed bank debt</t>
  </si>
  <si>
    <t xml:space="preserve">FM8 Cap Table R10</t>
  </si>
  <si>
    <t xml:space="preserve">Serie A ASK</t>
  </si>
  <si>
    <t xml:space="preserve">Serie A Pre-Money</t>
  </si>
  <si>
    <t xml:space="preserve">Serie A Post-Money</t>
  </si>
  <si>
    <t xml:space="preserve">Serie A bank debt</t>
  </si>
  <si>
    <t xml:space="preserve">Total equity raised</t>
  </si>
  <si>
    <t xml:space="preserve">FM8 CF R41</t>
  </si>
  <si>
    <t xml:space="preserve">Total bank debt</t>
  </si>
  <si>
    <t xml:space="preserve">FM8 CF R42</t>
  </si>
  <si>
    <t xml:space="preserve">EXIT SCENARIO (REV6 §5.3)</t>
  </si>
  <si>
    <t xml:space="preserve">Exit valuation</t>
  </si>
  <si>
    <t xml:space="preserve">FM8 Cap Table R51</t>
  </si>
  <si>
    <t xml:space="preserve">EBITDA at exit</t>
  </si>
  <si>
    <t xml:space="preserve">FM8 Cap Table R49</t>
  </si>
  <si>
    <t xml:space="preserve">EBITDA multiple</t>
  </si>
  <si>
    <t xml:space="preserve">10-11x</t>
  </si>
  <si>
    <t xml:space="preserve">FM8 Cap Table R50</t>
  </si>
  <si>
    <t xml:space="preserve">OPERATING (REV6 §1)</t>
  </si>
  <si>
    <t xml:space="preserve">CNC cost incl. automation</t>
  </si>
  <si>
    <t xml:space="preserve">FM8 Assumptions R23</t>
  </si>
  <si>
    <t xml:space="preserve">Hourly rate</t>
  </si>
  <si>
    <t xml:space="preserve">FM8 Assumptions R8</t>
  </si>
  <si>
    <t xml:space="preserve">Theoretical hours</t>
  </si>
  <si>
    <t xml:space="preserve">hours</t>
  </si>
  <si>
    <t xml:space="preserve">FM8 Assumptions R7</t>
  </si>
  <si>
    <t xml:space="preserve">Variable cost (startup)</t>
  </si>
  <si>
    <t xml:space="preserve">%</t>
  </si>
  <si>
    <t xml:space="preserve">FM8 Assumptions R15</t>
  </si>
  <si>
    <t xml:space="preserve">Variable cost (mature)</t>
  </si>
  <si>
    <t xml:space="preserve">FM8 Assumptions R19</t>
  </si>
  <si>
    <t xml:space="preserve">Admin FTEs</t>
  </si>
  <si>
    <t xml:space="preserve">FTE</t>
  </si>
  <si>
    <t xml:space="preserve">FM8 Assumptions R51</t>
  </si>
  <si>
    <t xml:space="preserve">Facility lease</t>
  </si>
  <si>
    <t xml:space="preserve">NOK/yr</t>
  </si>
  <si>
    <t xml:space="preserve">FM8 P&amp;L R44</t>
  </si>
  <si>
    <t xml:space="preserve">AURELIAN MANUFACTURING AS — CAP TABLE PRO FORMA (ALL ROUNDS)</t>
  </si>
  <si>
    <t xml:space="preserve">Source: 02_Aurelian_Financial_Model_8.xlsx (REV6 §4) | Vedtekter | Eierbok 09.02.2026</t>
  </si>
  <si>
    <t xml:space="preserve">OWNERSHIP PERCENTAGE BY ROUND</t>
  </si>
  <si>
    <t xml:space="preserve">Shareholder</t>
  </si>
  <si>
    <t xml:space="preserve">Holding Company</t>
  </si>
  <si>
    <t xml:space="preserve">Founding
(Current)</t>
  </si>
  <si>
    <t xml:space="preserve">Post
Pre-Seed</t>
  </si>
  <si>
    <t xml:space="preserve">Post
Seed</t>
  </si>
  <si>
    <t xml:space="preserve">Post
Serie A</t>
  </si>
  <si>
    <t xml:space="preserve">Total
Dilution (pp)</t>
  </si>
  <si>
    <t xml:space="preserve">Exit Value
(MNOK)</t>
  </si>
  <si>
    <t xml:space="preserve">André Tandberg (CEO)</t>
  </si>
  <si>
    <t xml:space="preserve">Hölen Industrier AS</t>
  </si>
  <si>
    <t xml:space="preserve">Tore Ausland (Chairman / VP BD)</t>
  </si>
  <si>
    <t xml:space="preserve">Quality Group Invest AS</t>
  </si>
  <si>
    <t xml:space="preserve">Henrik S. Strøm (Board / CFO pathway)</t>
  </si>
  <si>
    <t xml:space="preserve">STAH Invest AS</t>
  </si>
  <si>
    <t xml:space="preserve">FOUNDERS TOTAL</t>
  </si>
  <si>
    <t xml:space="preserve">Pre-Seed Investors</t>
  </si>
  <si>
    <t xml:space="preserve">—</t>
  </si>
  <si>
    <t xml:space="preserve">Seed Investors</t>
  </si>
  <si>
    <t xml:space="preserve">Serie A Investors</t>
  </si>
  <si>
    <t xml:space="preserve">INVESTORS TOTAL</t>
  </si>
  <si>
    <t xml:space="preserve">GRAND TOTAL</t>
  </si>
  <si>
    <t xml:space="preserve">ROUND PARAMETERS (REV6 §4.1)</t>
  </si>
  <si>
    <t xml:space="preserve">Pre-Seed</t>
  </si>
  <si>
    <t xml:space="preserve">Seed</t>
  </si>
  <si>
    <t xml:space="preserve">Serie A</t>
  </si>
  <si>
    <t xml:space="preserve">Total</t>
  </si>
  <si>
    <t xml:space="preserve">Capital Raised — Equity (MNOK)</t>
  </si>
  <si>
    <t xml:space="preserve">Capital Raised — Bank Debt (MNOK)</t>
  </si>
  <si>
    <t xml:space="preserve">Total Capital Deployed (MNOK)</t>
  </si>
  <si>
    <t xml:space="preserve">Pre-Money Valuation (MNOK)</t>
  </si>
  <si>
    <t xml:space="preserve">Post-Money Valuation (MNOK)</t>
  </si>
  <si>
    <t xml:space="preserve">Dilution This Round</t>
  </si>
  <si>
    <t xml:space="preserve">Cumulative Dilution (from founding)</t>
  </si>
  <si>
    <t xml:space="preserve">Implied Price/Share (NOK)</t>
  </si>
  <si>
    <t xml:space="preserve">Machines Funded</t>
  </si>
  <si>
    <t xml:space="preserve">0</t>
  </si>
  <si>
    <t xml:space="preserve">5 CNC + shop</t>
  </si>
  <si>
    <t xml:space="preserve">15 CNC (3×5)</t>
  </si>
  <si>
    <t xml:space="preserve">20 total</t>
  </si>
  <si>
    <t xml:space="preserve">Investor ROI (at 2.3B exit)</t>
  </si>
  <si>
    <t xml:space="preserve">46.6x</t>
  </si>
  <si>
    <t xml:space="preserve">10.8x</t>
  </si>
  <si>
    <t xml:space="preserve">7.8x</t>
  </si>
  <si>
    <t xml:space="preserve">VC Market Expectation</t>
  </si>
  <si>
    <t xml:space="preserve">20-40x ✓</t>
  </si>
  <si>
    <t xml:space="preserve">10-25x ✓</t>
  </si>
  <si>
    <t xml:space="preserve">5-10x ✓</t>
  </si>
  <si>
    <t xml:space="preserve">DILUTION WATERFALL — FOUNDER PERSPECTIVE</t>
  </si>
  <si>
    <t xml:space="preserve">Source: FM8 Cap Table R27-R44. Exact pp from REV6 §4.</t>
  </si>
  <si>
    <t xml:space="preserve">Founder</t>
  </si>
  <si>
    <t xml:space="preserve">Founding %</t>
  </si>
  <si>
    <t xml:space="preserve">PreSeed
Dilution (pp)</t>
  </si>
  <si>
    <t xml:space="preserve">Post-Seed
Dilution (pp)</t>
  </si>
  <si>
    <t xml:space="preserve">Serie A
Dilution (pp)</t>
  </si>
  <si>
    <t xml:space="preserve">Cumulative
Dilution (pp)</t>
  </si>
  <si>
    <t xml:space="preserve">Final %</t>
  </si>
  <si>
    <t xml:space="preserve">Eier A (André)</t>
  </si>
  <si>
    <t xml:space="preserve">Eier B (Tore)</t>
  </si>
  <si>
    <t xml:space="preserve">Eier C (Henrik)</t>
  </si>
  <si>
    <t xml:space="preserve">European VC Dilution Benchmarks</t>
  </si>
  <si>
    <t xml:space="preserve">Typical Seed dilution (Europe)</t>
  </si>
  <si>
    <t xml:space="preserve">10-25%</t>
  </si>
  <si>
    <t xml:space="preserve">Aurelian: 28.3% (capital intensity premium)</t>
  </si>
  <si>
    <t xml:space="preserve">Typical Serie A dilution (Europe)</t>
  </si>
  <si>
    <t xml:space="preserve">20-30%</t>
  </si>
  <si>
    <t xml:space="preserve">Aurelian: 15.3% (below market — strong position)</t>
  </si>
  <si>
    <t xml:space="preserve">Founders retaining &gt;50% post-A</t>
  </si>
  <si>
    <t xml:space="preserve">Best practice</t>
  </si>
  <si>
    <t xml:space="preserve">Aurelian: 50.6% ✓ — maintains control</t>
  </si>
  <si>
    <t xml:space="preserve">EXIT DISTRIBUTION — 2.3 MRD NOK SCENARIO</t>
  </si>
  <si>
    <t xml:space="preserve">EBITDA 222 MNOK × 10-11x = 2,200-2,400 MNOK (uses 2,300). Source: FM8 Cap Table R47-R64.</t>
  </si>
  <si>
    <t xml:space="preserve">Post-Serie A %</t>
  </si>
  <si>
    <t xml:space="preserve">Investment
(MNOK)</t>
  </si>
  <si>
    <t xml:space="preserve">ROI</t>
  </si>
  <si>
    <t xml:space="preserve">Hölen Industrier AS (André)</t>
  </si>
  <si>
    <t xml:space="preserve">Quality Group Invest AS (Tore)</t>
  </si>
  <si>
    <t xml:space="preserve">STAH Invest AS (Henrik)</t>
  </si>
  <si>
    <t xml:space="preserve">FOUNDERS SUBTOTAL</t>
  </si>
  <si>
    <t xml:space="preserve">Sweat equity ~7-9 MNOK</t>
  </si>
  <si>
    <t xml:space="preserve">INVESTORS SUBTOTAL</t>
  </si>
  <si>
    <t xml:space="preserve">11.2x weighted avg</t>
  </si>
  <si>
    <t xml:space="preserve">Investor ROI Sensitivity (from FM8 Cap Table R67-R73)</t>
  </si>
  <si>
    <t xml:space="preserve">8x (Bear)</t>
  </si>
  <si>
    <t xml:space="preserve">10x (Base)</t>
  </si>
  <si>
    <t xml:space="preserve">11x (Bull)</t>
  </si>
  <si>
    <t xml:space="preserve">13x (Upside)</t>
  </si>
  <si>
    <t xml:space="preserve">Exit valuation (MNOK)</t>
  </si>
  <si>
    <t xml:space="preserve">PreSeed ROI</t>
  </si>
  <si>
    <t xml:space="preserve">35.9x</t>
  </si>
  <si>
    <t xml:space="preserve">44.9x</t>
  </si>
  <si>
    <t xml:space="preserve">49.4x</t>
  </si>
  <si>
    <t xml:space="preserve">58.4x</t>
  </si>
  <si>
    <t xml:space="preserve">Seed ROI</t>
  </si>
  <si>
    <t xml:space="preserve">8.3x</t>
  </si>
  <si>
    <t xml:space="preserve">10.4x</t>
  </si>
  <si>
    <t xml:space="preserve">11.4x</t>
  </si>
  <si>
    <t xml:space="preserve">13.5x</t>
  </si>
  <si>
    <t xml:space="preserve">Serie A ROI</t>
  </si>
  <si>
    <t xml:space="preserve">6.0x</t>
  </si>
  <si>
    <t xml:space="preserve">7.5x</t>
  </si>
  <si>
    <t xml:space="preserve">9.8x</t>
  </si>
  <si>
    <t xml:space="preserve">Founders value (MNOK)</t>
  </si>
  <si>
    <t xml:space="preserve">VC Market Expectations:</t>
  </si>
  <si>
    <t xml:space="preserve">Pre-Seed: 20-40x | Seed: 10-25x | Serie A: 5-10x</t>
  </si>
  <si>
    <t xml:space="preserve">All investor ROIs fall within or above expected ranges ✓</t>
  </si>
  <si>
    <t xml:space="preserve">CROSS-REFERENCE VALIDATION vs FM8 (REV6)</t>
  </si>
  <si>
    <t xml:space="preserve">Check</t>
  </si>
  <si>
    <t xml:space="preserve">FM8 Value</t>
  </si>
  <si>
    <t xml:space="preserve">This File</t>
  </si>
  <si>
    <t xml:space="preserve">Status</t>
  </si>
  <si>
    <t xml:space="preserve">Founders total post-Serie A = 50.6%</t>
  </si>
  <si>
    <t xml:space="preserve">Investors total post-Serie A = 49.4%</t>
  </si>
  <si>
    <t xml:space="preserve">Grand total = 100%</t>
  </si>
  <si>
    <t xml:space="preserve">Pre-Seed dilution = 16.67%</t>
  </si>
  <si>
    <t xml:space="preserve">Seed dilution = 28.3%</t>
  </si>
  <si>
    <t xml:space="preserve">Serie A dilution = 15.25%</t>
  </si>
  <si>
    <t xml:space="preserve">Exit total = 2,300 MNOK</t>
  </si>
  <si>
    <t xml:space="preserve">Founders exit value = 1,164 MNOK</t>
  </si>
  <si>
    <t xml:space="preserve">PreSeed ROI ≈ 46.6x</t>
  </si>
  <si>
    <t xml:space="preserve">Seed ROI ≈ 10.8x</t>
  </si>
  <si>
    <t xml:space="preserve">Serie A ROI ≈ 7.8x</t>
  </si>
  <si>
    <t xml:space="preserve">Total equity = 101.3 MNOK</t>
  </si>
  <si>
    <t xml:space="preserve">Seed pre-money = 130 MNOK</t>
  </si>
  <si>
    <t xml:space="preserve">Seed post-money = 181.3 MNOK</t>
  </si>
  <si>
    <t xml:space="preserve">Serie A post-money = 295 MNOK</t>
  </si>
  <si>
    <t xml:space="preserve">Eier A post-A = 28.46%</t>
  </si>
  <si>
    <t xml:space="preserve">CHANGE LOG — KOMPLETT → REV6 MIGRATION</t>
  </si>
  <si>
    <t xml:space="preserve">Documents below need updating to match FM8 (REV6) as authoritative source</t>
  </si>
  <si>
    <t xml:space="preserve">Old (KOMPLETT)</t>
  </si>
  <si>
    <t xml:space="preserve">New (REV6/FM8)</t>
  </si>
  <si>
    <t xml:space="preserve">Δ</t>
  </si>
  <si>
    <t xml:space="preserve">Affected Documents</t>
  </si>
  <si>
    <t xml:space="preserve">Seed equity (MNOK)</t>
  </si>
  <si>
    <t xml:space="preserve">47</t>
  </si>
  <si>
    <t xml:space="preserve">51.3</t>
  </si>
  <si>
    <t xml:space="preserve">+4.3</t>
  </si>
  <si>
    <t xml:space="preserve">KOMPLETT, Pitch Deck, VDR skills</t>
  </si>
  <si>
    <t xml:space="preserve">Seed pre-money (MNOK)</t>
  </si>
  <si>
    <t xml:space="preserve">140</t>
  </si>
  <si>
    <t xml:space="preserve">130</t>
  </si>
  <si>
    <t xml:space="preserve">-10</t>
  </si>
  <si>
    <t xml:space="preserve">KOMPLETT, Pitch Deck, Valuation doc</t>
  </si>
  <si>
    <t xml:space="preserve">Seed post-money (MNOK)</t>
  </si>
  <si>
    <t xml:space="preserve">187</t>
  </si>
  <si>
    <t xml:space="preserve">181.3</t>
  </si>
  <si>
    <t xml:space="preserve">-5.7</t>
  </si>
  <si>
    <t xml:space="preserve">KOMPLETT, Pitch Deck</t>
  </si>
  <si>
    <t xml:space="preserve">Seed dilution</t>
  </si>
  <si>
    <t xml:space="preserve">25.1%</t>
  </si>
  <si>
    <t xml:space="preserve">28.3%</t>
  </si>
  <si>
    <t xml:space="preserve">+3.2pp</t>
  </si>
  <si>
    <t xml:space="preserve">KOMPLETT, Cap Table, all DD skills</t>
  </si>
  <si>
    <t xml:space="preserve">Serie A equity (MNOK)</t>
  </si>
  <si>
    <t xml:space="preserve">42</t>
  </si>
  <si>
    <t xml:space="preserve">45</t>
  </si>
  <si>
    <t xml:space="preserve">+3</t>
  </si>
  <si>
    <t xml:space="preserve">Serie A post-money (MNOK)</t>
  </si>
  <si>
    <t xml:space="preserve">292</t>
  </si>
  <si>
    <t xml:space="preserve">295</t>
  </si>
  <si>
    <t xml:space="preserve">Serie A dilution</t>
  </si>
  <si>
    <t xml:space="preserve">14.4%</t>
  </si>
  <si>
    <t xml:space="preserve">15.25%</t>
  </si>
  <si>
    <t xml:space="preserve">+0.85pp</t>
  </si>
  <si>
    <t xml:space="preserve">Total equity (MNOK)</t>
  </si>
  <si>
    <t xml:space="preserve">94</t>
  </si>
  <si>
    <t xml:space="preserve">101.3</t>
  </si>
  <si>
    <t xml:space="preserve">+7.3</t>
  </si>
  <si>
    <t xml:space="preserve">KOMPLETT, Pitch Deck, VDR</t>
  </si>
  <si>
    <t xml:space="preserve">Founders post-A</t>
  </si>
  <si>
    <t xml:space="preserve">53.42%</t>
  </si>
  <si>
    <t xml:space="preserve">50.6%</t>
  </si>
  <si>
    <t xml:space="preserve">-2.82pp</t>
  </si>
  <si>
    <t xml:space="preserve">KOMPLETT, Cap Table, Pitch Deck, SHA</t>
  </si>
  <si>
    <t xml:space="preserve">CNC cost (MNOK)</t>
  </si>
  <si>
    <t xml:space="preserve">8</t>
  </si>
  <si>
    <t xml:space="preserve">10</t>
  </si>
  <si>
    <t xml:space="preserve">+2</t>
  </si>
  <si>
    <t xml:space="preserve">Markedsanalyse, CAPEX models</t>
  </si>
  <si>
    <t xml:space="preserve">3</t>
  </si>
  <si>
    <t xml:space="preserve">4</t>
  </si>
  <si>
    <t xml:space="preserve">+1</t>
  </si>
  <si>
    <t xml:space="preserve">Vedlegg B, cost models</t>
  </si>
  <si>
    <t xml:space="preserve">Facility lease (MNOK/yr)</t>
  </si>
  <si>
    <t xml:space="preserve">4.0</t>
  </si>
  <si>
    <t xml:space="preserve">5.2</t>
  </si>
  <si>
    <t xml:space="preserve">+1.2</t>
  </si>
  <si>
    <t xml:space="preserve">13% flat</t>
  </si>
  <si>
    <t xml:space="preserve">8% (curve)</t>
  </si>
  <si>
    <t xml:space="preserve">New model</t>
  </si>
  <si>
    <t xml:space="preserve">Vedlegg B, P&amp;L</t>
  </si>
  <si>
    <t xml:space="preserve">Seed bank debt (MNOK)</t>
  </si>
  <si>
    <t xml:space="preserve">32</t>
  </si>
  <si>
    <t xml:space="preserve">29.3</t>
  </si>
  <si>
    <t xml:space="preserve">-2.7</t>
  </si>
  <si>
    <t xml:space="preserve">KOMPLETT</t>
  </si>
  <si>
    <t xml:space="preserve">Debt per CNC Seed</t>
  </si>
  <si>
    <t xml:space="preserve">4.0M</t>
  </si>
  <si>
    <t xml:space="preserve">5.0M</t>
  </si>
  <si>
    <t xml:space="preserve">+1.0M</t>
  </si>
  <si>
    <t xml:space="preserve">Financial model skill</t>
  </si>
  <si>
    <t xml:space="preserve">Debt per CNC Serie A</t>
  </si>
  <si>
    <t xml:space="preserve">5.2M</t>
  </si>
  <si>
    <t xml:space="preserve">7.0M</t>
  </si>
  <si>
    <t xml:space="preserve">+1.8M</t>
  </si>
  <si>
    <t xml:space="preserve">Eier A exit value (MNOK)</t>
  </si>
  <si>
    <t xml:space="preserve">691</t>
  </si>
  <si>
    <t xml:space="preserve">654</t>
  </si>
  <si>
    <t xml:space="preserve">-37</t>
  </si>
  <si>
    <t xml:space="preserve">KOMPLETT, Cap Table</t>
  </si>
  <si>
    <t xml:space="preserve">10.5x</t>
  </si>
  <si>
    <t xml:space="preserve">+0.3x</t>
  </si>
  <si>
    <t xml:space="preserve">49x</t>
  </si>
  <si>
    <t xml:space="preserve">-2.4x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</si>
</sst>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#,##0.0"/>
    <numFmt numFmtId="168" formatCode="0.0%"/>
    <numFmt numFmtId="169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FF3E0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3E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0"/>
      <color rgb="FF666666"/>
      <name val="Calibri"/>
      <family val="0"/>
      <charset val="1"/>
    </font>
    <font>
      <sz val="10"/>
      <color rgb="FF666666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4"/>
      <color rgb="FF008000"/>
      <name val="Calibri"/>
      <family val="0"/>
      <charset val="1"/>
    </font>
    <font>
      <b val="true"/>
      <sz val="14"/>
      <color rgb="FFCC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3E00"/>
        <bgColor rgb="FFCC0000"/>
      </patternFill>
    </fill>
    <fill>
      <patternFill patternType="solid">
        <fgColor rgb="FF333333"/>
        <bgColor rgb="FF333300"/>
      </patternFill>
    </fill>
    <fill>
      <patternFill patternType="solid">
        <fgColor rgb="FF00800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E00"/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D2" s="3" t="s">
        <v>6</v>
      </c>
    </row>
    <row r="3" customFormat="false" ht="15" hidden="false" customHeight="false" outlineLevel="0" collapsed="false">
      <c r="A3" s="2" t="s">
        <v>7</v>
      </c>
      <c r="B3" s="3" t="s">
        <v>8</v>
      </c>
      <c r="D3" s="3" t="s">
        <v>6</v>
      </c>
    </row>
    <row r="4" customFormat="false" ht="15" hidden="false" customHeight="false" outlineLevel="0" collapsed="false">
      <c r="A4" s="2" t="s">
        <v>9</v>
      </c>
      <c r="B4" s="3" t="s">
        <v>10</v>
      </c>
      <c r="D4" s="3" t="s">
        <v>11</v>
      </c>
    </row>
    <row r="5" customFormat="false" ht="15" hidden="false" customHeight="false" outlineLevel="0" collapsed="false">
      <c r="A5" s="2" t="s">
        <v>12</v>
      </c>
      <c r="B5" s="4" t="n">
        <v>30000</v>
      </c>
      <c r="C5" s="3" t="s">
        <v>13</v>
      </c>
      <c r="D5" s="3" t="s">
        <v>14</v>
      </c>
    </row>
    <row r="6" customFormat="false" ht="15" hidden="false" customHeight="false" outlineLevel="0" collapsed="false">
      <c r="A6" s="2" t="s">
        <v>15</v>
      </c>
      <c r="B6" s="4" t="n">
        <v>1000000</v>
      </c>
      <c r="C6" s="3" t="s">
        <v>16</v>
      </c>
      <c r="D6" s="3" t="s">
        <v>14</v>
      </c>
    </row>
    <row r="7" customFormat="false" ht="15" hidden="false" customHeight="false" outlineLevel="0" collapsed="false">
      <c r="A7" s="2" t="s">
        <v>17</v>
      </c>
      <c r="B7" s="4" t="n">
        <v>0.03</v>
      </c>
      <c r="C7" s="3" t="s">
        <v>13</v>
      </c>
      <c r="D7" s="3" t="s">
        <v>14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5" t="s">
        <v>18</v>
      </c>
    </row>
    <row r="10" customFormat="false" ht="15" hidden="false" customHeight="false" outlineLevel="0" collapsed="false">
      <c r="A10" s="2" t="s">
        <v>19</v>
      </c>
      <c r="B10" s="4" t="n">
        <v>562500</v>
      </c>
      <c r="C10" s="3" t="s">
        <v>16</v>
      </c>
      <c r="D10" s="3" t="s">
        <v>20</v>
      </c>
    </row>
    <row r="11" customFormat="false" ht="15" hidden="false" customHeight="false" outlineLevel="0" collapsed="false">
      <c r="A11" s="2" t="s">
        <v>21</v>
      </c>
      <c r="B11" s="4" t="n">
        <v>337500</v>
      </c>
      <c r="C11" s="3" t="s">
        <v>16</v>
      </c>
      <c r="D11" s="3" t="s">
        <v>22</v>
      </c>
    </row>
    <row r="12" customFormat="false" ht="15" hidden="false" customHeight="false" outlineLevel="0" collapsed="false">
      <c r="A12" s="2" t="s">
        <v>23</v>
      </c>
      <c r="B12" s="4" t="n">
        <v>100000</v>
      </c>
      <c r="C12" s="3" t="s">
        <v>16</v>
      </c>
      <c r="D12" s="3" t="s">
        <v>24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5" t="s">
        <v>25</v>
      </c>
    </row>
    <row r="15" customFormat="false" ht="15" hidden="false" customHeight="false" outlineLevel="0" collapsed="false">
      <c r="A15" s="2" t="s">
        <v>26</v>
      </c>
      <c r="B15" s="4" t="n">
        <v>5000000</v>
      </c>
      <c r="C15" s="3" t="s">
        <v>13</v>
      </c>
      <c r="D15" s="3" t="s">
        <v>27</v>
      </c>
    </row>
    <row r="16" customFormat="false" ht="15" hidden="false" customHeight="false" outlineLevel="0" collapsed="false">
      <c r="A16" s="2" t="s">
        <v>28</v>
      </c>
      <c r="B16" s="4" t="n">
        <v>25000000</v>
      </c>
      <c r="C16" s="3" t="s">
        <v>13</v>
      </c>
      <c r="D16" s="3" t="s">
        <v>29</v>
      </c>
    </row>
    <row r="17" customFormat="false" ht="15" hidden="false" customHeight="false" outlineLevel="0" collapsed="false">
      <c r="A17" s="2" t="s">
        <v>30</v>
      </c>
      <c r="B17" s="4" t="n">
        <v>30000000</v>
      </c>
      <c r="C17" s="3" t="s">
        <v>13</v>
      </c>
      <c r="D17" s="3" t="s">
        <v>31</v>
      </c>
    </row>
    <row r="18" customFormat="false" ht="15" hidden="false" customHeight="false" outlineLevel="0" collapsed="false">
      <c r="A18" s="2" t="s">
        <v>32</v>
      </c>
      <c r="B18" s="4" t="n">
        <v>51300000</v>
      </c>
      <c r="C18" s="3" t="s">
        <v>13</v>
      </c>
      <c r="D18" s="3" t="s">
        <v>27</v>
      </c>
    </row>
    <row r="19" customFormat="false" ht="15" hidden="false" customHeight="false" outlineLevel="0" collapsed="false">
      <c r="A19" s="2" t="s">
        <v>33</v>
      </c>
      <c r="B19" s="4" t="n">
        <v>130000000</v>
      </c>
      <c r="C19" s="3" t="s">
        <v>13</v>
      </c>
      <c r="D19" s="3" t="s">
        <v>29</v>
      </c>
    </row>
    <row r="20" customFormat="false" ht="15" hidden="false" customHeight="false" outlineLevel="0" collapsed="false">
      <c r="A20" s="2" t="s">
        <v>34</v>
      </c>
      <c r="B20" s="4" t="n">
        <v>181300000</v>
      </c>
      <c r="C20" s="3" t="s">
        <v>13</v>
      </c>
      <c r="D20" s="3" t="s">
        <v>31</v>
      </c>
    </row>
    <row r="21" customFormat="false" ht="15" hidden="false" customHeight="false" outlineLevel="0" collapsed="false">
      <c r="A21" s="2" t="s">
        <v>35</v>
      </c>
      <c r="B21" s="4" t="n">
        <v>29300000</v>
      </c>
      <c r="C21" s="3" t="s">
        <v>13</v>
      </c>
      <c r="D21" s="3" t="s">
        <v>36</v>
      </c>
    </row>
    <row r="22" customFormat="false" ht="15" hidden="false" customHeight="false" outlineLevel="0" collapsed="false">
      <c r="A22" s="2" t="s">
        <v>37</v>
      </c>
      <c r="B22" s="4" t="n">
        <v>45000000</v>
      </c>
      <c r="C22" s="3" t="s">
        <v>13</v>
      </c>
      <c r="D22" s="3" t="s">
        <v>27</v>
      </c>
    </row>
    <row r="23" customFormat="false" ht="15" hidden="false" customHeight="false" outlineLevel="0" collapsed="false">
      <c r="A23" s="2" t="s">
        <v>38</v>
      </c>
      <c r="B23" s="4" t="n">
        <v>250000000</v>
      </c>
      <c r="C23" s="3" t="s">
        <v>13</v>
      </c>
      <c r="D23" s="3" t="s">
        <v>29</v>
      </c>
    </row>
    <row r="24" customFormat="false" ht="15" hidden="false" customHeight="false" outlineLevel="0" collapsed="false">
      <c r="A24" s="2" t="s">
        <v>39</v>
      </c>
      <c r="B24" s="4" t="n">
        <v>295000000</v>
      </c>
      <c r="C24" s="3" t="s">
        <v>13</v>
      </c>
      <c r="D24" s="3" t="s">
        <v>31</v>
      </c>
    </row>
    <row r="25" customFormat="false" ht="15" hidden="false" customHeight="false" outlineLevel="0" collapsed="false">
      <c r="A25" s="2" t="s">
        <v>40</v>
      </c>
      <c r="B25" s="4" t="n">
        <v>105000000</v>
      </c>
      <c r="C25" s="3" t="s">
        <v>13</v>
      </c>
      <c r="D25" s="3" t="s">
        <v>36</v>
      </c>
    </row>
    <row r="26" customFormat="false" ht="15" hidden="false" customHeight="false" outlineLevel="0" collapsed="false">
      <c r="A26" s="2" t="s">
        <v>41</v>
      </c>
      <c r="B26" s="4" t="n">
        <v>101300000</v>
      </c>
      <c r="C26" s="3" t="s">
        <v>13</v>
      </c>
      <c r="D26" s="3" t="s">
        <v>42</v>
      </c>
    </row>
    <row r="27" customFormat="false" ht="15" hidden="false" customHeight="false" outlineLevel="0" collapsed="false">
      <c r="A27" s="2" t="s">
        <v>43</v>
      </c>
      <c r="B27" s="4" t="n">
        <v>134300000</v>
      </c>
      <c r="C27" s="3" t="s">
        <v>13</v>
      </c>
      <c r="D27" s="3" t="s">
        <v>44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5" t="s">
        <v>45</v>
      </c>
    </row>
    <row r="30" customFormat="false" ht="15" hidden="false" customHeight="false" outlineLevel="0" collapsed="false">
      <c r="A30" s="2" t="s">
        <v>46</v>
      </c>
      <c r="B30" s="4" t="n">
        <v>2300000000</v>
      </c>
      <c r="C30" s="3" t="s">
        <v>13</v>
      </c>
      <c r="D30" s="3" t="s">
        <v>47</v>
      </c>
    </row>
    <row r="31" customFormat="false" ht="15" hidden="false" customHeight="false" outlineLevel="0" collapsed="false">
      <c r="A31" s="2" t="s">
        <v>48</v>
      </c>
      <c r="B31" s="4" t="n">
        <v>222000000</v>
      </c>
      <c r="C31" s="3" t="s">
        <v>13</v>
      </c>
      <c r="D31" s="3" t="s">
        <v>49</v>
      </c>
    </row>
    <row r="32" customFormat="false" ht="15" hidden="false" customHeight="false" outlineLevel="0" collapsed="false">
      <c r="A32" s="2" t="s">
        <v>50</v>
      </c>
      <c r="B32" s="3" t="s">
        <v>51</v>
      </c>
      <c r="D32" s="3" t="s">
        <v>52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5" t="s">
        <v>53</v>
      </c>
    </row>
    <row r="35" customFormat="false" ht="15" hidden="false" customHeight="false" outlineLevel="0" collapsed="false">
      <c r="A35" s="2" t="s">
        <v>54</v>
      </c>
      <c r="B35" s="4" t="n">
        <v>10000000</v>
      </c>
      <c r="C35" s="3" t="s">
        <v>13</v>
      </c>
      <c r="D35" s="3" t="s">
        <v>55</v>
      </c>
    </row>
    <row r="36" customFormat="false" ht="15" hidden="false" customHeight="false" outlineLevel="0" collapsed="false">
      <c r="A36" s="2" t="s">
        <v>56</v>
      </c>
      <c r="B36" s="4" t="n">
        <v>3000</v>
      </c>
      <c r="C36" s="3" t="s">
        <v>13</v>
      </c>
      <c r="D36" s="3" t="s">
        <v>57</v>
      </c>
    </row>
    <row r="37" customFormat="false" ht="15" hidden="false" customHeight="false" outlineLevel="0" collapsed="false">
      <c r="A37" s="2" t="s">
        <v>58</v>
      </c>
      <c r="B37" s="6" t="n">
        <v>8760</v>
      </c>
      <c r="C37" s="3" t="s">
        <v>59</v>
      </c>
      <c r="D37" s="3" t="s">
        <v>60</v>
      </c>
    </row>
    <row r="38" customFormat="false" ht="15" hidden="false" customHeight="false" outlineLevel="0" collapsed="false">
      <c r="A38" s="2" t="s">
        <v>61</v>
      </c>
      <c r="B38" s="6" t="n">
        <v>0.13</v>
      </c>
      <c r="C38" s="3" t="s">
        <v>62</v>
      </c>
      <c r="D38" s="3" t="s">
        <v>63</v>
      </c>
    </row>
    <row r="39" customFormat="false" ht="15" hidden="false" customHeight="false" outlineLevel="0" collapsed="false">
      <c r="A39" s="2" t="s">
        <v>64</v>
      </c>
      <c r="B39" s="6" t="n">
        <v>0.08</v>
      </c>
      <c r="C39" s="3" t="s">
        <v>62</v>
      </c>
      <c r="D39" s="3" t="s">
        <v>65</v>
      </c>
    </row>
    <row r="40" customFormat="false" ht="15" hidden="false" customHeight="false" outlineLevel="0" collapsed="false">
      <c r="A40" s="2" t="s">
        <v>66</v>
      </c>
      <c r="B40" s="6" t="n">
        <v>4</v>
      </c>
      <c r="C40" s="3" t="s">
        <v>67</v>
      </c>
      <c r="D40" s="3" t="s">
        <v>68</v>
      </c>
    </row>
    <row r="41" customFormat="false" ht="15" hidden="false" customHeight="false" outlineLevel="0" collapsed="false">
      <c r="A41" s="2" t="s">
        <v>69</v>
      </c>
      <c r="B41" s="4" t="n">
        <v>5200000</v>
      </c>
      <c r="C41" s="3" t="s">
        <v>70</v>
      </c>
      <c r="D41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E00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7" t="s">
        <v>72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8" t="s">
        <v>73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74</v>
      </c>
      <c r="B4" s="9"/>
      <c r="C4" s="9"/>
      <c r="D4" s="9"/>
      <c r="E4" s="9"/>
      <c r="F4" s="9"/>
      <c r="G4" s="9"/>
      <c r="H4" s="9"/>
    </row>
    <row r="5" customFormat="false" ht="34.5" hidden="false" customHeight="true" outlineLevel="0" collapsed="false">
      <c r="A5" s="1" t="s">
        <v>75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</row>
    <row r="6" customFormat="false" ht="15" hidden="false" customHeight="false" outlineLevel="0" collapsed="false">
      <c r="A6" s="10" t="s">
        <v>83</v>
      </c>
      <c r="B6" s="10" t="s">
        <v>84</v>
      </c>
      <c r="C6" s="11" t="n">
        <v>0.5625</v>
      </c>
      <c r="D6" s="11" t="n">
        <v>0.4688</v>
      </c>
      <c r="E6" s="11" t="n">
        <v>0.336</v>
      </c>
      <c r="F6" s="11" t="n">
        <v>0.2846</v>
      </c>
      <c r="G6" s="12" t="n">
        <f aca="false">F6-C6</f>
        <v>-0.2779</v>
      </c>
      <c r="H6" s="13" t="n">
        <v>654</v>
      </c>
    </row>
    <row r="7" customFormat="false" ht="15" hidden="false" customHeight="false" outlineLevel="0" collapsed="false">
      <c r="A7" s="10" t="s">
        <v>85</v>
      </c>
      <c r="B7" s="10" t="s">
        <v>86</v>
      </c>
      <c r="C7" s="11" t="n">
        <v>0.3375</v>
      </c>
      <c r="D7" s="11" t="n">
        <v>0.2813</v>
      </c>
      <c r="E7" s="11" t="n">
        <v>0.2016</v>
      </c>
      <c r="F7" s="11" t="n">
        <v>0.1708</v>
      </c>
      <c r="G7" s="12" t="n">
        <f aca="false">F7-C7</f>
        <v>-0.1667</v>
      </c>
      <c r="H7" s="13" t="n">
        <v>393</v>
      </c>
    </row>
    <row r="8" customFormat="false" ht="15" hidden="false" customHeight="false" outlineLevel="0" collapsed="false">
      <c r="A8" s="10" t="s">
        <v>87</v>
      </c>
      <c r="B8" s="10" t="s">
        <v>88</v>
      </c>
      <c r="C8" s="11" t="n">
        <v>0.1</v>
      </c>
      <c r="D8" s="11" t="n">
        <v>0.0833</v>
      </c>
      <c r="E8" s="11" t="n">
        <v>0.0597</v>
      </c>
      <c r="F8" s="11" t="n">
        <v>0.0506</v>
      </c>
      <c r="G8" s="12" t="n">
        <f aca="false">F8-C8</f>
        <v>-0.0494</v>
      </c>
      <c r="H8" s="13" t="n">
        <v>116</v>
      </c>
    </row>
    <row r="9" customFormat="false" ht="15" hidden="false" customHeight="false" outlineLevel="0" collapsed="false">
      <c r="A9" s="14" t="s">
        <v>89</v>
      </c>
      <c r="B9" s="15"/>
      <c r="C9" s="16" t="n">
        <f aca="false">SUM(C6:C8)</f>
        <v>1</v>
      </c>
      <c r="D9" s="16" t="n">
        <f aca="false">SUM(D6:D8)</f>
        <v>0.8334</v>
      </c>
      <c r="E9" s="16" t="n">
        <f aca="false">SUM(E6:E8)</f>
        <v>0.5973</v>
      </c>
      <c r="F9" s="16" t="n">
        <f aca="false">SUM(F6:F8)</f>
        <v>0.506</v>
      </c>
      <c r="G9" s="16" t="n">
        <f aca="false">F9-C9</f>
        <v>-0.494</v>
      </c>
      <c r="H9" s="17" t="n">
        <f aca="false">SUM(H6:H8)</f>
        <v>1163</v>
      </c>
    </row>
    <row r="10" customFormat="false" ht="15" hidden="false" customHeight="false" outlineLevel="0" collapsed="false">
      <c r="A10" s="10"/>
      <c r="B10" s="10"/>
      <c r="C10" s="18"/>
      <c r="D10" s="18"/>
      <c r="E10" s="18"/>
      <c r="F10" s="18"/>
      <c r="G10" s="18"/>
      <c r="H10" s="13"/>
    </row>
    <row r="11" customFormat="false" ht="15" hidden="false" customHeight="false" outlineLevel="0" collapsed="false">
      <c r="A11" s="10" t="s">
        <v>90</v>
      </c>
      <c r="B11" s="10" t="s">
        <v>91</v>
      </c>
      <c r="C11" s="18"/>
      <c r="D11" s="11" t="n">
        <v>0.1667</v>
      </c>
      <c r="E11" s="11" t="n">
        <v>0.1195</v>
      </c>
      <c r="F11" s="11" t="n">
        <v>0.1012</v>
      </c>
      <c r="G11" s="18"/>
      <c r="H11" s="13" t="n">
        <v>233</v>
      </c>
    </row>
    <row r="12" customFormat="false" ht="15" hidden="false" customHeight="false" outlineLevel="0" collapsed="false">
      <c r="A12" s="10" t="s">
        <v>92</v>
      </c>
      <c r="B12" s="10" t="s">
        <v>91</v>
      </c>
      <c r="C12" s="18"/>
      <c r="D12" s="18"/>
      <c r="E12" s="11" t="n">
        <v>0.283</v>
      </c>
      <c r="F12" s="11" t="n">
        <v>0.2398</v>
      </c>
      <c r="G12" s="18"/>
      <c r="H12" s="13" t="n">
        <v>552</v>
      </c>
    </row>
    <row r="13" customFormat="false" ht="15" hidden="false" customHeight="false" outlineLevel="0" collapsed="false">
      <c r="A13" s="10" t="s">
        <v>93</v>
      </c>
      <c r="B13" s="10" t="s">
        <v>91</v>
      </c>
      <c r="C13" s="18"/>
      <c r="D13" s="18"/>
      <c r="E13" s="18"/>
      <c r="F13" s="11" t="n">
        <v>0.1525</v>
      </c>
      <c r="G13" s="18"/>
      <c r="H13" s="13" t="n">
        <v>351</v>
      </c>
    </row>
    <row r="14" customFormat="false" ht="15" hidden="false" customHeight="false" outlineLevel="0" collapsed="false">
      <c r="A14" s="14" t="s">
        <v>94</v>
      </c>
      <c r="B14" s="15"/>
      <c r="C14" s="16" t="n">
        <f aca="false">SUM(C11:C13)</f>
        <v>0</v>
      </c>
      <c r="D14" s="16" t="n">
        <f aca="false">SUM(D11:D13)</f>
        <v>0.1667</v>
      </c>
      <c r="E14" s="16" t="n">
        <f aca="false">SUM(E11:E13)</f>
        <v>0.4025</v>
      </c>
      <c r="F14" s="16" t="n">
        <f aca="false">SUM(F11:F13)</f>
        <v>0.4935</v>
      </c>
      <c r="G14" s="19"/>
      <c r="H14" s="17" t="n">
        <f aca="false">SUM(H11:H13)</f>
        <v>1136</v>
      </c>
    </row>
    <row r="15" customFormat="false" ht="15" hidden="false" customHeight="false" outlineLevel="0" collapsed="false">
      <c r="A15" s="10"/>
      <c r="B15" s="10"/>
      <c r="C15" s="18"/>
      <c r="D15" s="18"/>
      <c r="E15" s="18"/>
      <c r="F15" s="18"/>
      <c r="G15" s="18"/>
      <c r="H15" s="13"/>
    </row>
    <row r="16" customFormat="false" ht="15" hidden="false" customHeight="false" outlineLevel="0" collapsed="false">
      <c r="A16" s="20" t="s">
        <v>95</v>
      </c>
      <c r="B16" s="10"/>
      <c r="C16" s="21" t="n">
        <f aca="false">C9+C14</f>
        <v>1</v>
      </c>
      <c r="D16" s="21" t="n">
        <f aca="false">D9+D14</f>
        <v>1.0001</v>
      </c>
      <c r="E16" s="21" t="n">
        <f aca="false">E9+E14</f>
        <v>0.9998</v>
      </c>
      <c r="F16" s="21" t="n">
        <f aca="false">F9+F14</f>
        <v>0.9995</v>
      </c>
      <c r="G16" s="18"/>
      <c r="H16" s="22" t="n">
        <f aca="false">H9+H14</f>
        <v>2299</v>
      </c>
    </row>
    <row r="17" customFormat="false" ht="15" hidden="false" customHeight="false" outlineLevel="0" collapsed="false">
      <c r="A17" s="10"/>
      <c r="B17" s="10"/>
      <c r="C17" s="18"/>
      <c r="D17" s="18"/>
      <c r="E17" s="18"/>
      <c r="F17" s="18"/>
      <c r="G17" s="18"/>
      <c r="H17" s="18"/>
    </row>
    <row r="18" customFormat="false" ht="15" hidden="false" customHeight="false" outlineLevel="0" collapsed="false">
      <c r="A18" s="23" t="s">
        <v>96</v>
      </c>
      <c r="B18" s="23"/>
      <c r="C18" s="23"/>
      <c r="D18" s="23"/>
      <c r="E18" s="23"/>
      <c r="F18" s="23"/>
      <c r="G18" s="23"/>
      <c r="H18" s="23"/>
    </row>
    <row r="19" customFormat="false" ht="15" hidden="false" customHeight="false" outlineLevel="0" collapsed="false">
      <c r="A19" s="24" t="s">
        <v>0</v>
      </c>
      <c r="B19" s="24"/>
      <c r="C19" s="25" t="s">
        <v>97</v>
      </c>
      <c r="D19" s="25" t="s">
        <v>98</v>
      </c>
      <c r="E19" s="25" t="s">
        <v>99</v>
      </c>
      <c r="F19" s="25" t="s">
        <v>100</v>
      </c>
      <c r="G19" s="25"/>
      <c r="H19" s="25"/>
    </row>
    <row r="20" customFormat="false" ht="15" hidden="false" customHeight="false" outlineLevel="0" collapsed="false">
      <c r="A20" s="26" t="s">
        <v>101</v>
      </c>
      <c r="B20" s="10"/>
      <c r="C20" s="27" t="n">
        <v>5</v>
      </c>
      <c r="D20" s="27" t="n">
        <v>51.3</v>
      </c>
      <c r="E20" s="27" t="n">
        <v>45</v>
      </c>
      <c r="F20" s="18" t="n">
        <f aca="false">C20+D20+E20</f>
        <v>101.3</v>
      </c>
      <c r="G20" s="18"/>
      <c r="H20" s="18"/>
    </row>
    <row r="21" customFormat="false" ht="15" hidden="false" customHeight="false" outlineLevel="0" collapsed="false">
      <c r="A21" s="26" t="s">
        <v>102</v>
      </c>
      <c r="B21" s="10"/>
      <c r="C21" s="18" t="n">
        <v>0</v>
      </c>
      <c r="D21" s="27" t="n">
        <v>29.3</v>
      </c>
      <c r="E21" s="27" t="n">
        <v>105</v>
      </c>
      <c r="F21" s="18" t="n">
        <f aca="false">C21+D21+E21</f>
        <v>134.3</v>
      </c>
      <c r="G21" s="18"/>
      <c r="H21" s="18"/>
    </row>
    <row r="22" customFormat="false" ht="15" hidden="false" customHeight="false" outlineLevel="0" collapsed="false">
      <c r="A22" s="26" t="s">
        <v>103</v>
      </c>
      <c r="B22" s="10"/>
      <c r="C22" s="27" t="n">
        <v>5</v>
      </c>
      <c r="D22" s="27" t="n">
        <v>80.6</v>
      </c>
      <c r="E22" s="27" t="n">
        <v>150</v>
      </c>
      <c r="F22" s="18" t="n">
        <f aca="false">C22+D22+E22</f>
        <v>235.6</v>
      </c>
      <c r="G22" s="18"/>
      <c r="H22" s="18"/>
    </row>
    <row r="23" customFormat="false" ht="15" hidden="false" customHeight="false" outlineLevel="0" collapsed="false">
      <c r="A23" s="26" t="s">
        <v>104</v>
      </c>
      <c r="B23" s="10"/>
      <c r="C23" s="27" t="n">
        <v>25</v>
      </c>
      <c r="D23" s="27" t="n">
        <v>130</v>
      </c>
      <c r="E23" s="27" t="n">
        <v>250</v>
      </c>
      <c r="F23" s="18"/>
      <c r="G23" s="18"/>
      <c r="H23" s="18"/>
    </row>
    <row r="24" customFormat="false" ht="15" hidden="false" customHeight="false" outlineLevel="0" collapsed="false">
      <c r="A24" s="26" t="s">
        <v>105</v>
      </c>
      <c r="B24" s="10"/>
      <c r="C24" s="27" t="n">
        <v>30</v>
      </c>
      <c r="D24" s="27" t="n">
        <v>181.3</v>
      </c>
      <c r="E24" s="27" t="n">
        <v>295</v>
      </c>
      <c r="F24" s="18"/>
      <c r="G24" s="18"/>
      <c r="H24" s="18"/>
    </row>
    <row r="25" customFormat="false" ht="15" hidden="false" customHeight="false" outlineLevel="0" collapsed="false">
      <c r="A25" s="26" t="s">
        <v>106</v>
      </c>
      <c r="B25" s="10"/>
      <c r="C25" s="28" t="n">
        <v>0.1667</v>
      </c>
      <c r="D25" s="28" t="n">
        <v>0.283</v>
      </c>
      <c r="E25" s="28" t="n">
        <v>0.1525</v>
      </c>
      <c r="F25" s="18"/>
      <c r="G25" s="18"/>
      <c r="H25" s="18"/>
    </row>
    <row r="26" customFormat="false" ht="15" hidden="false" customHeight="false" outlineLevel="0" collapsed="false">
      <c r="A26" s="26" t="s">
        <v>107</v>
      </c>
      <c r="B26" s="10"/>
      <c r="C26" s="28" t="n">
        <v>0.1667</v>
      </c>
      <c r="D26" s="18"/>
      <c r="E26" s="18"/>
      <c r="F26" s="28" t="n">
        <v>0.494</v>
      </c>
      <c r="G26" s="18"/>
      <c r="H26" s="18"/>
    </row>
    <row r="27" customFormat="false" ht="15" hidden="false" customHeight="false" outlineLevel="0" collapsed="false">
      <c r="A27" s="26" t="s">
        <v>108</v>
      </c>
      <c r="B27" s="10"/>
      <c r="C27" s="29" t="n">
        <f aca="false">C24/Assumptions!B6</f>
        <v>3E-005</v>
      </c>
      <c r="D27" s="29" t="n">
        <f aca="false">D24/Assumptions!B6</f>
        <v>0.0001813</v>
      </c>
      <c r="E27" s="29" t="n">
        <f aca="false">E24/Assumptions!B6</f>
        <v>0.000295</v>
      </c>
      <c r="F27" s="18"/>
      <c r="G27" s="18"/>
      <c r="H27" s="18"/>
    </row>
    <row r="28" customFormat="false" ht="15" hidden="false" customHeight="false" outlineLevel="0" collapsed="false">
      <c r="A28" s="26" t="s">
        <v>109</v>
      </c>
      <c r="B28" s="10"/>
      <c r="C28" s="18" t="s">
        <v>110</v>
      </c>
      <c r="D28" s="18" t="s">
        <v>111</v>
      </c>
      <c r="E28" s="18" t="s">
        <v>112</v>
      </c>
      <c r="F28" s="18" t="s">
        <v>113</v>
      </c>
      <c r="G28" s="18"/>
      <c r="H28" s="18"/>
    </row>
    <row r="29" customFormat="false" ht="15" hidden="false" customHeight="false" outlineLevel="0" collapsed="false">
      <c r="A29" s="26" t="s">
        <v>114</v>
      </c>
      <c r="B29" s="10"/>
      <c r="C29" s="18" t="s">
        <v>115</v>
      </c>
      <c r="D29" s="18" t="s">
        <v>116</v>
      </c>
      <c r="E29" s="18" t="s">
        <v>117</v>
      </c>
      <c r="F29" s="18"/>
      <c r="G29" s="18"/>
      <c r="H29" s="18"/>
    </row>
    <row r="30" customFormat="false" ht="15" hidden="false" customHeight="false" outlineLevel="0" collapsed="false">
      <c r="A30" s="30" t="s">
        <v>118</v>
      </c>
      <c r="B30" s="10"/>
      <c r="C30" s="18" t="s">
        <v>119</v>
      </c>
      <c r="D30" s="18" t="s">
        <v>120</v>
      </c>
      <c r="E30" s="18" t="s">
        <v>121</v>
      </c>
      <c r="F30" s="18"/>
      <c r="G30" s="18"/>
      <c r="H30" s="18"/>
    </row>
  </sheetData>
  <mergeCells count="4">
    <mergeCell ref="A1:H1"/>
    <mergeCell ref="A2:H2"/>
    <mergeCell ref="A4:H4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E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7" t="s">
        <v>122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123</v>
      </c>
      <c r="B2" s="8"/>
      <c r="C2" s="8"/>
      <c r="D2" s="8"/>
      <c r="E2" s="8"/>
      <c r="F2" s="8"/>
      <c r="G2" s="8"/>
    </row>
    <row r="4" customFormat="false" ht="34.5" hidden="false" customHeight="true" outlineLevel="0" collapsed="false">
      <c r="A4" s="1" t="s">
        <v>124</v>
      </c>
      <c r="B4" s="1" t="s">
        <v>125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130</v>
      </c>
    </row>
    <row r="5" customFormat="false" ht="15" hidden="false" customHeight="false" outlineLevel="0" collapsed="false">
      <c r="A5" s="0" t="s">
        <v>131</v>
      </c>
      <c r="B5" s="31" t="n">
        <v>0.5625</v>
      </c>
      <c r="C5" s="31" t="n">
        <v>-0.0937</v>
      </c>
      <c r="D5" s="31" t="n">
        <v>-0.1328</v>
      </c>
      <c r="E5" s="31" t="n">
        <v>-0.0514</v>
      </c>
      <c r="F5" s="31" t="n">
        <v>-0.2779</v>
      </c>
      <c r="G5" s="31" t="n">
        <v>0.2846</v>
      </c>
    </row>
    <row r="6" customFormat="false" ht="15" hidden="false" customHeight="false" outlineLevel="0" collapsed="false">
      <c r="A6" s="0" t="s">
        <v>132</v>
      </c>
      <c r="B6" s="31" t="n">
        <v>0.3375</v>
      </c>
      <c r="C6" s="31" t="n">
        <v>-0.0562</v>
      </c>
      <c r="D6" s="31" t="n">
        <v>-0.0797</v>
      </c>
      <c r="E6" s="31" t="n">
        <v>-0.0308</v>
      </c>
      <c r="F6" s="31" t="n">
        <v>-0.1667</v>
      </c>
      <c r="G6" s="31" t="n">
        <v>0.1708</v>
      </c>
    </row>
    <row r="7" customFormat="false" ht="15" hidden="false" customHeight="false" outlineLevel="0" collapsed="false">
      <c r="A7" s="0" t="s">
        <v>133</v>
      </c>
      <c r="B7" s="31" t="n">
        <v>0.1</v>
      </c>
      <c r="C7" s="31" t="n">
        <v>-0.0167</v>
      </c>
      <c r="D7" s="31" t="n">
        <v>-0.0236</v>
      </c>
      <c r="E7" s="31" t="n">
        <v>-0.0091</v>
      </c>
      <c r="F7" s="31" t="n">
        <v>-0.0494</v>
      </c>
      <c r="G7" s="31" t="n">
        <v>0.0506</v>
      </c>
    </row>
    <row r="8" customFormat="false" ht="15" hidden="false" customHeight="false" outlineLevel="0" collapsed="false">
      <c r="A8" s="32" t="s">
        <v>89</v>
      </c>
      <c r="B8" s="33" t="n">
        <v>1</v>
      </c>
      <c r="C8" s="33" t="n">
        <f aca="false">SUM(C5:C7)</f>
        <v>-0.1666</v>
      </c>
      <c r="D8" s="33" t="n">
        <f aca="false">SUM(D5:D7)</f>
        <v>-0.2361</v>
      </c>
      <c r="E8" s="33" t="n">
        <f aca="false">SUM(E5:E7)</f>
        <v>-0.0913</v>
      </c>
      <c r="F8" s="33" t="n">
        <f aca="false">SUM(F5:F7)</f>
        <v>-0.494</v>
      </c>
      <c r="G8" s="33" t="n">
        <f aca="false">SUM(G5:G7)</f>
        <v>0.506</v>
      </c>
    </row>
    <row r="10" customFormat="false" ht="15" hidden="false" customHeight="false" outlineLevel="0" collapsed="false">
      <c r="A10" s="5" t="s">
        <v>134</v>
      </c>
    </row>
    <row r="11" customFormat="false" ht="15" hidden="false" customHeight="false" outlineLevel="0" collapsed="false">
      <c r="A11" s="0" t="s">
        <v>135</v>
      </c>
      <c r="B11" s="0" t="s">
        <v>136</v>
      </c>
      <c r="E11" s="34" t="s">
        <v>137</v>
      </c>
    </row>
    <row r="12" customFormat="false" ht="15" hidden="false" customHeight="false" outlineLevel="0" collapsed="false">
      <c r="A12" s="0" t="s">
        <v>138</v>
      </c>
      <c r="B12" s="0" t="s">
        <v>139</v>
      </c>
      <c r="E12" s="34" t="s">
        <v>140</v>
      </c>
    </row>
    <row r="13" customFormat="false" ht="15" hidden="false" customHeight="false" outlineLevel="0" collapsed="false">
      <c r="A13" s="0" t="s">
        <v>141</v>
      </c>
      <c r="B13" s="0" t="s">
        <v>142</v>
      </c>
      <c r="E13" s="34" t="s">
        <v>143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3E00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7" t="s">
        <v>144</v>
      </c>
      <c r="B1" s="7"/>
      <c r="C1" s="7"/>
      <c r="D1" s="7"/>
      <c r="E1" s="7"/>
    </row>
    <row r="2" customFormat="false" ht="15" hidden="false" customHeight="false" outlineLevel="0" collapsed="false">
      <c r="A2" s="8" t="s">
        <v>145</v>
      </c>
      <c r="B2" s="8"/>
      <c r="C2" s="8"/>
      <c r="D2" s="8"/>
      <c r="E2" s="8"/>
    </row>
    <row r="4" customFormat="false" ht="34.5" hidden="false" customHeight="true" outlineLevel="0" collapsed="false">
      <c r="A4" s="1" t="s">
        <v>75</v>
      </c>
      <c r="B4" s="1" t="s">
        <v>146</v>
      </c>
      <c r="C4" s="1" t="s">
        <v>147</v>
      </c>
      <c r="D4" s="1" t="s">
        <v>82</v>
      </c>
      <c r="E4" s="1" t="s">
        <v>148</v>
      </c>
    </row>
    <row r="5" customFormat="false" ht="15" hidden="false" customHeight="false" outlineLevel="0" collapsed="false">
      <c r="A5" s="0" t="s">
        <v>149</v>
      </c>
      <c r="B5" s="35" t="n">
        <v>0.2846</v>
      </c>
      <c r="D5" s="36" t="n">
        <v>654</v>
      </c>
    </row>
    <row r="6" customFormat="false" ht="15" hidden="false" customHeight="false" outlineLevel="0" collapsed="false">
      <c r="A6" s="0" t="s">
        <v>150</v>
      </c>
      <c r="B6" s="35" t="n">
        <v>0.1708</v>
      </c>
      <c r="D6" s="36" t="n">
        <v>393</v>
      </c>
    </row>
    <row r="7" customFormat="false" ht="15" hidden="false" customHeight="false" outlineLevel="0" collapsed="false">
      <c r="A7" s="0" t="s">
        <v>151</v>
      </c>
      <c r="B7" s="35" t="n">
        <v>0.0506</v>
      </c>
      <c r="D7" s="36" t="n">
        <v>116</v>
      </c>
    </row>
    <row r="8" customFormat="false" ht="15" hidden="false" customHeight="false" outlineLevel="0" collapsed="false">
      <c r="A8" s="32" t="s">
        <v>152</v>
      </c>
      <c r="B8" s="37" t="n">
        <v>0.506</v>
      </c>
      <c r="C8" s="32"/>
      <c r="D8" s="38" t="n">
        <v>1164</v>
      </c>
      <c r="E8" s="32" t="s">
        <v>153</v>
      </c>
    </row>
    <row r="10" customFormat="false" ht="15" hidden="false" customHeight="false" outlineLevel="0" collapsed="false">
      <c r="A10" s="0" t="s">
        <v>90</v>
      </c>
      <c r="B10" s="35" t="n">
        <v>0.1012</v>
      </c>
      <c r="C10" s="39" t="n">
        <v>5</v>
      </c>
      <c r="D10" s="36" t="n">
        <v>233</v>
      </c>
      <c r="E10" s="3" t="s">
        <v>115</v>
      </c>
    </row>
    <row r="11" customFormat="false" ht="15" hidden="false" customHeight="false" outlineLevel="0" collapsed="false">
      <c r="A11" s="0" t="s">
        <v>92</v>
      </c>
      <c r="B11" s="35" t="n">
        <v>0.2398</v>
      </c>
      <c r="C11" s="39" t="n">
        <v>51.3</v>
      </c>
      <c r="D11" s="36" t="n">
        <v>552</v>
      </c>
      <c r="E11" s="3" t="s">
        <v>116</v>
      </c>
    </row>
    <row r="12" customFormat="false" ht="15" hidden="false" customHeight="false" outlineLevel="0" collapsed="false">
      <c r="A12" s="0" t="s">
        <v>93</v>
      </c>
      <c r="B12" s="35" t="n">
        <v>0.1525</v>
      </c>
      <c r="C12" s="39" t="n">
        <v>45</v>
      </c>
      <c r="D12" s="36" t="n">
        <v>351</v>
      </c>
      <c r="E12" s="3" t="s">
        <v>117</v>
      </c>
    </row>
    <row r="13" customFormat="false" ht="15" hidden="false" customHeight="false" outlineLevel="0" collapsed="false">
      <c r="A13" s="32" t="s">
        <v>154</v>
      </c>
      <c r="B13" s="37" t="n">
        <v>0.494</v>
      </c>
      <c r="C13" s="40" t="n">
        <v>101.3</v>
      </c>
      <c r="D13" s="38" t="n">
        <v>1136</v>
      </c>
      <c r="E13" s="32" t="s">
        <v>155</v>
      </c>
    </row>
    <row r="15" customFormat="false" ht="15" hidden="false" customHeight="false" outlineLevel="0" collapsed="false">
      <c r="A15" s="41" t="s">
        <v>95</v>
      </c>
      <c r="B15" s="37" t="n">
        <v>1</v>
      </c>
      <c r="C15" s="40" t="n">
        <v>101.3</v>
      </c>
      <c r="D15" s="38" t="n">
        <v>2300</v>
      </c>
      <c r="E15" s="32"/>
    </row>
    <row r="17" customFormat="false" ht="15" hidden="false" customHeight="false" outlineLevel="0" collapsed="false">
      <c r="A17" s="5" t="s">
        <v>156</v>
      </c>
    </row>
    <row r="18" customFormat="false" ht="15" hidden="false" customHeight="false" outlineLevel="0" collapsed="false">
      <c r="A18" s="25"/>
      <c r="B18" s="25" t="s">
        <v>157</v>
      </c>
      <c r="C18" s="25" t="s">
        <v>158</v>
      </c>
      <c r="D18" s="25" t="s">
        <v>159</v>
      </c>
      <c r="E18" s="25" t="s">
        <v>160</v>
      </c>
    </row>
    <row r="19" customFormat="false" ht="15" hidden="false" customHeight="false" outlineLevel="0" collapsed="false">
      <c r="A19" s="2" t="s">
        <v>161</v>
      </c>
      <c r="B19" s="36" t="n">
        <v>1776</v>
      </c>
      <c r="C19" s="36" t="n">
        <v>2220</v>
      </c>
      <c r="D19" s="36" t="n">
        <v>2442</v>
      </c>
      <c r="E19" s="36" t="n">
        <v>2886</v>
      </c>
    </row>
    <row r="20" customFormat="false" ht="15" hidden="false" customHeight="false" outlineLevel="0" collapsed="false">
      <c r="A20" s="2" t="s">
        <v>162</v>
      </c>
      <c r="B20" s="3" t="s">
        <v>163</v>
      </c>
      <c r="C20" s="3" t="s">
        <v>164</v>
      </c>
      <c r="D20" s="3" t="s">
        <v>165</v>
      </c>
      <c r="E20" s="3" t="s">
        <v>166</v>
      </c>
    </row>
    <row r="21" customFormat="false" ht="15" hidden="false" customHeight="false" outlineLevel="0" collapsed="false">
      <c r="A21" s="2" t="s">
        <v>167</v>
      </c>
      <c r="B21" s="3" t="s">
        <v>168</v>
      </c>
      <c r="C21" s="3" t="s">
        <v>169</v>
      </c>
      <c r="D21" s="3" t="s">
        <v>170</v>
      </c>
      <c r="E21" s="3" t="s">
        <v>171</v>
      </c>
    </row>
    <row r="22" customFormat="false" ht="15" hidden="false" customHeight="false" outlineLevel="0" collapsed="false">
      <c r="A22" s="2" t="s">
        <v>172</v>
      </c>
      <c r="B22" s="3" t="s">
        <v>173</v>
      </c>
      <c r="C22" s="3" t="s">
        <v>174</v>
      </c>
      <c r="D22" s="3" t="s">
        <v>168</v>
      </c>
      <c r="E22" s="3" t="s">
        <v>175</v>
      </c>
    </row>
    <row r="23" customFormat="false" ht="15" hidden="false" customHeight="false" outlineLevel="0" collapsed="false">
      <c r="A23" s="2" t="s">
        <v>176</v>
      </c>
      <c r="B23" s="36" t="n">
        <v>899</v>
      </c>
      <c r="C23" s="36" t="n">
        <v>1123</v>
      </c>
      <c r="D23" s="36" t="n">
        <v>1236</v>
      </c>
      <c r="E23" s="36" t="n">
        <v>1460</v>
      </c>
    </row>
    <row r="25" customFormat="false" ht="15" hidden="false" customHeight="false" outlineLevel="0" collapsed="false">
      <c r="A25" s="42" t="s">
        <v>177</v>
      </c>
    </row>
    <row r="26" customFormat="false" ht="15" hidden="false" customHeight="false" outlineLevel="0" collapsed="false">
      <c r="A26" s="43" t="s">
        <v>178</v>
      </c>
    </row>
    <row r="27" customFormat="false" ht="15" hidden="false" customHeight="false" outlineLevel="0" collapsed="false">
      <c r="A27" s="44" t="s">
        <v>179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45" t="s">
        <v>180</v>
      </c>
      <c r="B1" s="45"/>
      <c r="C1" s="45"/>
      <c r="D1" s="45"/>
    </row>
    <row r="3" customFormat="false" ht="15" hidden="false" customHeight="false" outlineLevel="0" collapsed="false">
      <c r="A3" s="46" t="s">
        <v>181</v>
      </c>
      <c r="B3" s="46" t="s">
        <v>182</v>
      </c>
      <c r="C3" s="46" t="s">
        <v>183</v>
      </c>
      <c r="D3" s="46" t="s">
        <v>184</v>
      </c>
    </row>
    <row r="4" customFormat="false" ht="15" hidden="false" customHeight="false" outlineLevel="0" collapsed="false">
      <c r="A4" s="0" t="s">
        <v>185</v>
      </c>
      <c r="B4" s="35" t="n">
        <v>0.506</v>
      </c>
      <c r="C4" s="35" t="n">
        <f aca="false">'Cap Table — All Rounds'!F9</f>
        <v>0.506</v>
      </c>
      <c r="D4" s="0" t="str">
        <f aca="false">IF(ABS(C4-B4)&lt;0.002,"✓ PASS","✗ FAIL")</f>
        <v>✓ PASS</v>
      </c>
    </row>
    <row r="5" customFormat="false" ht="15" hidden="false" customHeight="false" outlineLevel="0" collapsed="false">
      <c r="A5" s="0" t="s">
        <v>186</v>
      </c>
      <c r="B5" s="35" t="n">
        <v>0.494</v>
      </c>
      <c r="C5" s="35" t="n">
        <f aca="false">'Cap Table — All Rounds'!F14</f>
        <v>0.4935</v>
      </c>
      <c r="D5" s="0" t="str">
        <f aca="false">IF(ABS(C5-B5)&lt;0.002,"✓ PASS","✗ FAIL")</f>
        <v>✓ PASS</v>
      </c>
    </row>
    <row r="6" customFormat="false" ht="15" hidden="false" customHeight="false" outlineLevel="0" collapsed="false">
      <c r="A6" s="0" t="s">
        <v>187</v>
      </c>
      <c r="B6" s="0" t="n">
        <v>1</v>
      </c>
      <c r="C6" s="35" t="n">
        <f aca="false">'Cap Table — All Rounds'!F16</f>
        <v>0.9995</v>
      </c>
      <c r="D6" s="0" t="str">
        <f aca="false">IF(ABS(C6-1)&lt;0.002,"✓ PASS","✗ FAIL")</f>
        <v>✓ PASS</v>
      </c>
    </row>
    <row r="7" customFormat="false" ht="15" hidden="false" customHeight="false" outlineLevel="0" collapsed="false">
      <c r="A7" s="0" t="s">
        <v>188</v>
      </c>
      <c r="B7" s="35" t="n">
        <v>0.1667</v>
      </c>
      <c r="C7" s="35" t="n">
        <v>0.1667</v>
      </c>
      <c r="D7" s="0" t="str">
        <f aca="false">IF(ABS(C7-B7)&lt;0.001,"✓ PASS","✗ FAIL")</f>
        <v>✓ PASS</v>
      </c>
    </row>
    <row r="8" customFormat="false" ht="15" hidden="false" customHeight="false" outlineLevel="0" collapsed="false">
      <c r="A8" s="0" t="s">
        <v>189</v>
      </c>
      <c r="B8" s="35" t="n">
        <v>0.283</v>
      </c>
      <c r="C8" s="35" t="n">
        <v>0.283</v>
      </c>
      <c r="D8" s="0" t="str">
        <f aca="false">IF(ABS(C8-B8)&lt;0.001,"✓ PASS","✗ FAIL")</f>
        <v>✓ PASS</v>
      </c>
    </row>
    <row r="9" customFormat="false" ht="15" hidden="false" customHeight="false" outlineLevel="0" collapsed="false">
      <c r="A9" s="0" t="s">
        <v>190</v>
      </c>
      <c r="B9" s="35" t="n">
        <v>0.1525</v>
      </c>
      <c r="C9" s="35" t="n">
        <v>0.1525</v>
      </c>
      <c r="D9" s="0" t="str">
        <f aca="false">IF(ABS(C9-B9)&lt;0.001,"✓ PASS","✗ FAIL")</f>
        <v>✓ PASS</v>
      </c>
    </row>
    <row r="10" customFormat="false" ht="15" hidden="false" customHeight="false" outlineLevel="0" collapsed="false">
      <c r="A10" s="0" t="s">
        <v>191</v>
      </c>
      <c r="B10" s="0" t="n">
        <v>2300</v>
      </c>
      <c r="C10" s="36" t="n">
        <f aca="false">'Exit Distribution'!D15</f>
        <v>2300</v>
      </c>
      <c r="D10" s="0" t="str">
        <f aca="false">IF(C10=2300,"✓ PASS","✗ FAIL")</f>
        <v>✓ PASS</v>
      </c>
    </row>
    <row r="11" customFormat="false" ht="15" hidden="false" customHeight="false" outlineLevel="0" collapsed="false">
      <c r="A11" s="0" t="s">
        <v>192</v>
      </c>
      <c r="B11" s="0" t="n">
        <v>1164</v>
      </c>
      <c r="C11" s="36" t="n">
        <f aca="false">'Exit Distribution'!D8</f>
        <v>1164</v>
      </c>
      <c r="D11" s="0" t="str">
        <f aca="false">IF(ABS(C11-1164)&lt;2,"✓ PASS","✗ FAIL")</f>
        <v>✓ PASS</v>
      </c>
    </row>
    <row r="12" customFormat="false" ht="15" hidden="false" customHeight="false" outlineLevel="0" collapsed="false">
      <c r="A12" s="0" t="s">
        <v>193</v>
      </c>
      <c r="B12" s="0" t="n">
        <v>46.6</v>
      </c>
      <c r="C12" s="0" t="n">
        <f aca="false">233/5</f>
        <v>46.6</v>
      </c>
      <c r="D12" s="0" t="str">
        <f aca="false">IF(ABS(C12-B12)&lt;1,"✓ PASS","✗ FAIL")</f>
        <v>✓ PASS</v>
      </c>
    </row>
    <row r="13" customFormat="false" ht="15" hidden="false" customHeight="false" outlineLevel="0" collapsed="false">
      <c r="A13" s="0" t="s">
        <v>194</v>
      </c>
      <c r="B13" s="0" t="n">
        <v>10.8</v>
      </c>
      <c r="C13" s="0" t="n">
        <f aca="false">552/51.3</f>
        <v>10.7602339181287</v>
      </c>
      <c r="D13" s="0" t="str">
        <f aca="false">IF(ABS(C13-B13)&lt;0.5,"✓ PASS","✗ FAIL")</f>
        <v>✓ PASS</v>
      </c>
    </row>
    <row r="14" customFormat="false" ht="15" hidden="false" customHeight="false" outlineLevel="0" collapsed="false">
      <c r="A14" s="0" t="s">
        <v>195</v>
      </c>
      <c r="B14" s="0" t="n">
        <v>7.8</v>
      </c>
      <c r="C14" s="0" t="n">
        <f aca="false">351/45</f>
        <v>7.8</v>
      </c>
      <c r="D14" s="0" t="str">
        <f aca="false">IF(ABS(C14-B14)&lt;0.5,"✓ PASS","✗ FAIL")</f>
        <v>✓ PASS</v>
      </c>
    </row>
    <row r="15" customFormat="false" ht="15" hidden="false" customHeight="false" outlineLevel="0" collapsed="false">
      <c r="A15" s="0" t="s">
        <v>196</v>
      </c>
      <c r="B15" s="0" t="n">
        <v>101.3</v>
      </c>
      <c r="C15" s="0" t="n">
        <f aca="false">5+51.3+45</f>
        <v>101.3</v>
      </c>
      <c r="D15" s="0" t="str">
        <f aca="false">IF(ABS(C15-101.3)&lt;0.1,"✓ PASS","✗ FAIL")</f>
        <v>✓ PASS</v>
      </c>
    </row>
    <row r="16" customFormat="false" ht="15" hidden="false" customHeight="false" outlineLevel="0" collapsed="false">
      <c r="A16" s="0" t="s">
        <v>197</v>
      </c>
      <c r="B16" s="0" t="n">
        <v>130</v>
      </c>
      <c r="C16" s="0" t="n">
        <v>130</v>
      </c>
      <c r="D16" s="0" t="str">
        <f aca="false">IF(C16=130,"✓ PASS","✗ FAIL")</f>
        <v>✓ PASS</v>
      </c>
    </row>
    <row r="17" customFormat="false" ht="15" hidden="false" customHeight="false" outlineLevel="0" collapsed="false">
      <c r="A17" s="0" t="s">
        <v>198</v>
      </c>
      <c r="B17" s="0" t="n">
        <v>181.3</v>
      </c>
      <c r="C17" s="0" t="n">
        <f aca="false">130+51.3</f>
        <v>181.3</v>
      </c>
      <c r="D17" s="0" t="str">
        <f aca="false">IF(ABS(C17-181.3)&lt;0.1,"✓ PASS","✗ FAIL")</f>
        <v>✓ PASS</v>
      </c>
    </row>
    <row r="18" customFormat="false" ht="15" hidden="false" customHeight="false" outlineLevel="0" collapsed="false">
      <c r="A18" s="0" t="s">
        <v>199</v>
      </c>
      <c r="B18" s="0" t="n">
        <v>295</v>
      </c>
      <c r="C18" s="0" t="n">
        <f aca="false">250+45</f>
        <v>295</v>
      </c>
      <c r="D18" s="0" t="str">
        <f aca="false">IF(ABS(C18-295)&lt;0.1,"✓ PASS","✗ FAIL")</f>
        <v>✓ PASS</v>
      </c>
    </row>
    <row r="19" customFormat="false" ht="15" hidden="false" customHeight="false" outlineLevel="0" collapsed="false">
      <c r="A19" s="0" t="s">
        <v>200</v>
      </c>
      <c r="B19" s="35" t="n">
        <v>0.2846</v>
      </c>
      <c r="C19" s="35" t="n">
        <f aca="false">'Cap Table — All Rounds'!F6</f>
        <v>0.2846</v>
      </c>
      <c r="D19" s="0" t="str">
        <f aca="false">IF(ABS(C19-B19)&lt;0.002,"✓ PASS","✗ FAIL")</f>
        <v>✓ PASS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47" t="s">
        <v>201</v>
      </c>
      <c r="B1" s="47"/>
      <c r="C1" s="47"/>
      <c r="D1" s="47"/>
      <c r="E1" s="47"/>
    </row>
    <row r="2" customFormat="false" ht="15" hidden="false" customHeight="false" outlineLevel="0" collapsed="false">
      <c r="A2" s="8" t="s">
        <v>202</v>
      </c>
      <c r="B2" s="8"/>
      <c r="C2" s="8"/>
      <c r="D2" s="8"/>
      <c r="E2" s="8"/>
    </row>
    <row r="4" customFormat="false" ht="15" hidden="false" customHeight="false" outlineLevel="0" collapsed="false">
      <c r="A4" s="1" t="s">
        <v>0</v>
      </c>
      <c r="B4" s="1" t="s">
        <v>203</v>
      </c>
      <c r="C4" s="1" t="s">
        <v>204</v>
      </c>
      <c r="D4" s="1" t="s">
        <v>205</v>
      </c>
      <c r="E4" s="1" t="s">
        <v>206</v>
      </c>
    </row>
    <row r="5" customFormat="false" ht="15" hidden="false" customHeight="false" outlineLevel="0" collapsed="false">
      <c r="A5" s="0" t="s">
        <v>207</v>
      </c>
      <c r="B5" s="0" t="s">
        <v>208</v>
      </c>
      <c r="C5" s="48" t="s">
        <v>209</v>
      </c>
      <c r="D5" s="3" t="s">
        <v>210</v>
      </c>
      <c r="E5" s="43" t="s">
        <v>211</v>
      </c>
    </row>
    <row r="6" customFormat="false" ht="15" hidden="false" customHeight="false" outlineLevel="0" collapsed="false">
      <c r="A6" s="0" t="s">
        <v>212</v>
      </c>
      <c r="B6" s="0" t="s">
        <v>213</v>
      </c>
      <c r="C6" s="48" t="s">
        <v>214</v>
      </c>
      <c r="D6" s="3" t="s">
        <v>215</v>
      </c>
      <c r="E6" s="43" t="s">
        <v>216</v>
      </c>
    </row>
    <row r="7" customFormat="false" ht="15" hidden="false" customHeight="false" outlineLevel="0" collapsed="false">
      <c r="A7" s="0" t="s">
        <v>217</v>
      </c>
      <c r="B7" s="0" t="s">
        <v>218</v>
      </c>
      <c r="C7" s="48" t="s">
        <v>219</v>
      </c>
      <c r="D7" s="3" t="s">
        <v>220</v>
      </c>
      <c r="E7" s="43" t="s">
        <v>221</v>
      </c>
    </row>
    <row r="8" customFormat="false" ht="15" hidden="false" customHeight="false" outlineLevel="0" collapsed="false">
      <c r="A8" s="0" t="s">
        <v>222</v>
      </c>
      <c r="B8" s="0" t="s">
        <v>223</v>
      </c>
      <c r="C8" s="48" t="s">
        <v>224</v>
      </c>
      <c r="D8" s="3" t="s">
        <v>225</v>
      </c>
      <c r="E8" s="43" t="s">
        <v>226</v>
      </c>
    </row>
    <row r="9" customFormat="false" ht="15" hidden="false" customHeight="false" outlineLevel="0" collapsed="false">
      <c r="A9" s="0" t="s">
        <v>227</v>
      </c>
      <c r="B9" s="0" t="s">
        <v>228</v>
      </c>
      <c r="C9" s="48" t="s">
        <v>229</v>
      </c>
      <c r="D9" s="3" t="s">
        <v>230</v>
      </c>
      <c r="E9" s="43" t="s">
        <v>221</v>
      </c>
    </row>
    <row r="10" customFormat="false" ht="15" hidden="false" customHeight="false" outlineLevel="0" collapsed="false">
      <c r="A10" s="0" t="s">
        <v>231</v>
      </c>
      <c r="B10" s="0" t="s">
        <v>232</v>
      </c>
      <c r="C10" s="48" t="s">
        <v>233</v>
      </c>
      <c r="D10" s="3" t="s">
        <v>230</v>
      </c>
      <c r="E10" s="43" t="s">
        <v>221</v>
      </c>
    </row>
    <row r="11" customFormat="false" ht="15" hidden="false" customHeight="false" outlineLevel="0" collapsed="false">
      <c r="A11" s="0" t="s">
        <v>234</v>
      </c>
      <c r="B11" s="0" t="s">
        <v>235</v>
      </c>
      <c r="C11" s="48" t="s">
        <v>236</v>
      </c>
      <c r="D11" s="3" t="s">
        <v>237</v>
      </c>
      <c r="E11" s="43" t="s">
        <v>226</v>
      </c>
    </row>
    <row r="12" customFormat="false" ht="15" hidden="false" customHeight="false" outlineLevel="0" collapsed="false">
      <c r="A12" s="0" t="s">
        <v>238</v>
      </c>
      <c r="B12" s="0" t="s">
        <v>239</v>
      </c>
      <c r="C12" s="48" t="s">
        <v>240</v>
      </c>
      <c r="D12" s="3" t="s">
        <v>241</v>
      </c>
      <c r="E12" s="43" t="s">
        <v>242</v>
      </c>
    </row>
    <row r="13" customFormat="false" ht="15" hidden="false" customHeight="false" outlineLevel="0" collapsed="false">
      <c r="A13" s="0" t="s">
        <v>243</v>
      </c>
      <c r="B13" s="0" t="s">
        <v>244</v>
      </c>
      <c r="C13" s="48" t="s">
        <v>245</v>
      </c>
      <c r="D13" s="3" t="s">
        <v>246</v>
      </c>
      <c r="E13" s="43" t="s">
        <v>247</v>
      </c>
    </row>
    <row r="14" customFormat="false" ht="15" hidden="false" customHeight="false" outlineLevel="0" collapsed="false">
      <c r="A14" s="0" t="s">
        <v>248</v>
      </c>
      <c r="B14" s="0" t="s">
        <v>249</v>
      </c>
      <c r="C14" s="48" t="s">
        <v>250</v>
      </c>
      <c r="D14" s="3" t="s">
        <v>251</v>
      </c>
      <c r="E14" s="43" t="s">
        <v>252</v>
      </c>
    </row>
    <row r="15" customFormat="false" ht="15" hidden="false" customHeight="false" outlineLevel="0" collapsed="false">
      <c r="A15" s="0" t="s">
        <v>66</v>
      </c>
      <c r="B15" s="0" t="s">
        <v>253</v>
      </c>
      <c r="C15" s="48" t="s">
        <v>254</v>
      </c>
      <c r="D15" s="3" t="s">
        <v>255</v>
      </c>
      <c r="E15" s="43" t="s">
        <v>256</v>
      </c>
    </row>
    <row r="16" customFormat="false" ht="15" hidden="false" customHeight="false" outlineLevel="0" collapsed="false">
      <c r="A16" s="0" t="s">
        <v>257</v>
      </c>
      <c r="B16" s="0" t="s">
        <v>258</v>
      </c>
      <c r="C16" s="48" t="s">
        <v>259</v>
      </c>
      <c r="D16" s="3" t="s">
        <v>260</v>
      </c>
      <c r="E16" s="43" t="s">
        <v>256</v>
      </c>
    </row>
    <row r="17" customFormat="false" ht="15" hidden="false" customHeight="false" outlineLevel="0" collapsed="false">
      <c r="A17" s="0" t="s">
        <v>64</v>
      </c>
      <c r="B17" s="0" t="s">
        <v>261</v>
      </c>
      <c r="C17" s="48" t="s">
        <v>262</v>
      </c>
      <c r="D17" s="3" t="s">
        <v>263</v>
      </c>
      <c r="E17" s="43" t="s">
        <v>264</v>
      </c>
    </row>
    <row r="18" customFormat="false" ht="15" hidden="false" customHeight="false" outlineLevel="0" collapsed="false">
      <c r="A18" s="0" t="s">
        <v>265</v>
      </c>
      <c r="B18" s="0" t="s">
        <v>266</v>
      </c>
      <c r="C18" s="48" t="s">
        <v>267</v>
      </c>
      <c r="D18" s="3" t="s">
        <v>268</v>
      </c>
      <c r="E18" s="43" t="s">
        <v>269</v>
      </c>
    </row>
    <row r="19" customFormat="false" ht="15" hidden="false" customHeight="false" outlineLevel="0" collapsed="false">
      <c r="A19" s="0" t="s">
        <v>270</v>
      </c>
      <c r="B19" s="0" t="s">
        <v>271</v>
      </c>
      <c r="C19" s="48" t="s">
        <v>272</v>
      </c>
      <c r="D19" s="3" t="s">
        <v>273</v>
      </c>
      <c r="E19" s="43" t="s">
        <v>274</v>
      </c>
    </row>
    <row r="20" customFormat="false" ht="15" hidden="false" customHeight="false" outlineLevel="0" collapsed="false">
      <c r="A20" s="0" t="s">
        <v>275</v>
      </c>
      <c r="B20" s="0" t="s">
        <v>276</v>
      </c>
      <c r="C20" s="48" t="s">
        <v>277</v>
      </c>
      <c r="D20" s="3" t="s">
        <v>278</v>
      </c>
      <c r="E20" s="43" t="s">
        <v>274</v>
      </c>
    </row>
    <row r="21" customFormat="false" ht="15" hidden="false" customHeight="false" outlineLevel="0" collapsed="false">
      <c r="A21" s="0" t="s">
        <v>279</v>
      </c>
      <c r="B21" s="0" t="s">
        <v>280</v>
      </c>
      <c r="C21" s="48" t="s">
        <v>281</v>
      </c>
      <c r="D21" s="3" t="s">
        <v>282</v>
      </c>
      <c r="E21" s="43" t="s">
        <v>283</v>
      </c>
    </row>
    <row r="22" customFormat="false" ht="15" hidden="false" customHeight="false" outlineLevel="0" collapsed="false">
      <c r="A22" s="0" t="s">
        <v>167</v>
      </c>
      <c r="B22" s="0" t="s">
        <v>284</v>
      </c>
      <c r="C22" s="48" t="s">
        <v>116</v>
      </c>
      <c r="D22" s="3" t="s">
        <v>285</v>
      </c>
      <c r="E22" s="43" t="s">
        <v>221</v>
      </c>
    </row>
    <row r="23" customFormat="false" ht="15" hidden="false" customHeight="false" outlineLevel="0" collapsed="false">
      <c r="A23" s="0" t="s">
        <v>162</v>
      </c>
      <c r="B23" s="0" t="s">
        <v>286</v>
      </c>
      <c r="C23" s="48" t="s">
        <v>115</v>
      </c>
      <c r="D23" s="3" t="s">
        <v>287</v>
      </c>
      <c r="E23" s="43" t="s">
        <v>221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2026-02-12T21:45:06Z</dcterms:created>
  <dc:creator>openpyxl</dc:creator>
  <dc:description/>
  <dc:language>en-US</dc:language>
  <cp:lastModifiedBy/>
  <dcterms:modified xsi:type="dcterms:W3CDTF">2026-02-12T21:45:06Z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