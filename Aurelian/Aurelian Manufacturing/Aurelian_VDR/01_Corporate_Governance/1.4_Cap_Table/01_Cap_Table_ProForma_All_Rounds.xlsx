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Aurelian/Aurelian Manufacturing/Aurelian_VDR/01_Corporate_Governance/1.4_Cap_Table/"/>
    </mc:Choice>
  </mc:AlternateContent>
  <xr:revisionPtr revIDLastSave="3" documentId="11_65DADF4274788EB1974855063DC2FF1CE2E7C7D2" xr6:coauthVersionLast="47" xr6:coauthVersionMax="47" xr10:uidLastSave="{0B5C3CE2-CA8B-40DE-BF98-1CD727995C8D}"/>
  <bookViews>
    <workbookView xWindow="29760" yWindow="1140" windowWidth="21600" windowHeight="11970" tabRatio="500" activeTab="1" xr2:uid="{00000000-000D-0000-FFFF-FFFF00000000}"/>
  </bookViews>
  <sheets>
    <sheet name="Assumptions" sheetId="1" r:id="rId1"/>
    <sheet name="Cap Table — All Rounds" sheetId="2" r:id="rId2"/>
    <sheet name="Dilution Waterfall" sheetId="3" r:id="rId3"/>
    <sheet name="Exit Distribution" sheetId="4" r:id="rId4"/>
    <sheet name="Validation" sheetId="5" r:id="rId5"/>
    <sheet name="Change Lo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5" l="1"/>
  <c r="C18" i="5"/>
  <c r="D17" i="5"/>
  <c r="C17" i="5"/>
  <c r="D16" i="5"/>
  <c r="C15" i="5"/>
  <c r="D15" i="5" s="1"/>
  <c r="D14" i="5"/>
  <c r="C14" i="5"/>
  <c r="C13" i="5"/>
  <c r="D13" i="5" s="1"/>
  <c r="C12" i="5"/>
  <c r="D12" i="5" s="1"/>
  <c r="C10" i="5"/>
  <c r="D10" i="5" s="1"/>
  <c r="D9" i="5"/>
  <c r="D8" i="5"/>
  <c r="D7" i="5"/>
  <c r="C6" i="5"/>
  <c r="D6" i="5" s="1"/>
  <c r="D5" i="5"/>
  <c r="C5" i="5"/>
  <c r="D4" i="5"/>
  <c r="C4" i="5"/>
  <c r="E28" i="2"/>
  <c r="D28" i="2"/>
  <c r="C28" i="2"/>
  <c r="F23" i="2"/>
  <c r="F22" i="2"/>
  <c r="F21" i="2"/>
  <c r="H17" i="2"/>
  <c r="E17" i="2"/>
  <c r="D17" i="2"/>
  <c r="C17" i="2"/>
  <c r="H15" i="2"/>
  <c r="F15" i="2"/>
  <c r="E15" i="2"/>
  <c r="D15" i="2"/>
  <c r="C15" i="2"/>
  <c r="G8" i="2"/>
</calcChain>
</file>

<file path=xl/sharedStrings.xml><?xml version="1.0" encoding="utf-8"?>
<sst xmlns="http://schemas.openxmlformats.org/spreadsheetml/2006/main" count="379" uniqueCount="312">
  <si>
    <t>Parameter</t>
  </si>
  <si>
    <t>Value</t>
  </si>
  <si>
    <t>Unit</t>
  </si>
  <si>
    <t>Source</t>
  </si>
  <si>
    <t>Company</t>
  </si>
  <si>
    <t>Aurelian Manufacturing AS</t>
  </si>
  <si>
    <t>Brønnøysund</t>
  </si>
  <si>
    <t>Org.nr.</t>
  </si>
  <si>
    <t>835 679 632</t>
  </si>
  <si>
    <t>Municipality</t>
  </si>
  <si>
    <t>Moss kommune</t>
  </si>
  <si>
    <t>Vedtekter §2</t>
  </si>
  <si>
    <t>Share capital</t>
  </si>
  <si>
    <t>NOK</t>
  </si>
  <si>
    <t>Vedtekter §4</t>
  </si>
  <si>
    <t>Total shares outstanding</t>
  </si>
  <si>
    <t>shares</t>
  </si>
  <si>
    <t>Par value per share</t>
  </si>
  <si>
    <t>FOUNDERS (Eierbok 09.02.2026)</t>
  </si>
  <si>
    <t>Hölen Industrier AS (André Tandberg)</t>
  </si>
  <si>
    <t>Eierbok — 53.125%</t>
  </si>
  <si>
    <t>Quality Group Invest AS (Tore Ausland)</t>
  </si>
  <si>
    <t>Eierbok — 31.875%</t>
  </si>
  <si>
    <t>STAH Invest AS (Henrik S. Strøm)</t>
  </si>
  <si>
    <t>Eierbok — 10.00%</t>
  </si>
  <si>
    <t>Roadcode AS (Fredrik Vangsal)</t>
  </si>
  <si>
    <t>Eierbok — 5.00%</t>
  </si>
  <si>
    <t>FUNDRAISING ROUNDS (REV6 §4.1)</t>
  </si>
  <si>
    <t>Pre-Seed ASK</t>
  </si>
  <si>
    <t>FM8 Cap Table R6</t>
  </si>
  <si>
    <t>Pre-Seed Pre-Money</t>
  </si>
  <si>
    <t>FM8 Cap Table R7</t>
  </si>
  <si>
    <t>Pre-Seed Post-Money</t>
  </si>
  <si>
    <t>FM8 Cap Table R8</t>
  </si>
  <si>
    <t>Seed ASK</t>
  </si>
  <si>
    <t>Seed Pre-Money</t>
  </si>
  <si>
    <t>Seed Post-Money</t>
  </si>
  <si>
    <t>Seed bank debt</t>
  </si>
  <si>
    <t>FM8 Cap Table R10</t>
  </si>
  <si>
    <t>Serie A ASK</t>
  </si>
  <si>
    <t>Serie A Pre-Money</t>
  </si>
  <si>
    <t>Serie A Post-Money</t>
  </si>
  <si>
    <t>Serie A bank debt</t>
  </si>
  <si>
    <t>Total equity raised</t>
  </si>
  <si>
    <t>FM8 CF R41</t>
  </si>
  <si>
    <t>Total bank debt</t>
  </si>
  <si>
    <t>FM8 CF R42</t>
  </si>
  <si>
    <t>EXIT SCENARIO (REV6 §5.3)</t>
  </si>
  <si>
    <t>Exit valuation</t>
  </si>
  <si>
    <t>FM8 Cap Table R51</t>
  </si>
  <si>
    <t>EBITDA at exit</t>
  </si>
  <si>
    <t>FM8 Cap Table R49</t>
  </si>
  <si>
    <t>EBITDA multiple</t>
  </si>
  <si>
    <t>10-11x</t>
  </si>
  <si>
    <t>FM8 Cap Table R50</t>
  </si>
  <si>
    <t>OPERATING (REV6 §1)</t>
  </si>
  <si>
    <t>CNC cost incl. automation</t>
  </si>
  <si>
    <t>FM8 Assumptions R23</t>
  </si>
  <si>
    <t>Hourly rate</t>
  </si>
  <si>
    <t>FM8 Assumptions R8</t>
  </si>
  <si>
    <t>Theoretical hours</t>
  </si>
  <si>
    <t>hours</t>
  </si>
  <si>
    <t>FM8 Assumptions R7</t>
  </si>
  <si>
    <t>Variable cost (startup)</t>
  </si>
  <si>
    <t>%</t>
  </si>
  <si>
    <t>FM8 Assumptions R15</t>
  </si>
  <si>
    <t>Variable cost (mature)</t>
  </si>
  <si>
    <t>FM8 Assumptions R19</t>
  </si>
  <si>
    <t>Admin FTEs</t>
  </si>
  <si>
    <t>FTE</t>
  </si>
  <si>
    <t>FM8 Assumptions R51</t>
  </si>
  <si>
    <t>Facility lease</t>
  </si>
  <si>
    <t>NOK/yr</t>
  </si>
  <si>
    <t>FM8 P&amp;L R44</t>
  </si>
  <si>
    <t>AURELIAN MANUFACTURING AS — CAP TABLE PRO FORMA (ALL ROUNDS)</t>
  </si>
  <si>
    <t>Source: 02_Aurelian_Financial_Model_8.xlsx (REV6 §4) | Vedtekter | Eierbok 09.02.2026</t>
  </si>
  <si>
    <t>OWNERSHIP PERCENTAGE BY ROUND</t>
  </si>
  <si>
    <t>Shareholder</t>
  </si>
  <si>
    <t>Holding Company</t>
  </si>
  <si>
    <t>Founding
(Current)</t>
  </si>
  <si>
    <t>Post
Pre-Seed</t>
  </si>
  <si>
    <t>Post
Seed</t>
  </si>
  <si>
    <t>Post
Serie A</t>
  </si>
  <si>
    <t>Total
Dilution (pp)</t>
  </si>
  <si>
    <t>Exit Value
(MNOK)</t>
  </si>
  <si>
    <t>André Tandberg (CEO)</t>
  </si>
  <si>
    <t>Hölen Industrier AS</t>
  </si>
  <si>
    <t>Tore Ausland (Chairman / VP BD)</t>
  </si>
  <si>
    <t>Quality Group Invest AS</t>
  </si>
  <si>
    <t>Henrik S. Strøm (Board / CFO pathway)</t>
  </si>
  <si>
    <t>STAH Invest AS</t>
  </si>
  <si>
    <t>Fredrik Vangsal (Co-Founder &amp; Technical Advisor)</t>
  </si>
  <si>
    <t>Roadcode AS</t>
  </si>
  <si>
    <t>FOUNDERS TOTAL</t>
  </si>
  <si>
    <t>Pre-Seed Investors</t>
  </si>
  <si>
    <t>—</t>
  </si>
  <si>
    <t>Seed Investors</t>
  </si>
  <si>
    <t>Serie A Investors</t>
  </si>
  <si>
    <t>INVESTORS TOTAL</t>
  </si>
  <si>
    <t>GRAND TOTAL</t>
  </si>
  <si>
    <t>ROUND PARAMETERS (REV6 §4.1)</t>
  </si>
  <si>
    <t>Pre-Seed</t>
  </si>
  <si>
    <t>Seed</t>
  </si>
  <si>
    <t>Serie A</t>
  </si>
  <si>
    <t>Total</t>
  </si>
  <si>
    <t>Capital Raised — Equity (MNOK)</t>
  </si>
  <si>
    <t>Capital Raised — Bank Debt (MNOK)</t>
  </si>
  <si>
    <t>Total Capital Deployed (MNOK)</t>
  </si>
  <si>
    <t>Pre-Money Valuation (MNOK)</t>
  </si>
  <si>
    <t>Post-Money Valuation (MNOK)</t>
  </si>
  <si>
    <t>Dilution This Round</t>
  </si>
  <si>
    <t>Cumulative Dilution (from founding)</t>
  </si>
  <si>
    <t>Implied Price/Share (NOK)</t>
  </si>
  <si>
    <t>Machines Funded</t>
  </si>
  <si>
    <t>0</t>
  </si>
  <si>
    <t>5 CNC + shop</t>
  </si>
  <si>
    <t>15 CNC (3×5)</t>
  </si>
  <si>
    <t>20 total</t>
  </si>
  <si>
    <t>Investor ROI (at 2.3B exit)</t>
  </si>
  <si>
    <t>46.6x</t>
  </si>
  <si>
    <t>10.8x</t>
  </si>
  <si>
    <t>7.8x</t>
  </si>
  <si>
    <t>VC Market Expectation</t>
  </si>
  <si>
    <t>20-40x ✓</t>
  </si>
  <si>
    <t>10-25x ✓</t>
  </si>
  <si>
    <t>5-10x ✓</t>
  </si>
  <si>
    <t>DILUTION WATERFALL — FOUNDER PERSPECTIVE</t>
  </si>
  <si>
    <t>Source: FM8 Cap Table R27-R44. Exact pp from REV6 §4.</t>
  </si>
  <si>
    <t>Founder</t>
  </si>
  <si>
    <t>Founding %</t>
  </si>
  <si>
    <t>PreSeed
Dilution (pp)</t>
  </si>
  <si>
    <t>Post-Seed
Dilution (pp)</t>
  </si>
  <si>
    <t>Serie A
Dilution (pp)</t>
  </si>
  <si>
    <t>Cumulative
Dilution (pp)</t>
  </si>
  <si>
    <t>Final %</t>
  </si>
  <si>
    <t>Eier A (André)</t>
  </si>
  <si>
    <t>Eier B (Tore)</t>
  </si>
  <si>
    <t>Eier C (Henrik)</t>
  </si>
  <si>
    <t>Eier D (Fredrik)</t>
  </si>
  <si>
    <t>European VC Dilution Benchmarks</t>
  </si>
  <si>
    <t>Typical Seed dilution (Europe)</t>
  </si>
  <si>
    <t>10-25%</t>
  </si>
  <si>
    <t>Aurelian: 28.3% (capital intensity premium)</t>
  </si>
  <si>
    <t>Typical Serie A dilution (Europe)</t>
  </si>
  <si>
    <t>20-30%</t>
  </si>
  <si>
    <t>Aurelian: 15.3% (below market — strong position)</t>
  </si>
  <si>
    <t>Founders retaining &gt;50% post-A</t>
  </si>
  <si>
    <t>Best practice</t>
  </si>
  <si>
    <t>Aurelian: 50.6% ✓ — maintains control</t>
  </si>
  <si>
    <t>EXIT DISTRIBUTION — 2.3 MRD NOK SCENARIO</t>
  </si>
  <si>
    <t>EBITDA 222 MNOK × 10-11x = 2,200-2,400 MNOK (uses 2,300). Source: FM8 Cap Table R47-R64.</t>
  </si>
  <si>
    <t>Post-Serie A %</t>
  </si>
  <si>
    <t>Investment
(MNOK)</t>
  </si>
  <si>
    <t>ROI</t>
  </si>
  <si>
    <t>Hölen Industrier AS (André)</t>
  </si>
  <si>
    <t>Quality Group Invest AS (Tore)</t>
  </si>
  <si>
    <t>STAH Invest AS (Henrik)</t>
  </si>
  <si>
    <t>Roadcode AS (Fredrik)</t>
  </si>
  <si>
    <t>FOUNDERS SUBTOTAL</t>
  </si>
  <si>
    <t>Sweat equity ~7-9 MNOK</t>
  </si>
  <si>
    <t>INVESTORS SUBTOTAL</t>
  </si>
  <si>
    <t>11.2x weighted avg</t>
  </si>
  <si>
    <t>Investor ROI Sensitivity (from FM8 Cap Table R67-R73)</t>
  </si>
  <si>
    <t>8x (Bear)</t>
  </si>
  <si>
    <t>10x (Base)</t>
  </si>
  <si>
    <t>11x (Bull)</t>
  </si>
  <si>
    <t>13x (Upside)</t>
  </si>
  <si>
    <t>Exit valuation (MNOK)</t>
  </si>
  <si>
    <t>PreSeed ROI</t>
  </si>
  <si>
    <t>35.9x</t>
  </si>
  <si>
    <t>44.9x</t>
  </si>
  <si>
    <t>49.4x</t>
  </si>
  <si>
    <t>58.4x</t>
  </si>
  <si>
    <t>Seed ROI</t>
  </si>
  <si>
    <t>8.3x</t>
  </si>
  <si>
    <t>10.4x</t>
  </si>
  <si>
    <t>11.4x</t>
  </si>
  <si>
    <t>13.5x</t>
  </si>
  <si>
    <t>Serie A ROI</t>
  </si>
  <si>
    <t>6.0x</t>
  </si>
  <si>
    <t>7.5x</t>
  </si>
  <si>
    <t>9.8x</t>
  </si>
  <si>
    <t>Founders value (MNOK)</t>
  </si>
  <si>
    <t>VC Market Expectations:</t>
  </si>
  <si>
    <t>Pre-Seed: 20-40x | Seed: 10-25x | Serie A: 5-10x</t>
  </si>
  <si>
    <t>All investor ROIs fall within or above expected ranges ✓</t>
  </si>
  <si>
    <t>CROSS-REFERENCE VALIDATION vs FM8 (REV6)</t>
  </si>
  <si>
    <t>Check</t>
  </si>
  <si>
    <t>FM8 Value</t>
  </si>
  <si>
    <t>This File</t>
  </si>
  <si>
    <t>Status</t>
  </si>
  <si>
    <t>Founders total post-Serie A = 50.6%</t>
  </si>
  <si>
    <t>Investors total post-Serie A = 49.4%</t>
  </si>
  <si>
    <t>Grand total = 100%</t>
  </si>
  <si>
    <t>Pre-Seed dilution = 16.67%</t>
  </si>
  <si>
    <t>Seed dilution = 28.3%</t>
  </si>
  <si>
    <t>Serie A dilution = 15.25%</t>
  </si>
  <si>
    <t>Exit total = 2,300 MNOK</t>
  </si>
  <si>
    <t>Founders exit value = 1,164 MNOK</t>
  </si>
  <si>
    <t>✓ PASS</t>
  </si>
  <si>
    <t>PreSeed ROI ≈ 46.6x</t>
  </si>
  <si>
    <t>Seed ROI ≈ 10.8x</t>
  </si>
  <si>
    <t>Serie A ROI ≈ 7.8x</t>
  </si>
  <si>
    <t>Total equity = 101.3 MNOK</t>
  </si>
  <si>
    <t>Seed pre-money = 130 MNOK</t>
  </si>
  <si>
    <t>Seed post-money = 181.3 MNOK</t>
  </si>
  <si>
    <t>Serie A post-money = 295 MNOK</t>
  </si>
  <si>
    <t>Eier A post-A = 26.90%</t>
  </si>
  <si>
    <t>CHANGE LOG — KOMPLETT → REV6 MIGRATION</t>
  </si>
  <si>
    <t>Documents below need updating to match FM8 (REV6) as authoritative source</t>
  </si>
  <si>
    <t>Old (KOMPLETT)</t>
  </si>
  <si>
    <t>New (REV6/FM8)</t>
  </si>
  <si>
    <t>Δ</t>
  </si>
  <si>
    <t>Affected Documents</t>
  </si>
  <si>
    <t>Seed equity (MNOK)</t>
  </si>
  <si>
    <t>47</t>
  </si>
  <si>
    <t>51.3</t>
  </si>
  <si>
    <t>+4.3</t>
  </si>
  <si>
    <t>KOMPLETT, Pitch Deck, VDR skills</t>
  </si>
  <si>
    <t>Seed pre-money (MNOK)</t>
  </si>
  <si>
    <t>140</t>
  </si>
  <si>
    <t>130</t>
  </si>
  <si>
    <t>-10</t>
  </si>
  <si>
    <t>KOMPLETT, Pitch Deck, Valuation doc</t>
  </si>
  <si>
    <t>Seed post-money (MNOK)</t>
  </si>
  <si>
    <t>187</t>
  </si>
  <si>
    <t>181.3</t>
  </si>
  <si>
    <t>-5.7</t>
  </si>
  <si>
    <t>KOMPLETT, Pitch Deck</t>
  </si>
  <si>
    <t>Seed dilution</t>
  </si>
  <si>
    <t>25.1%</t>
  </si>
  <si>
    <t>28.3%</t>
  </si>
  <si>
    <t>+3.2pp</t>
  </si>
  <si>
    <t>KOMPLETT, Cap Table, all DD skills</t>
  </si>
  <si>
    <t>Serie A equity (MNOK)</t>
  </si>
  <si>
    <t>42</t>
  </si>
  <si>
    <t>45</t>
  </si>
  <si>
    <t>+3</t>
  </si>
  <si>
    <t>Serie A post-money (MNOK)</t>
  </si>
  <si>
    <t>292</t>
  </si>
  <si>
    <t>295</t>
  </si>
  <si>
    <t>Serie A dilution</t>
  </si>
  <si>
    <t>14.4%</t>
  </si>
  <si>
    <t>15.25%</t>
  </si>
  <si>
    <t>+0.85pp</t>
  </si>
  <si>
    <t>Total equity (MNOK)</t>
  </si>
  <si>
    <t>94</t>
  </si>
  <si>
    <t>101.3</t>
  </si>
  <si>
    <t>+7.3</t>
  </si>
  <si>
    <t>KOMPLETT, Pitch Deck, VDR</t>
  </si>
  <si>
    <t>Founders post-A</t>
  </si>
  <si>
    <t>53.42%</t>
  </si>
  <si>
    <t>50.6%</t>
  </si>
  <si>
    <t>-2.82pp</t>
  </si>
  <si>
    <t>KOMPLETT, Cap Table, Pitch Deck, SHA</t>
  </si>
  <si>
    <t>CNC cost (MNOK)</t>
  </si>
  <si>
    <t>8</t>
  </si>
  <si>
    <t>10</t>
  </si>
  <si>
    <t>+2</t>
  </si>
  <si>
    <t>Markedsanalyse, CAPEX models</t>
  </si>
  <si>
    <t>3</t>
  </si>
  <si>
    <t>4</t>
  </si>
  <si>
    <t>+1</t>
  </si>
  <si>
    <t>Vedlegg B, cost models</t>
  </si>
  <si>
    <t>Facility lease (MNOK/yr)</t>
  </si>
  <si>
    <t>4.0</t>
  </si>
  <si>
    <t>5.2</t>
  </si>
  <si>
    <t>+1.2</t>
  </si>
  <si>
    <t>13% flat</t>
  </si>
  <si>
    <t>8% (curve)</t>
  </si>
  <si>
    <t>New model</t>
  </si>
  <si>
    <t>Vedlegg B, P&amp;L</t>
  </si>
  <si>
    <t>Seed bank debt (MNOK)</t>
  </si>
  <si>
    <t>32</t>
  </si>
  <si>
    <t>29.3</t>
  </si>
  <si>
    <t>-2.7</t>
  </si>
  <si>
    <t>KOMPLETT</t>
  </si>
  <si>
    <t>Debt per CNC Seed</t>
  </si>
  <si>
    <t>4.0M</t>
  </si>
  <si>
    <t>5.0M</t>
  </si>
  <si>
    <t>+1.0M</t>
  </si>
  <si>
    <t>Financial model skill</t>
  </si>
  <si>
    <t>Debt per CNC Serie A</t>
  </si>
  <si>
    <t>5.2M</t>
  </si>
  <si>
    <t>7.0M</t>
  </si>
  <si>
    <t>+1.8M</t>
  </si>
  <si>
    <t>Eier A exit value (MNOK)</t>
  </si>
  <si>
    <t>691</t>
  </si>
  <si>
    <t>654</t>
  </si>
  <si>
    <t>-37</t>
  </si>
  <si>
    <t>KOMPLETT, Cap Table</t>
  </si>
  <si>
    <t>10.5x</t>
  </si>
  <si>
    <t>+0.3x</t>
  </si>
  <si>
    <t>49x</t>
  </si>
  <si>
    <t>-2.4x</t>
  </si>
  <si>
    <t>REV8 UPDATE (Feb 2026)</t>
  </si>
  <si>
    <t>Eier A founding %</t>
  </si>
  <si>
    <t>56.25%</t>
  </si>
  <si>
    <t>53.125%</t>
  </si>
  <si>
    <t>-3.125pp</t>
  </si>
  <si>
    <t>Proportional contribution to Eier D</t>
  </si>
  <si>
    <t>Eier B founding %</t>
  </si>
  <si>
    <t>33.75%</t>
  </si>
  <si>
    <t>31.875%</t>
  </si>
  <si>
    <t>-1.875pp</t>
  </si>
  <si>
    <t>Eier D (Fredrik Vangsal / Roadcode AS)</t>
  </si>
  <si>
    <t>5.00%</t>
  </si>
  <si>
    <t>NEW</t>
  </si>
  <si>
    <t>Co-Founder &amp; Technical Advisor added</t>
  </si>
  <si>
    <t>Founders total post-Serie A</t>
  </si>
  <si>
    <t>No change</t>
  </si>
  <si>
    <t>Internal reallocation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</si>
</sst>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  <font>
      <sz val="11"/>
      <color rgb="FF0000FF"/>
      <name val="Calibri"/>
      <charset val="1"/>
    </font>
    <font>
      <b/>
      <sz val="11"/>
      <color rgb="FF000000"/>
      <name val="Calibri"/>
      <charset val="1"/>
    </font>
    <font>
      <b/>
      <sz val="14"/>
      <color rgb="FFFF3E00"/>
      <name val="Calibri"/>
      <charset val="1"/>
    </font>
    <font>
      <i/>
      <sz val="10"/>
      <color rgb="FF666666"/>
      <name val="Calibri"/>
      <charset val="1"/>
    </font>
    <font>
      <b/>
      <sz val="11"/>
      <name val="Calibri"/>
      <charset val="1"/>
    </font>
    <font>
      <b/>
      <sz val="11"/>
      <color rgb="FFFF3E00"/>
      <name val="Calibri"/>
      <charset val="1"/>
    </font>
    <font>
      <i/>
      <sz val="11"/>
      <color rgb="FF666666"/>
      <name val="Calibri"/>
      <charset val="1"/>
    </font>
    <font>
      <i/>
      <sz val="10"/>
      <color rgb="FF008000"/>
      <name val="Calibri"/>
      <charset val="1"/>
    </font>
    <font>
      <b/>
      <sz val="10"/>
      <color rgb="FF666666"/>
      <name val="Calibri"/>
      <charset val="1"/>
    </font>
    <font>
      <sz val="10"/>
      <color rgb="FF666666"/>
      <name val="Calibri"/>
      <charset val="1"/>
    </font>
    <font>
      <sz val="10"/>
      <color rgb="FF008000"/>
      <name val="Calibri"/>
      <charset val="1"/>
    </font>
    <font>
      <b/>
      <sz val="14"/>
      <color rgb="FF008000"/>
      <name val="Calibri"/>
      <charset val="1"/>
    </font>
    <font>
      <b/>
      <sz val="14"/>
      <color rgb="FFCC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3E00"/>
        <bgColor rgb="FFCC0000"/>
      </patternFill>
    </fill>
    <fill>
      <patternFill patternType="solid">
        <fgColor rgb="FF333333"/>
        <bgColor rgb="FF333300"/>
      </patternFill>
    </fill>
    <fill>
      <patternFill patternType="solid">
        <fgColor rgb="FF008000"/>
        <bgColor rgb="FF00808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10" fontId="3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0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left"/>
    </xf>
    <xf numFmtId="10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0" borderId="0" xfId="0" applyFont="1" applyAlignment="1">
      <alignment horizontal="left"/>
    </xf>
    <xf numFmtId="10" fontId="3" fillId="0" borderId="0" xfId="0" applyNumberFormat="1" applyFont="1"/>
    <xf numFmtId="0" fontId="4" fillId="0" borderId="1" xfId="0" applyFont="1" applyBorder="1"/>
    <xf numFmtId="10" fontId="7" fillId="0" borderId="1" xfId="0" applyNumberFormat="1" applyFont="1" applyBorder="1"/>
    <xf numFmtId="0" fontId="10" fillId="0" borderId="0" xfId="0" applyFont="1"/>
    <xf numFmtId="10" fontId="0" fillId="0" borderId="0" xfId="0" applyNumberFormat="1"/>
    <xf numFmtId="3" fontId="0" fillId="0" borderId="0" xfId="0" applyNumberFormat="1"/>
    <xf numFmtId="10" fontId="4" fillId="0" borderId="1" xfId="0" applyNumberFormat="1" applyFont="1" applyBorder="1"/>
    <xf numFmtId="3" fontId="4" fillId="0" borderId="1" xfId="0" applyNumberFormat="1" applyFont="1" applyBorder="1"/>
    <xf numFmtId="164" fontId="0" fillId="0" borderId="0" xfId="0" applyNumberFormat="1"/>
    <xf numFmtId="164" fontId="4" fillId="0" borderId="1" xfId="0" applyNumberFormat="1" applyFont="1" applyBorder="1"/>
    <xf numFmtId="0" fontId="8" fillId="0" borderId="1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4" borderId="0" xfId="0" applyFont="1" applyFill="1" applyAlignment="1">
      <alignment horizontal="center"/>
    </xf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3" borderId="0" xfId="0" applyFont="1" applyFill="1"/>
    <xf numFmtId="0" fontId="0" fillId="0" borderId="0" xfId="0"/>
    <xf numFmtId="0" fontId="6" fillId="0" borderId="0" xfId="0" applyFont="1"/>
    <xf numFmtId="0" fontId="5" fillId="0" borderId="0" xfId="0" applyFont="1"/>
    <xf numFmtId="0" fontId="14" fillId="0" borderId="0" xfId="0" applyFont="1"/>
    <xf numFmtId="0" fontId="15" fillId="0" borderId="0" xfId="0" applyFont="1"/>
    <xf numFmtId="0" fontId="1" fillId="2" borderId="0" xfId="0" applyFont="1" applyFill="1" applyAlignment="1">
      <alignment horizontal="left" vertical="center" wrapText="1"/>
    </xf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E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E00"/>
  </sheetPr>
  <dimension ref="A1:D42"/>
  <sheetViews>
    <sheetView topLeftCell="A7" zoomScaleNormal="100" workbookViewId="0">
      <selection activeCell="B1" sqref="B1:B1048576"/>
    </sheetView>
  </sheetViews>
  <sheetFormatPr baseColWidth="10" defaultColWidth="8.7109375" defaultRowHeight="15" x14ac:dyDescent="0.25"/>
  <cols>
    <col min="1" max="1" width="45" customWidth="1"/>
    <col min="2" max="2" width="27.5703125" style="4" customWidth="1"/>
    <col min="3" max="3" width="19.7109375" customWidth="1"/>
    <col min="4" max="4" width="40" customWidth="1"/>
  </cols>
  <sheetData>
    <row r="1" spans="1:4" ht="15" customHeight="1" x14ac:dyDescent="0.25">
      <c r="A1" s="1" t="s">
        <v>0</v>
      </c>
      <c r="B1" s="49" t="s">
        <v>1</v>
      </c>
      <c r="C1" s="1" t="s">
        <v>2</v>
      </c>
      <c r="D1" s="1" t="s">
        <v>3</v>
      </c>
    </row>
    <row r="2" spans="1:4" ht="15" customHeight="1" x14ac:dyDescent="0.25">
      <c r="A2" s="2" t="s">
        <v>4</v>
      </c>
      <c r="B2" s="4" t="s">
        <v>5</v>
      </c>
      <c r="D2" t="s">
        <v>6</v>
      </c>
    </row>
    <row r="3" spans="1:4" ht="15" customHeight="1" x14ac:dyDescent="0.25">
      <c r="A3" s="2" t="s">
        <v>7</v>
      </c>
      <c r="B3" s="4" t="s">
        <v>8</v>
      </c>
      <c r="D3" t="s">
        <v>6</v>
      </c>
    </row>
    <row r="4" spans="1:4" ht="15" customHeight="1" x14ac:dyDescent="0.25">
      <c r="A4" s="2" t="s">
        <v>9</v>
      </c>
      <c r="B4" s="4" t="s">
        <v>10</v>
      </c>
      <c r="D4" t="s">
        <v>11</v>
      </c>
    </row>
    <row r="5" spans="1:4" ht="15" customHeight="1" x14ac:dyDescent="0.25">
      <c r="A5" s="2" t="s">
        <v>12</v>
      </c>
      <c r="B5" s="50">
        <v>30000</v>
      </c>
      <c r="C5" t="s">
        <v>13</v>
      </c>
      <c r="D5" t="s">
        <v>14</v>
      </c>
    </row>
    <row r="6" spans="1:4" ht="15" customHeight="1" x14ac:dyDescent="0.25">
      <c r="A6" s="2" t="s">
        <v>15</v>
      </c>
      <c r="B6" s="50">
        <v>1000000</v>
      </c>
      <c r="C6" t="s">
        <v>16</v>
      </c>
      <c r="D6" t="s">
        <v>14</v>
      </c>
    </row>
    <row r="7" spans="1:4" ht="15" customHeight="1" x14ac:dyDescent="0.25">
      <c r="A7" s="2" t="s">
        <v>17</v>
      </c>
      <c r="B7" s="50">
        <v>0.03</v>
      </c>
      <c r="C7" t="s">
        <v>13</v>
      </c>
      <c r="D7" t="s">
        <v>14</v>
      </c>
    </row>
    <row r="8" spans="1:4" ht="15" customHeight="1" x14ac:dyDescent="0.25">
      <c r="A8" s="2"/>
    </row>
    <row r="9" spans="1:4" ht="15" customHeight="1" x14ac:dyDescent="0.25">
      <c r="A9" s="3" t="s">
        <v>18</v>
      </c>
    </row>
    <row r="10" spans="1:4" ht="15" customHeight="1" x14ac:dyDescent="0.25">
      <c r="A10" s="2" t="s">
        <v>19</v>
      </c>
      <c r="B10" s="50">
        <v>531250</v>
      </c>
      <c r="C10" t="s">
        <v>16</v>
      </c>
      <c r="D10" t="s">
        <v>20</v>
      </c>
    </row>
    <row r="11" spans="1:4" ht="15" customHeight="1" x14ac:dyDescent="0.25">
      <c r="A11" s="2" t="s">
        <v>21</v>
      </c>
      <c r="B11" s="50">
        <v>318750</v>
      </c>
      <c r="C11" t="s">
        <v>16</v>
      </c>
      <c r="D11" t="s">
        <v>22</v>
      </c>
    </row>
    <row r="12" spans="1:4" ht="15" customHeight="1" x14ac:dyDescent="0.25">
      <c r="A12" s="2" t="s">
        <v>23</v>
      </c>
      <c r="B12" s="50">
        <v>100000</v>
      </c>
      <c r="C12" t="s">
        <v>16</v>
      </c>
      <c r="D12" t="s">
        <v>24</v>
      </c>
    </row>
    <row r="13" spans="1:4" ht="15" customHeight="1" x14ac:dyDescent="0.25">
      <c r="A13" s="2" t="s">
        <v>25</v>
      </c>
      <c r="B13" s="50">
        <v>50000</v>
      </c>
      <c r="C13" t="s">
        <v>16</v>
      </c>
      <c r="D13" t="s">
        <v>26</v>
      </c>
    </row>
    <row r="14" spans="1:4" ht="15" customHeight="1" x14ac:dyDescent="0.25">
      <c r="A14" s="2"/>
    </row>
    <row r="15" spans="1:4" ht="15" customHeight="1" x14ac:dyDescent="0.25">
      <c r="A15" s="3" t="s">
        <v>27</v>
      </c>
    </row>
    <row r="16" spans="1:4" ht="15" customHeight="1" x14ac:dyDescent="0.25">
      <c r="A16" s="2" t="s">
        <v>28</v>
      </c>
      <c r="B16" s="50">
        <v>5000000</v>
      </c>
      <c r="C16" t="s">
        <v>13</v>
      </c>
      <c r="D16" t="s">
        <v>29</v>
      </c>
    </row>
    <row r="17" spans="1:4" ht="15" customHeight="1" x14ac:dyDescent="0.25">
      <c r="A17" s="2" t="s">
        <v>30</v>
      </c>
      <c r="B17" s="50">
        <v>25000000</v>
      </c>
      <c r="C17" t="s">
        <v>13</v>
      </c>
      <c r="D17" t="s">
        <v>31</v>
      </c>
    </row>
    <row r="18" spans="1:4" ht="15" customHeight="1" x14ac:dyDescent="0.25">
      <c r="A18" s="2" t="s">
        <v>32</v>
      </c>
      <c r="B18" s="50">
        <v>30000000</v>
      </c>
      <c r="C18" t="s">
        <v>13</v>
      </c>
      <c r="D18" t="s">
        <v>33</v>
      </c>
    </row>
    <row r="19" spans="1:4" ht="15" customHeight="1" x14ac:dyDescent="0.25">
      <c r="A19" s="2" t="s">
        <v>34</v>
      </c>
      <c r="B19" s="50">
        <v>51300000</v>
      </c>
      <c r="C19" t="s">
        <v>13</v>
      </c>
      <c r="D19" t="s">
        <v>29</v>
      </c>
    </row>
    <row r="20" spans="1:4" ht="15" customHeight="1" x14ac:dyDescent="0.25">
      <c r="A20" s="2" t="s">
        <v>35</v>
      </c>
      <c r="B20" s="50">
        <v>130000000</v>
      </c>
      <c r="C20" t="s">
        <v>13</v>
      </c>
      <c r="D20" t="s">
        <v>31</v>
      </c>
    </row>
    <row r="21" spans="1:4" ht="15" customHeight="1" x14ac:dyDescent="0.25">
      <c r="A21" s="2" t="s">
        <v>36</v>
      </c>
      <c r="B21" s="50">
        <v>181300000</v>
      </c>
      <c r="C21" t="s">
        <v>13</v>
      </c>
      <c r="D21" t="s">
        <v>33</v>
      </c>
    </row>
    <row r="22" spans="1:4" ht="15" customHeight="1" x14ac:dyDescent="0.25">
      <c r="A22" s="2" t="s">
        <v>37</v>
      </c>
      <c r="B22" s="50">
        <v>29300000</v>
      </c>
      <c r="C22" t="s">
        <v>13</v>
      </c>
      <c r="D22" t="s">
        <v>38</v>
      </c>
    </row>
    <row r="23" spans="1:4" ht="15" customHeight="1" x14ac:dyDescent="0.25">
      <c r="A23" s="2" t="s">
        <v>39</v>
      </c>
      <c r="B23" s="50">
        <v>45000000</v>
      </c>
      <c r="C23" t="s">
        <v>13</v>
      </c>
      <c r="D23" t="s">
        <v>29</v>
      </c>
    </row>
    <row r="24" spans="1:4" ht="15" customHeight="1" x14ac:dyDescent="0.25">
      <c r="A24" s="2" t="s">
        <v>40</v>
      </c>
      <c r="B24" s="50">
        <v>250000000</v>
      </c>
      <c r="C24" t="s">
        <v>13</v>
      </c>
      <c r="D24" t="s">
        <v>31</v>
      </c>
    </row>
    <row r="25" spans="1:4" ht="15" customHeight="1" x14ac:dyDescent="0.25">
      <c r="A25" s="2" t="s">
        <v>41</v>
      </c>
      <c r="B25" s="50">
        <v>295000000</v>
      </c>
      <c r="C25" t="s">
        <v>13</v>
      </c>
      <c r="D25" t="s">
        <v>33</v>
      </c>
    </row>
    <row r="26" spans="1:4" ht="15" customHeight="1" x14ac:dyDescent="0.25">
      <c r="A26" s="2" t="s">
        <v>42</v>
      </c>
      <c r="B26" s="50">
        <v>105000000</v>
      </c>
      <c r="C26" t="s">
        <v>13</v>
      </c>
      <c r="D26" t="s">
        <v>38</v>
      </c>
    </row>
    <row r="27" spans="1:4" ht="15" customHeight="1" x14ac:dyDescent="0.25">
      <c r="A27" s="2" t="s">
        <v>43</v>
      </c>
      <c r="B27" s="50">
        <v>101300000</v>
      </c>
      <c r="C27" t="s">
        <v>13</v>
      </c>
      <c r="D27" t="s">
        <v>44</v>
      </c>
    </row>
    <row r="28" spans="1:4" ht="15" customHeight="1" x14ac:dyDescent="0.25">
      <c r="A28" s="2" t="s">
        <v>45</v>
      </c>
      <c r="B28" s="50">
        <v>134300000</v>
      </c>
      <c r="C28" t="s">
        <v>13</v>
      </c>
      <c r="D28" t="s">
        <v>46</v>
      </c>
    </row>
    <row r="29" spans="1:4" ht="15" customHeight="1" x14ac:dyDescent="0.25">
      <c r="A29" s="2"/>
    </row>
    <row r="30" spans="1:4" ht="15" customHeight="1" x14ac:dyDescent="0.25">
      <c r="A30" s="3" t="s">
        <v>47</v>
      </c>
    </row>
    <row r="31" spans="1:4" ht="15" customHeight="1" x14ac:dyDescent="0.25">
      <c r="A31" s="2" t="s">
        <v>48</v>
      </c>
      <c r="B31" s="50">
        <v>2300000000</v>
      </c>
      <c r="C31" t="s">
        <v>13</v>
      </c>
      <c r="D31" t="s">
        <v>49</v>
      </c>
    </row>
    <row r="32" spans="1:4" ht="15" customHeight="1" x14ac:dyDescent="0.25">
      <c r="A32" s="2" t="s">
        <v>50</v>
      </c>
      <c r="B32" s="50">
        <v>222000000</v>
      </c>
      <c r="C32" t="s">
        <v>13</v>
      </c>
      <c r="D32" t="s">
        <v>51</v>
      </c>
    </row>
    <row r="33" spans="1:4" ht="15" customHeight="1" x14ac:dyDescent="0.25">
      <c r="A33" s="2" t="s">
        <v>52</v>
      </c>
      <c r="B33" s="4" t="s">
        <v>53</v>
      </c>
      <c r="D33" t="s">
        <v>54</v>
      </c>
    </row>
    <row r="34" spans="1:4" ht="15" customHeight="1" x14ac:dyDescent="0.25">
      <c r="A34" s="2"/>
    </row>
    <row r="35" spans="1:4" ht="15" customHeight="1" x14ac:dyDescent="0.25">
      <c r="A35" s="3" t="s">
        <v>55</v>
      </c>
    </row>
    <row r="36" spans="1:4" ht="15" customHeight="1" x14ac:dyDescent="0.25">
      <c r="A36" s="2" t="s">
        <v>56</v>
      </c>
      <c r="B36" s="50">
        <v>10000000</v>
      </c>
      <c r="C36" t="s">
        <v>13</v>
      </c>
      <c r="D36" t="s">
        <v>57</v>
      </c>
    </row>
    <row r="37" spans="1:4" ht="15" customHeight="1" x14ac:dyDescent="0.25">
      <c r="A37" s="2" t="s">
        <v>58</v>
      </c>
      <c r="B37" s="50">
        <v>3000</v>
      </c>
      <c r="C37" t="s">
        <v>13</v>
      </c>
      <c r="D37" t="s">
        <v>59</v>
      </c>
    </row>
    <row r="38" spans="1:4" ht="15" customHeight="1" x14ac:dyDescent="0.25">
      <c r="A38" s="2" t="s">
        <v>60</v>
      </c>
      <c r="B38" s="51">
        <v>8760</v>
      </c>
      <c r="C38" t="s">
        <v>61</v>
      </c>
      <c r="D38" t="s">
        <v>62</v>
      </c>
    </row>
    <row r="39" spans="1:4" ht="15" customHeight="1" x14ac:dyDescent="0.25">
      <c r="A39" s="2" t="s">
        <v>63</v>
      </c>
      <c r="B39" s="51">
        <v>0.13</v>
      </c>
      <c r="C39" t="s">
        <v>64</v>
      </c>
      <c r="D39" t="s">
        <v>65</v>
      </c>
    </row>
    <row r="40" spans="1:4" ht="15" customHeight="1" x14ac:dyDescent="0.25">
      <c r="A40" s="2" t="s">
        <v>66</v>
      </c>
      <c r="B40" s="51">
        <v>0.08</v>
      </c>
      <c r="C40" t="s">
        <v>64</v>
      </c>
      <c r="D40" t="s">
        <v>67</v>
      </c>
    </row>
    <row r="41" spans="1:4" ht="15" customHeight="1" x14ac:dyDescent="0.25">
      <c r="A41" s="2" t="s">
        <v>68</v>
      </c>
      <c r="B41" s="51">
        <v>4</v>
      </c>
      <c r="C41" t="s">
        <v>69</v>
      </c>
      <c r="D41" t="s">
        <v>70</v>
      </c>
    </row>
    <row r="42" spans="1:4" x14ac:dyDescent="0.25">
      <c r="A42" s="2" t="s">
        <v>71</v>
      </c>
      <c r="B42" s="50">
        <v>5200000</v>
      </c>
      <c r="C42" t="s">
        <v>72</v>
      </c>
      <c r="D42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E00"/>
  </sheetPr>
  <dimension ref="A1:H31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H1"/>
    </sheetView>
  </sheetViews>
  <sheetFormatPr baseColWidth="10" defaultColWidth="8.7109375" defaultRowHeight="15" x14ac:dyDescent="0.25"/>
  <cols>
    <col min="1" max="1" width="42" customWidth="1"/>
    <col min="2" max="2" width="24" customWidth="1"/>
    <col min="3" max="8" width="16" customWidth="1"/>
  </cols>
  <sheetData>
    <row r="1" spans="1:8" ht="17.45" customHeight="1" x14ac:dyDescent="0.3">
      <c r="A1" s="46" t="s">
        <v>74</v>
      </c>
      <c r="B1" s="44"/>
      <c r="C1" s="44"/>
      <c r="D1" s="44"/>
      <c r="E1" s="44"/>
      <c r="F1" s="44"/>
      <c r="G1" s="44"/>
      <c r="H1" s="44"/>
    </row>
    <row r="2" spans="1:8" ht="15" customHeight="1" x14ac:dyDescent="0.25">
      <c r="A2" s="45" t="s">
        <v>75</v>
      </c>
      <c r="B2" s="44"/>
      <c r="C2" s="44"/>
      <c r="D2" s="44"/>
      <c r="E2" s="44"/>
      <c r="F2" s="44"/>
      <c r="G2" s="44"/>
      <c r="H2" s="44"/>
    </row>
    <row r="4" spans="1:8" ht="15" customHeight="1" x14ac:dyDescent="0.25">
      <c r="A4" s="43" t="s">
        <v>76</v>
      </c>
      <c r="B4" s="44"/>
      <c r="C4" s="44"/>
      <c r="D4" s="44"/>
      <c r="E4" s="44"/>
      <c r="F4" s="44"/>
      <c r="G4" s="44"/>
      <c r="H4" s="44"/>
    </row>
    <row r="5" spans="1:8" ht="34.5" customHeight="1" x14ac:dyDescent="0.25">
      <c r="A5" s="1" t="s">
        <v>77</v>
      </c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</row>
    <row r="6" spans="1:8" ht="15" customHeight="1" x14ac:dyDescent="0.25">
      <c r="A6" s="4" t="s">
        <v>85</v>
      </c>
      <c r="B6" s="4" t="s">
        <v>86</v>
      </c>
      <c r="C6" s="5">
        <v>0.53125</v>
      </c>
      <c r="D6" s="5">
        <v>0.44270833333333343</v>
      </c>
      <c r="E6" s="5">
        <v>0.31744116565545138</v>
      </c>
      <c r="F6" s="5">
        <v>0.26901793699614529</v>
      </c>
      <c r="G6" s="6">
        <v>-0.26223206300385471</v>
      </c>
      <c r="H6" s="7">
        <v>619</v>
      </c>
    </row>
    <row r="7" spans="1:8" ht="15" customHeight="1" x14ac:dyDescent="0.25">
      <c r="A7" s="4" t="s">
        <v>87</v>
      </c>
      <c r="B7" s="4" t="s">
        <v>88</v>
      </c>
      <c r="C7" s="5">
        <v>0.31874999999999998</v>
      </c>
      <c r="D7" s="5">
        <v>0.265625</v>
      </c>
      <c r="E7" s="5">
        <v>0.19046469939327079</v>
      </c>
      <c r="F7" s="5">
        <v>0.16141076219768721</v>
      </c>
      <c r="G7" s="6">
        <v>-0.15733923780231279</v>
      </c>
      <c r="H7" s="7">
        <v>371</v>
      </c>
    </row>
    <row r="8" spans="1:8" ht="15" customHeight="1" x14ac:dyDescent="0.25">
      <c r="A8" s="4" t="s">
        <v>89</v>
      </c>
      <c r="B8" s="4" t="s">
        <v>90</v>
      </c>
      <c r="C8" s="5">
        <v>0.1</v>
      </c>
      <c r="D8" s="5">
        <v>8.3299999999999999E-2</v>
      </c>
      <c r="E8" s="5">
        <v>5.9700000000000003E-2</v>
      </c>
      <c r="F8" s="5">
        <v>5.0599999999999999E-2</v>
      </c>
      <c r="G8" s="6">
        <f>F8-C8</f>
        <v>-4.9400000000000006E-2</v>
      </c>
      <c r="H8" s="7">
        <v>116</v>
      </c>
    </row>
    <row r="9" spans="1:8" ht="15" customHeight="1" x14ac:dyDescent="0.25">
      <c r="A9" s="4" t="s">
        <v>91</v>
      </c>
      <c r="B9" s="4" t="s">
        <v>92</v>
      </c>
      <c r="C9" s="5">
        <v>0.05</v>
      </c>
      <c r="D9" s="5">
        <v>4.1666666666666671E-2</v>
      </c>
      <c r="E9" s="5">
        <v>2.9876815591101311E-2</v>
      </c>
      <c r="F9" s="5">
        <v>2.531933524669603E-2</v>
      </c>
      <c r="G9" s="6">
        <v>-2.468066475330398E-2</v>
      </c>
      <c r="H9" s="7">
        <v>58</v>
      </c>
    </row>
    <row r="10" spans="1:8" ht="15" customHeight="1" x14ac:dyDescent="0.25">
      <c r="A10" s="8" t="s">
        <v>93</v>
      </c>
      <c r="B10" s="9"/>
      <c r="C10" s="10">
        <v>1</v>
      </c>
      <c r="D10" s="10">
        <v>0.83333333333333337</v>
      </c>
      <c r="E10" s="10">
        <v>0.59753631182202627</v>
      </c>
      <c r="F10" s="10">
        <v>0.50638670493392046</v>
      </c>
      <c r="G10" s="10">
        <v>-0.49361329506607948</v>
      </c>
      <c r="H10" s="11">
        <v>1164</v>
      </c>
    </row>
    <row r="11" spans="1:8" ht="15" customHeight="1" x14ac:dyDescent="0.25">
      <c r="A11" s="4"/>
      <c r="B11" s="4"/>
      <c r="C11" s="12"/>
      <c r="D11" s="12"/>
      <c r="E11" s="12"/>
      <c r="F11" s="12"/>
      <c r="G11" s="12"/>
      <c r="H11" s="7"/>
    </row>
    <row r="12" spans="1:8" ht="15" customHeight="1" x14ac:dyDescent="0.25">
      <c r="A12" s="4" t="s">
        <v>94</v>
      </c>
      <c r="B12" s="4" t="s">
        <v>95</v>
      </c>
      <c r="C12" s="12"/>
      <c r="D12" s="5">
        <v>0.16669999999999999</v>
      </c>
      <c r="E12" s="5">
        <v>0.1195</v>
      </c>
      <c r="F12" s="5">
        <v>0.1012</v>
      </c>
      <c r="G12" s="12"/>
      <c r="H12" s="7">
        <v>233</v>
      </c>
    </row>
    <row r="13" spans="1:8" ht="15" customHeight="1" x14ac:dyDescent="0.25">
      <c r="A13" s="4" t="s">
        <v>96</v>
      </c>
      <c r="B13" s="4" t="s">
        <v>95</v>
      </c>
      <c r="C13" s="12"/>
      <c r="D13" s="12"/>
      <c r="E13" s="5">
        <v>0.28299999999999997</v>
      </c>
      <c r="F13" s="5">
        <v>0.23980000000000001</v>
      </c>
      <c r="G13" s="12"/>
      <c r="H13" s="7">
        <v>552</v>
      </c>
    </row>
    <row r="14" spans="1:8" ht="15" customHeight="1" x14ac:dyDescent="0.25">
      <c r="A14" s="4" t="s">
        <v>97</v>
      </c>
      <c r="B14" s="4" t="s">
        <v>95</v>
      </c>
      <c r="C14" s="12"/>
      <c r="D14" s="12"/>
      <c r="E14" s="12"/>
      <c r="F14" s="5">
        <v>0.1525</v>
      </c>
      <c r="G14" s="12"/>
      <c r="H14" s="7">
        <v>351</v>
      </c>
    </row>
    <row r="15" spans="1:8" ht="15" customHeight="1" x14ac:dyDescent="0.25">
      <c r="A15" s="8" t="s">
        <v>98</v>
      </c>
      <c r="B15" s="9"/>
      <c r="C15" s="10">
        <f>SUM(C11:C13)</f>
        <v>0</v>
      </c>
      <c r="D15" s="10">
        <f>SUM(D11:D13)</f>
        <v>0.16669999999999999</v>
      </c>
      <c r="E15" s="10">
        <f>SUM(E11:E13)</f>
        <v>0.40249999999999997</v>
      </c>
      <c r="F15" s="10">
        <f>SUM(F11:F13)</f>
        <v>0.34100000000000003</v>
      </c>
      <c r="G15" s="13"/>
      <c r="H15" s="11">
        <f>SUM(H11:H13)</f>
        <v>785</v>
      </c>
    </row>
    <row r="16" spans="1:8" ht="15" customHeight="1" x14ac:dyDescent="0.25">
      <c r="A16" s="4"/>
      <c r="B16" s="4"/>
      <c r="C16" s="12"/>
      <c r="D16" s="12"/>
      <c r="E16" s="12"/>
      <c r="F16" s="12"/>
      <c r="G16" s="12"/>
      <c r="H16" s="7"/>
    </row>
    <row r="17" spans="1:8" ht="15" customHeight="1" x14ac:dyDescent="0.25">
      <c r="A17" s="14" t="s">
        <v>99</v>
      </c>
      <c r="B17" s="4"/>
      <c r="C17" s="15">
        <f>C9+C14</f>
        <v>0.05</v>
      </c>
      <c r="D17" s="15">
        <f>D9+D14</f>
        <v>4.1666666666666671E-2</v>
      </c>
      <c r="E17" s="15">
        <f>E9+E14</f>
        <v>2.9876815591101311E-2</v>
      </c>
      <c r="F17" s="15">
        <v>1</v>
      </c>
      <c r="G17" s="12"/>
      <c r="H17" s="16">
        <f>H9+H14</f>
        <v>409</v>
      </c>
    </row>
    <row r="18" spans="1:8" ht="15" customHeight="1" x14ac:dyDescent="0.25">
      <c r="A18" s="41"/>
      <c r="B18" s="41"/>
      <c r="C18" s="42"/>
      <c r="D18" s="42"/>
      <c r="E18" s="42"/>
      <c r="F18" s="42"/>
      <c r="G18" s="42"/>
      <c r="H18" s="42"/>
    </row>
    <row r="19" spans="1:8" ht="15" customHeight="1" x14ac:dyDescent="0.25">
      <c r="A19" s="17" t="s">
        <v>100</v>
      </c>
    </row>
    <row r="20" spans="1:8" ht="15" customHeight="1" x14ac:dyDescent="0.25">
      <c r="A20" s="18" t="s">
        <v>0</v>
      </c>
      <c r="B20" s="18"/>
      <c r="C20" s="19" t="s">
        <v>101</v>
      </c>
      <c r="D20" s="19" t="s">
        <v>102</v>
      </c>
      <c r="E20" s="19" t="s">
        <v>103</v>
      </c>
      <c r="F20" s="19" t="s">
        <v>104</v>
      </c>
      <c r="G20" s="19"/>
      <c r="H20" s="19"/>
    </row>
    <row r="21" spans="1:8" ht="15" customHeight="1" x14ac:dyDescent="0.25">
      <c r="A21" s="20" t="s">
        <v>105</v>
      </c>
      <c r="B21" s="4"/>
      <c r="C21" s="21">
        <v>5</v>
      </c>
      <c r="D21" s="21">
        <v>51.3</v>
      </c>
      <c r="E21" s="21">
        <v>45</v>
      </c>
      <c r="F21" s="12" t="e">
        <f>C20+D20+E20</f>
        <v>#VALUE!</v>
      </c>
      <c r="G21" s="12"/>
      <c r="H21" s="12"/>
    </row>
    <row r="22" spans="1:8" ht="15" customHeight="1" x14ac:dyDescent="0.25">
      <c r="A22" s="20" t="s">
        <v>106</v>
      </c>
      <c r="B22" s="4"/>
      <c r="C22" s="12">
        <v>0</v>
      </c>
      <c r="D22" s="21">
        <v>29.3</v>
      </c>
      <c r="E22" s="21">
        <v>105</v>
      </c>
      <c r="F22" s="12">
        <f>C21+D21+E21</f>
        <v>101.3</v>
      </c>
      <c r="G22" s="12"/>
      <c r="H22" s="12"/>
    </row>
    <row r="23" spans="1:8" ht="15" customHeight="1" x14ac:dyDescent="0.25">
      <c r="A23" s="20" t="s">
        <v>107</v>
      </c>
      <c r="B23" s="4"/>
      <c r="C23" s="21">
        <v>5</v>
      </c>
      <c r="D23" s="21">
        <v>80.599999999999994</v>
      </c>
      <c r="E23" s="21">
        <v>150</v>
      </c>
      <c r="F23" s="12">
        <f>C22+D22+E22</f>
        <v>134.30000000000001</v>
      </c>
      <c r="G23" s="12"/>
      <c r="H23" s="12"/>
    </row>
    <row r="24" spans="1:8" ht="15" customHeight="1" x14ac:dyDescent="0.25">
      <c r="A24" s="20" t="s">
        <v>108</v>
      </c>
      <c r="B24" s="4"/>
      <c r="C24" s="21">
        <v>25</v>
      </c>
      <c r="D24" s="21">
        <v>130</v>
      </c>
      <c r="E24" s="21">
        <v>250</v>
      </c>
      <c r="F24" s="12"/>
      <c r="G24" s="12"/>
      <c r="H24" s="12"/>
    </row>
    <row r="25" spans="1:8" ht="15" customHeight="1" x14ac:dyDescent="0.25">
      <c r="A25" s="20" t="s">
        <v>109</v>
      </c>
      <c r="B25" s="4"/>
      <c r="C25" s="21">
        <v>30</v>
      </c>
      <c r="D25" s="21">
        <v>181.3</v>
      </c>
      <c r="E25" s="21">
        <v>295</v>
      </c>
      <c r="F25" s="12"/>
      <c r="G25" s="12"/>
      <c r="H25" s="12"/>
    </row>
    <row r="26" spans="1:8" ht="15" customHeight="1" x14ac:dyDescent="0.25">
      <c r="A26" s="20" t="s">
        <v>110</v>
      </c>
      <c r="B26" s="4"/>
      <c r="C26" s="22">
        <v>0.16669999999999999</v>
      </c>
      <c r="D26" s="22">
        <v>0.28299999999999997</v>
      </c>
      <c r="E26" s="22">
        <v>0.1525</v>
      </c>
      <c r="F26" s="12"/>
      <c r="G26" s="12"/>
      <c r="H26" s="12"/>
    </row>
    <row r="27" spans="1:8" ht="15" customHeight="1" x14ac:dyDescent="0.25">
      <c r="A27" s="20" t="s">
        <v>111</v>
      </c>
      <c r="B27" s="4"/>
      <c r="C27" s="22">
        <v>0.16669999999999999</v>
      </c>
      <c r="D27" s="12"/>
      <c r="E27" s="12"/>
      <c r="F27" s="22">
        <v>0.49399999999999999</v>
      </c>
      <c r="G27" s="12"/>
      <c r="H27" s="12"/>
    </row>
    <row r="28" spans="1:8" ht="15" customHeight="1" x14ac:dyDescent="0.25">
      <c r="A28" s="20" t="s">
        <v>112</v>
      </c>
      <c r="B28" s="4"/>
      <c r="C28" s="23">
        <f>C24/Assumptions!B6</f>
        <v>2.5000000000000001E-5</v>
      </c>
      <c r="D28" s="23">
        <f>D24/Assumptions!B6</f>
        <v>1.2999999999999999E-4</v>
      </c>
      <c r="E28" s="23">
        <f>E24/Assumptions!B6</f>
        <v>2.5000000000000001E-4</v>
      </c>
      <c r="F28" s="12"/>
      <c r="G28" s="12"/>
      <c r="H28" s="12"/>
    </row>
    <row r="29" spans="1:8" ht="15" customHeight="1" x14ac:dyDescent="0.25">
      <c r="A29" s="20" t="s">
        <v>113</v>
      </c>
      <c r="B29" s="4"/>
      <c r="C29" s="12" t="s">
        <v>114</v>
      </c>
      <c r="D29" s="12" t="s">
        <v>115</v>
      </c>
      <c r="E29" s="12" t="s">
        <v>116</v>
      </c>
      <c r="F29" s="12" t="s">
        <v>117</v>
      </c>
      <c r="G29" s="12"/>
      <c r="H29" s="12"/>
    </row>
    <row r="30" spans="1:8" ht="15" customHeight="1" x14ac:dyDescent="0.25">
      <c r="A30" s="20" t="s">
        <v>118</v>
      </c>
      <c r="B30" s="4"/>
      <c r="C30" s="12" t="s">
        <v>119</v>
      </c>
      <c r="D30" s="12" t="s">
        <v>120</v>
      </c>
      <c r="E30" s="12" t="s">
        <v>121</v>
      </c>
      <c r="F30" s="12"/>
      <c r="G30" s="12"/>
      <c r="H30" s="12"/>
    </row>
    <row r="31" spans="1:8" x14ac:dyDescent="0.25">
      <c r="A31" s="24" t="s">
        <v>122</v>
      </c>
      <c r="B31" s="4"/>
      <c r="C31" s="12" t="s">
        <v>123</v>
      </c>
      <c r="D31" s="12" t="s">
        <v>124</v>
      </c>
      <c r="E31" s="12" t="s">
        <v>125</v>
      </c>
      <c r="F31" s="12"/>
      <c r="G31" s="12"/>
      <c r="H31" s="12"/>
    </row>
  </sheetData>
  <mergeCells count="4">
    <mergeCell ref="A18:H18"/>
    <mergeCell ref="A4:H4"/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3E00"/>
  </sheetPr>
  <dimension ref="A1:G14"/>
  <sheetViews>
    <sheetView zoomScaleNormal="100" workbookViewId="0"/>
  </sheetViews>
  <sheetFormatPr baseColWidth="10" defaultColWidth="8.7109375" defaultRowHeight="15" x14ac:dyDescent="0.25"/>
  <cols>
    <col min="1" max="1" width="35" customWidth="1"/>
    <col min="2" max="7" width="16" customWidth="1"/>
  </cols>
  <sheetData>
    <row r="1" spans="1:7" ht="17.45" customHeight="1" x14ac:dyDescent="0.3">
      <c r="A1" s="46" t="s">
        <v>126</v>
      </c>
      <c r="B1" s="44"/>
      <c r="C1" s="44"/>
      <c r="D1" s="44"/>
      <c r="E1" s="44"/>
      <c r="F1" s="44"/>
      <c r="G1" s="44"/>
    </row>
    <row r="2" spans="1:7" ht="15" customHeight="1" x14ac:dyDescent="0.25">
      <c r="A2" s="45" t="s">
        <v>127</v>
      </c>
      <c r="B2" s="44"/>
      <c r="C2" s="44"/>
      <c r="D2" s="44"/>
      <c r="E2" s="44"/>
      <c r="F2" s="44"/>
      <c r="G2" s="44"/>
    </row>
    <row r="4" spans="1:7" ht="34.5" customHeight="1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</row>
    <row r="5" spans="1:7" ht="15" customHeight="1" x14ac:dyDescent="0.25">
      <c r="A5" t="s">
        <v>135</v>
      </c>
      <c r="B5" s="25">
        <v>0.53125</v>
      </c>
      <c r="C5" s="25">
        <v>-8.854166666666663E-2</v>
      </c>
      <c r="D5" s="25">
        <v>-0.1252671676778819</v>
      </c>
      <c r="E5" s="25">
        <v>-4.842322865930615E-2</v>
      </c>
      <c r="F5" s="25">
        <v>-0.26223206300385471</v>
      </c>
      <c r="G5" s="25">
        <v>0.26901793699614529</v>
      </c>
    </row>
    <row r="6" spans="1:7" ht="15" customHeight="1" x14ac:dyDescent="0.25">
      <c r="A6" t="s">
        <v>136</v>
      </c>
      <c r="B6" s="25">
        <v>0.31874999999999998</v>
      </c>
      <c r="C6" s="25">
        <v>-5.3124999999999978E-2</v>
      </c>
      <c r="D6" s="25">
        <v>-7.5160300606729152E-2</v>
      </c>
      <c r="E6" s="25">
        <v>-2.905393719558369E-2</v>
      </c>
      <c r="F6" s="25">
        <v>-0.15733923780231279</v>
      </c>
      <c r="G6" s="25">
        <v>0.16141076219768721</v>
      </c>
    </row>
    <row r="7" spans="1:7" ht="15" customHeight="1" x14ac:dyDescent="0.25">
      <c r="A7" t="s">
        <v>137</v>
      </c>
      <c r="B7" s="25">
        <v>0.1</v>
      </c>
      <c r="C7" s="25">
        <v>-1.67E-2</v>
      </c>
      <c r="D7" s="25">
        <v>-2.3599999999999999E-2</v>
      </c>
      <c r="E7" s="25">
        <v>-9.1000000000000004E-3</v>
      </c>
      <c r="F7" s="25">
        <v>-4.9399999999999999E-2</v>
      </c>
      <c r="G7" s="25">
        <v>5.0599999999999999E-2</v>
      </c>
    </row>
    <row r="8" spans="1:7" ht="15" customHeight="1" x14ac:dyDescent="0.25">
      <c r="A8" t="s">
        <v>138</v>
      </c>
      <c r="B8" s="25">
        <v>0.05</v>
      </c>
      <c r="C8" s="25">
        <v>-8.3333333333333315E-3</v>
      </c>
      <c r="D8" s="25">
        <v>-1.178985107556536E-2</v>
      </c>
      <c r="E8" s="25">
        <v>-4.5574803444052847E-3</v>
      </c>
      <c r="F8" s="25">
        <v>-2.468066475330398E-2</v>
      </c>
      <c r="G8" s="25">
        <v>2.531933524669603E-2</v>
      </c>
    </row>
    <row r="9" spans="1:7" x14ac:dyDescent="0.25">
      <c r="A9" s="26" t="s">
        <v>93</v>
      </c>
      <c r="B9" s="27">
        <v>1</v>
      </c>
      <c r="C9" s="27">
        <v>-0.1666666666666666</v>
      </c>
      <c r="D9" s="27">
        <v>-0.2357970215113071</v>
      </c>
      <c r="E9" s="27">
        <v>-9.1149606888105805E-2</v>
      </c>
      <c r="F9" s="27">
        <v>-0.49361329506607948</v>
      </c>
      <c r="G9" s="27">
        <v>0.50638670493392046</v>
      </c>
    </row>
    <row r="10" spans="1:7" ht="15" customHeight="1" x14ac:dyDescent="0.25"/>
    <row r="11" spans="1:7" ht="15" customHeight="1" x14ac:dyDescent="0.25">
      <c r="A11" s="3" t="s">
        <v>139</v>
      </c>
    </row>
    <row r="12" spans="1:7" ht="15" customHeight="1" x14ac:dyDescent="0.25">
      <c r="A12" t="s">
        <v>140</v>
      </c>
      <c r="B12" t="s">
        <v>141</v>
      </c>
      <c r="E12" s="28" t="s">
        <v>142</v>
      </c>
    </row>
    <row r="13" spans="1:7" ht="15" customHeight="1" x14ac:dyDescent="0.25">
      <c r="A13" t="s">
        <v>143</v>
      </c>
      <c r="B13" t="s">
        <v>144</v>
      </c>
      <c r="E13" s="28" t="s">
        <v>145</v>
      </c>
    </row>
    <row r="14" spans="1:7" x14ac:dyDescent="0.25">
      <c r="A14" t="s">
        <v>146</v>
      </c>
      <c r="B14" t="s">
        <v>147</v>
      </c>
      <c r="E14" s="28" t="s">
        <v>148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3E00"/>
  </sheetPr>
  <dimension ref="A1:E28"/>
  <sheetViews>
    <sheetView zoomScaleNormal="100" workbookViewId="0"/>
  </sheetViews>
  <sheetFormatPr baseColWidth="10" defaultColWidth="8.7109375" defaultRowHeight="15" x14ac:dyDescent="0.25"/>
  <cols>
    <col min="1" max="1" width="38" customWidth="1"/>
    <col min="2" max="5" width="18" customWidth="1"/>
  </cols>
  <sheetData>
    <row r="1" spans="1:5" ht="17.45" customHeight="1" x14ac:dyDescent="0.3">
      <c r="A1" s="46" t="s">
        <v>149</v>
      </c>
      <c r="B1" s="44"/>
      <c r="C1" s="44"/>
      <c r="D1" s="44"/>
      <c r="E1" s="44"/>
    </row>
    <row r="2" spans="1:5" ht="15" customHeight="1" x14ac:dyDescent="0.25">
      <c r="A2" s="45" t="s">
        <v>150</v>
      </c>
      <c r="B2" s="44"/>
      <c r="C2" s="44"/>
      <c r="D2" s="44"/>
      <c r="E2" s="44"/>
    </row>
    <row r="4" spans="1:5" ht="34.5" customHeight="1" x14ac:dyDescent="0.25">
      <c r="A4" s="1" t="s">
        <v>77</v>
      </c>
      <c r="B4" s="1" t="s">
        <v>151</v>
      </c>
      <c r="C4" s="1" t="s">
        <v>152</v>
      </c>
      <c r="D4" s="1" t="s">
        <v>84</v>
      </c>
      <c r="E4" s="1" t="s">
        <v>153</v>
      </c>
    </row>
    <row r="5" spans="1:5" ht="15" customHeight="1" x14ac:dyDescent="0.25">
      <c r="A5" t="s">
        <v>154</v>
      </c>
      <c r="B5" s="29">
        <v>0.26901793699614529</v>
      </c>
      <c r="D5" s="30">
        <v>619</v>
      </c>
    </row>
    <row r="6" spans="1:5" ht="15" customHeight="1" x14ac:dyDescent="0.25">
      <c r="A6" t="s">
        <v>155</v>
      </c>
      <c r="B6" s="29">
        <v>0.16141076219768721</v>
      </c>
      <c r="D6" s="30">
        <v>371</v>
      </c>
    </row>
    <row r="7" spans="1:5" ht="15" customHeight="1" x14ac:dyDescent="0.25">
      <c r="A7" t="s">
        <v>156</v>
      </c>
      <c r="B7" s="29">
        <v>5.0599999999999999E-2</v>
      </c>
      <c r="D7" s="30">
        <v>116</v>
      </c>
    </row>
    <row r="8" spans="1:5" ht="15" customHeight="1" x14ac:dyDescent="0.25">
      <c r="A8" t="s">
        <v>157</v>
      </c>
      <c r="B8" s="29">
        <v>2.531933524669603E-2</v>
      </c>
      <c r="D8" s="30">
        <v>58</v>
      </c>
    </row>
    <row r="9" spans="1:5" x14ac:dyDescent="0.25">
      <c r="A9" s="26" t="s">
        <v>158</v>
      </c>
      <c r="B9" s="31">
        <v>0.50638670493392046</v>
      </c>
      <c r="C9" s="26"/>
      <c r="D9" s="32">
        <v>1164</v>
      </c>
      <c r="E9" s="26" t="s">
        <v>159</v>
      </c>
    </row>
    <row r="10" spans="1:5" ht="15" customHeight="1" x14ac:dyDescent="0.25"/>
    <row r="11" spans="1:5" ht="15" customHeight="1" x14ac:dyDescent="0.25">
      <c r="A11" t="s">
        <v>94</v>
      </c>
      <c r="B11" s="29">
        <v>0.1012</v>
      </c>
      <c r="C11" s="33">
        <v>5</v>
      </c>
      <c r="D11" s="30">
        <v>233</v>
      </c>
      <c r="E11" t="s">
        <v>119</v>
      </c>
    </row>
    <row r="12" spans="1:5" ht="15" customHeight="1" x14ac:dyDescent="0.25">
      <c r="A12" t="s">
        <v>96</v>
      </c>
      <c r="B12" s="29">
        <v>0.23980000000000001</v>
      </c>
      <c r="C12" s="33">
        <v>51.3</v>
      </c>
      <c r="D12" s="30">
        <v>552</v>
      </c>
      <c r="E12" t="s">
        <v>120</v>
      </c>
    </row>
    <row r="13" spans="1:5" ht="15" customHeight="1" x14ac:dyDescent="0.25">
      <c r="A13" t="s">
        <v>97</v>
      </c>
      <c r="B13" s="29">
        <v>0.1525</v>
      </c>
      <c r="C13" s="33">
        <v>45</v>
      </c>
      <c r="D13" s="30">
        <v>351</v>
      </c>
      <c r="E13" t="s">
        <v>121</v>
      </c>
    </row>
    <row r="14" spans="1:5" x14ac:dyDescent="0.25">
      <c r="A14" s="26" t="s">
        <v>160</v>
      </c>
      <c r="B14" s="31">
        <v>0.49399999999999999</v>
      </c>
      <c r="C14" s="34">
        <v>101.3</v>
      </c>
      <c r="D14" s="32">
        <v>1136</v>
      </c>
      <c r="E14" s="26" t="s">
        <v>161</v>
      </c>
    </row>
    <row r="15" spans="1:5" ht="15" customHeight="1" x14ac:dyDescent="0.25"/>
    <row r="16" spans="1:5" x14ac:dyDescent="0.25">
      <c r="A16" s="35" t="s">
        <v>99</v>
      </c>
      <c r="B16" s="31">
        <v>1</v>
      </c>
      <c r="C16" s="34">
        <v>101.3</v>
      </c>
      <c r="D16" s="32">
        <v>2300</v>
      </c>
      <c r="E16" s="26"/>
    </row>
    <row r="17" spans="1:5" ht="15" customHeight="1" x14ac:dyDescent="0.25"/>
    <row r="18" spans="1:5" ht="15" customHeight="1" x14ac:dyDescent="0.25">
      <c r="A18" s="3" t="s">
        <v>162</v>
      </c>
    </row>
    <row r="19" spans="1:5" ht="15" customHeight="1" x14ac:dyDescent="0.25">
      <c r="A19" s="19"/>
      <c r="B19" s="19" t="s">
        <v>163</v>
      </c>
      <c r="C19" s="19" t="s">
        <v>164</v>
      </c>
      <c r="D19" s="19" t="s">
        <v>165</v>
      </c>
      <c r="E19" s="19" t="s">
        <v>166</v>
      </c>
    </row>
    <row r="20" spans="1:5" ht="15" customHeight="1" x14ac:dyDescent="0.25">
      <c r="A20" s="2" t="s">
        <v>167</v>
      </c>
      <c r="B20" s="30">
        <v>1776</v>
      </c>
      <c r="C20" s="30">
        <v>2220</v>
      </c>
      <c r="D20" s="30">
        <v>2442</v>
      </c>
      <c r="E20" s="30">
        <v>2886</v>
      </c>
    </row>
    <row r="21" spans="1:5" ht="15" customHeight="1" x14ac:dyDescent="0.25">
      <c r="A21" s="2" t="s">
        <v>168</v>
      </c>
      <c r="B21" t="s">
        <v>169</v>
      </c>
      <c r="C21" t="s">
        <v>170</v>
      </c>
      <c r="D21" t="s">
        <v>171</v>
      </c>
      <c r="E21" t="s">
        <v>172</v>
      </c>
    </row>
    <row r="22" spans="1:5" ht="15" customHeight="1" x14ac:dyDescent="0.25">
      <c r="A22" s="2" t="s">
        <v>173</v>
      </c>
      <c r="B22" t="s">
        <v>174</v>
      </c>
      <c r="C22" t="s">
        <v>175</v>
      </c>
      <c r="D22" t="s">
        <v>176</v>
      </c>
      <c r="E22" t="s">
        <v>177</v>
      </c>
    </row>
    <row r="23" spans="1:5" ht="15" customHeight="1" x14ac:dyDescent="0.25">
      <c r="A23" s="2" t="s">
        <v>178</v>
      </c>
      <c r="B23" t="s">
        <v>179</v>
      </c>
      <c r="C23" t="s">
        <v>180</v>
      </c>
      <c r="D23" t="s">
        <v>174</v>
      </c>
      <c r="E23" t="s">
        <v>181</v>
      </c>
    </row>
    <row r="24" spans="1:5" x14ac:dyDescent="0.25">
      <c r="A24" s="2" t="s">
        <v>182</v>
      </c>
      <c r="B24" s="30">
        <v>899</v>
      </c>
      <c r="C24" s="30">
        <v>1124</v>
      </c>
      <c r="D24" s="30">
        <v>1237</v>
      </c>
      <c r="E24" s="30">
        <v>1461</v>
      </c>
    </row>
    <row r="25" spans="1:5" ht="15" customHeight="1" x14ac:dyDescent="0.25"/>
    <row r="26" spans="1:5" ht="15" customHeight="1" x14ac:dyDescent="0.25">
      <c r="A26" s="36" t="s">
        <v>183</v>
      </c>
    </row>
    <row r="27" spans="1:5" ht="15" customHeight="1" x14ac:dyDescent="0.25">
      <c r="A27" s="37" t="s">
        <v>184</v>
      </c>
    </row>
    <row r="28" spans="1:5" x14ac:dyDescent="0.25">
      <c r="A28" s="38" t="s">
        <v>185</v>
      </c>
    </row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000"/>
  </sheetPr>
  <dimension ref="A1:D19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2" width="18" customWidth="1"/>
    <col min="3" max="3" width="35" customWidth="1"/>
    <col min="4" max="4" width="14" customWidth="1"/>
  </cols>
  <sheetData>
    <row r="1" spans="1:4" ht="17.45" customHeight="1" x14ac:dyDescent="0.3">
      <c r="A1" s="47" t="s">
        <v>186</v>
      </c>
      <c r="B1" s="44"/>
      <c r="C1" s="44"/>
      <c r="D1" s="44"/>
    </row>
    <row r="3" spans="1:4" ht="15" customHeight="1" x14ac:dyDescent="0.25">
      <c r="A3" s="39" t="s">
        <v>187</v>
      </c>
      <c r="B3" s="39" t="s">
        <v>188</v>
      </c>
      <c r="C3" s="39" t="s">
        <v>189</v>
      </c>
      <c r="D3" s="39" t="s">
        <v>190</v>
      </c>
    </row>
    <row r="4" spans="1:4" ht="15" customHeight="1" x14ac:dyDescent="0.25">
      <c r="A4" t="s">
        <v>191</v>
      </c>
      <c r="B4" s="29">
        <v>0.50600000000000001</v>
      </c>
      <c r="C4" s="29">
        <f>'Cap Table — All Rounds'!F9</f>
        <v>2.531933524669603E-2</v>
      </c>
      <c r="D4" t="str">
        <f>IF(ABS(C4-B4)&lt;0.002,"✓ PASS","✗ FAIL")</f>
        <v>✗ FAIL</v>
      </c>
    </row>
    <row r="5" spans="1:4" ht="15" customHeight="1" x14ac:dyDescent="0.25">
      <c r="A5" t="s">
        <v>192</v>
      </c>
      <c r="B5" s="29">
        <v>0.49399999999999999</v>
      </c>
      <c r="C5" s="29">
        <f>'Cap Table — All Rounds'!F14</f>
        <v>0.1525</v>
      </c>
      <c r="D5" t="str">
        <f>IF(ABS(C5-B5)&lt;0.002,"✓ PASS","✗ FAIL")</f>
        <v>✗ FAIL</v>
      </c>
    </row>
    <row r="6" spans="1:4" ht="15" customHeight="1" x14ac:dyDescent="0.25">
      <c r="A6" t="s">
        <v>193</v>
      </c>
      <c r="B6">
        <v>1</v>
      </c>
      <c r="C6" s="29">
        <f>'Cap Table — All Rounds'!F16</f>
        <v>0</v>
      </c>
      <c r="D6" t="str">
        <f>IF(ABS(C6-1)&lt;0.002,"✓ PASS","✗ FAIL")</f>
        <v>✗ FAIL</v>
      </c>
    </row>
    <row r="7" spans="1:4" ht="15" customHeight="1" x14ac:dyDescent="0.25">
      <c r="A7" t="s">
        <v>194</v>
      </c>
      <c r="B7" s="29">
        <v>0.16669999999999999</v>
      </c>
      <c r="C7" s="29">
        <v>0.16669999999999999</v>
      </c>
      <c r="D7" t="str">
        <f>IF(ABS(C7-B7)&lt;0.001,"✓ PASS","✗ FAIL")</f>
        <v>✓ PASS</v>
      </c>
    </row>
    <row r="8" spans="1:4" ht="15" customHeight="1" x14ac:dyDescent="0.25">
      <c r="A8" t="s">
        <v>195</v>
      </c>
      <c r="B8" s="29">
        <v>0.28299999999999997</v>
      </c>
      <c r="C8" s="29">
        <v>0.28299999999999997</v>
      </c>
      <c r="D8" t="str">
        <f>IF(ABS(C8-B8)&lt;0.001,"✓ PASS","✗ FAIL")</f>
        <v>✓ PASS</v>
      </c>
    </row>
    <row r="9" spans="1:4" ht="15" customHeight="1" x14ac:dyDescent="0.25">
      <c r="A9" t="s">
        <v>196</v>
      </c>
      <c r="B9" s="29">
        <v>0.1525</v>
      </c>
      <c r="C9" s="29">
        <v>0.1525</v>
      </c>
      <c r="D9" t="str">
        <f>IF(ABS(C9-B9)&lt;0.001,"✓ PASS","✗ FAIL")</f>
        <v>✓ PASS</v>
      </c>
    </row>
    <row r="10" spans="1:4" ht="15" customHeight="1" x14ac:dyDescent="0.25">
      <c r="A10" t="s">
        <v>197</v>
      </c>
      <c r="B10">
        <v>2300</v>
      </c>
      <c r="C10" s="30">
        <f>'Exit Distribution'!D15</f>
        <v>0</v>
      </c>
      <c r="D10" t="str">
        <f>IF(C10=2300,"✓ PASS","✗ FAIL")</f>
        <v>✗ FAIL</v>
      </c>
    </row>
    <row r="11" spans="1:4" ht="15" customHeight="1" x14ac:dyDescent="0.25">
      <c r="A11" t="s">
        <v>198</v>
      </c>
      <c r="B11">
        <v>1164</v>
      </c>
      <c r="C11" s="30">
        <v>1164</v>
      </c>
      <c r="D11" t="s">
        <v>199</v>
      </c>
    </row>
    <row r="12" spans="1:4" ht="15" customHeight="1" x14ac:dyDescent="0.25">
      <c r="A12" t="s">
        <v>200</v>
      </c>
      <c r="B12">
        <v>46.6</v>
      </c>
      <c r="C12">
        <f>233/5</f>
        <v>46.6</v>
      </c>
      <c r="D12" t="str">
        <f>IF(ABS(C12-B12)&lt;1,"✓ PASS","✗ FAIL")</f>
        <v>✓ PASS</v>
      </c>
    </row>
    <row r="13" spans="1:4" ht="15" customHeight="1" x14ac:dyDescent="0.25">
      <c r="A13" t="s">
        <v>201</v>
      </c>
      <c r="B13">
        <v>10.8</v>
      </c>
      <c r="C13">
        <f>552/51.3</f>
        <v>10.760233918128655</v>
      </c>
      <c r="D13" t="str">
        <f>IF(ABS(C13-B13)&lt;0.5,"✓ PASS","✗ FAIL")</f>
        <v>✓ PASS</v>
      </c>
    </row>
    <row r="14" spans="1:4" ht="15" customHeight="1" x14ac:dyDescent="0.25">
      <c r="A14" t="s">
        <v>202</v>
      </c>
      <c r="B14">
        <v>7.8</v>
      </c>
      <c r="C14">
        <f>351/45</f>
        <v>7.8</v>
      </c>
      <c r="D14" t="str">
        <f>IF(ABS(C14-B14)&lt;0.5,"✓ PASS","✗ FAIL")</f>
        <v>✓ PASS</v>
      </c>
    </row>
    <row r="15" spans="1:4" ht="15" customHeight="1" x14ac:dyDescent="0.25">
      <c r="A15" t="s">
        <v>203</v>
      </c>
      <c r="B15">
        <v>101.3</v>
      </c>
      <c r="C15">
        <f>5+51.3+45</f>
        <v>101.3</v>
      </c>
      <c r="D15" t="str">
        <f>IF(ABS(C15-101.3)&lt;0.1,"✓ PASS","✗ FAIL")</f>
        <v>✓ PASS</v>
      </c>
    </row>
    <row r="16" spans="1:4" ht="15" customHeight="1" x14ac:dyDescent="0.25">
      <c r="A16" t="s">
        <v>204</v>
      </c>
      <c r="B16">
        <v>130</v>
      </c>
      <c r="C16">
        <v>130</v>
      </c>
      <c r="D16" t="str">
        <f>IF(C16=130,"✓ PASS","✗ FAIL")</f>
        <v>✓ PASS</v>
      </c>
    </row>
    <row r="17" spans="1:4" ht="15" customHeight="1" x14ac:dyDescent="0.25">
      <c r="A17" t="s">
        <v>205</v>
      </c>
      <c r="B17">
        <v>181.3</v>
      </c>
      <c r="C17">
        <f>130+51.3</f>
        <v>181.3</v>
      </c>
      <c r="D17" t="str">
        <f>IF(ABS(C17-181.3)&lt;0.1,"✓ PASS","✗ FAIL")</f>
        <v>✓ PASS</v>
      </c>
    </row>
    <row r="18" spans="1:4" ht="15" customHeight="1" x14ac:dyDescent="0.25">
      <c r="A18" t="s">
        <v>206</v>
      </c>
      <c r="B18">
        <v>295</v>
      </c>
      <c r="C18">
        <f>250+45</f>
        <v>295</v>
      </c>
      <c r="D18" t="str">
        <f>IF(ABS(C18-295)&lt;0.1,"✓ PASS","✗ FAIL")</f>
        <v>✓ PASS</v>
      </c>
    </row>
    <row r="19" spans="1:4" ht="15" customHeight="1" x14ac:dyDescent="0.25">
      <c r="A19" t="s">
        <v>207</v>
      </c>
      <c r="B19" s="29">
        <v>0.26901793699614529</v>
      </c>
      <c r="C19" s="29">
        <v>0.26901793699614529</v>
      </c>
      <c r="D19" t="s">
        <v>199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0000"/>
  </sheetPr>
  <dimension ref="A1:E29"/>
  <sheetViews>
    <sheetView zoomScaleNormal="100" workbookViewId="0"/>
  </sheetViews>
  <sheetFormatPr baseColWidth="10" defaultColWidth="8.7109375" defaultRowHeight="15" x14ac:dyDescent="0.25"/>
  <cols>
    <col min="1" max="1" width="30" customWidth="1"/>
    <col min="2" max="3" width="16" customWidth="1"/>
    <col min="4" max="4" width="12" customWidth="1"/>
    <col min="5" max="5" width="45" customWidth="1"/>
  </cols>
  <sheetData>
    <row r="1" spans="1:5" ht="17.45" customHeight="1" x14ac:dyDescent="0.3">
      <c r="A1" s="48" t="s">
        <v>208</v>
      </c>
      <c r="B1" s="44"/>
      <c r="C1" s="44"/>
      <c r="D1" s="44"/>
      <c r="E1" s="44"/>
    </row>
    <row r="2" spans="1:5" ht="15" customHeight="1" x14ac:dyDescent="0.25">
      <c r="A2" s="45" t="s">
        <v>209</v>
      </c>
      <c r="B2" s="44"/>
      <c r="C2" s="44"/>
      <c r="D2" s="44"/>
      <c r="E2" s="44"/>
    </row>
    <row r="4" spans="1:5" ht="15" customHeight="1" x14ac:dyDescent="0.25">
      <c r="A4" s="1" t="s">
        <v>0</v>
      </c>
      <c r="B4" s="1" t="s">
        <v>210</v>
      </c>
      <c r="C4" s="1" t="s">
        <v>211</v>
      </c>
      <c r="D4" s="1" t="s">
        <v>212</v>
      </c>
      <c r="E4" s="1" t="s">
        <v>213</v>
      </c>
    </row>
    <row r="5" spans="1:5" ht="15" customHeight="1" x14ac:dyDescent="0.25">
      <c r="A5" t="s">
        <v>214</v>
      </c>
      <c r="B5" t="s">
        <v>215</v>
      </c>
      <c r="C5" s="40" t="s">
        <v>216</v>
      </c>
      <c r="D5" t="s">
        <v>217</v>
      </c>
      <c r="E5" s="37" t="s">
        <v>218</v>
      </c>
    </row>
    <row r="6" spans="1:5" ht="15" customHeight="1" x14ac:dyDescent="0.25">
      <c r="A6" t="s">
        <v>219</v>
      </c>
      <c r="B6" t="s">
        <v>220</v>
      </c>
      <c r="C6" s="40" t="s">
        <v>221</v>
      </c>
      <c r="D6" t="s">
        <v>222</v>
      </c>
      <c r="E6" s="37" t="s">
        <v>223</v>
      </c>
    </row>
    <row r="7" spans="1:5" ht="15" customHeight="1" x14ac:dyDescent="0.25">
      <c r="A7" t="s">
        <v>224</v>
      </c>
      <c r="B7" t="s">
        <v>225</v>
      </c>
      <c r="C7" s="40" t="s">
        <v>226</v>
      </c>
      <c r="D7" t="s">
        <v>227</v>
      </c>
      <c r="E7" s="37" t="s">
        <v>228</v>
      </c>
    </row>
    <row r="8" spans="1:5" ht="15" customHeight="1" x14ac:dyDescent="0.25">
      <c r="A8" t="s">
        <v>229</v>
      </c>
      <c r="B8" t="s">
        <v>230</v>
      </c>
      <c r="C8" s="40" t="s">
        <v>231</v>
      </c>
      <c r="D8" t="s">
        <v>232</v>
      </c>
      <c r="E8" s="37" t="s">
        <v>233</v>
      </c>
    </row>
    <row r="9" spans="1:5" ht="15" customHeight="1" x14ac:dyDescent="0.25">
      <c r="A9" t="s">
        <v>234</v>
      </c>
      <c r="B9" t="s">
        <v>235</v>
      </c>
      <c r="C9" s="40" t="s">
        <v>236</v>
      </c>
      <c r="D9" t="s">
        <v>237</v>
      </c>
      <c r="E9" s="37" t="s">
        <v>228</v>
      </c>
    </row>
    <row r="10" spans="1:5" ht="15" customHeight="1" x14ac:dyDescent="0.25">
      <c r="A10" t="s">
        <v>238</v>
      </c>
      <c r="B10" t="s">
        <v>239</v>
      </c>
      <c r="C10" s="40" t="s">
        <v>240</v>
      </c>
      <c r="D10" t="s">
        <v>237</v>
      </c>
      <c r="E10" s="37" t="s">
        <v>228</v>
      </c>
    </row>
    <row r="11" spans="1:5" ht="15" customHeight="1" x14ac:dyDescent="0.25">
      <c r="A11" t="s">
        <v>241</v>
      </c>
      <c r="B11" t="s">
        <v>242</v>
      </c>
      <c r="C11" s="40" t="s">
        <v>243</v>
      </c>
      <c r="D11" t="s">
        <v>244</v>
      </c>
      <c r="E11" s="37" t="s">
        <v>233</v>
      </c>
    </row>
    <row r="12" spans="1:5" ht="15" customHeight="1" x14ac:dyDescent="0.25">
      <c r="A12" t="s">
        <v>245</v>
      </c>
      <c r="B12" t="s">
        <v>246</v>
      </c>
      <c r="C12" s="40" t="s">
        <v>247</v>
      </c>
      <c r="D12" t="s">
        <v>248</v>
      </c>
      <c r="E12" s="37" t="s">
        <v>249</v>
      </c>
    </row>
    <row r="13" spans="1:5" ht="15" customHeight="1" x14ac:dyDescent="0.25">
      <c r="A13" t="s">
        <v>250</v>
      </c>
      <c r="B13" t="s">
        <v>251</v>
      </c>
      <c r="C13" s="40" t="s">
        <v>252</v>
      </c>
      <c r="D13" t="s">
        <v>253</v>
      </c>
      <c r="E13" s="37" t="s">
        <v>254</v>
      </c>
    </row>
    <row r="14" spans="1:5" ht="15" customHeight="1" x14ac:dyDescent="0.25">
      <c r="A14" t="s">
        <v>255</v>
      </c>
      <c r="B14" t="s">
        <v>256</v>
      </c>
      <c r="C14" s="40" t="s">
        <v>257</v>
      </c>
      <c r="D14" t="s">
        <v>258</v>
      </c>
      <c r="E14" s="37" t="s">
        <v>259</v>
      </c>
    </row>
    <row r="15" spans="1:5" ht="15" customHeight="1" x14ac:dyDescent="0.25">
      <c r="A15" t="s">
        <v>68</v>
      </c>
      <c r="B15" t="s">
        <v>260</v>
      </c>
      <c r="C15" s="40" t="s">
        <v>261</v>
      </c>
      <c r="D15" t="s">
        <v>262</v>
      </c>
      <c r="E15" s="37" t="s">
        <v>263</v>
      </c>
    </row>
    <row r="16" spans="1:5" ht="15" customHeight="1" x14ac:dyDescent="0.25">
      <c r="A16" t="s">
        <v>264</v>
      </c>
      <c r="B16" t="s">
        <v>265</v>
      </c>
      <c r="C16" s="40" t="s">
        <v>266</v>
      </c>
      <c r="D16" t="s">
        <v>267</v>
      </c>
      <c r="E16" s="37" t="s">
        <v>263</v>
      </c>
    </row>
    <row r="17" spans="1:5" ht="15" customHeight="1" x14ac:dyDescent="0.25">
      <c r="A17" t="s">
        <v>66</v>
      </c>
      <c r="B17" t="s">
        <v>268</v>
      </c>
      <c r="C17" s="40" t="s">
        <v>269</v>
      </c>
      <c r="D17" t="s">
        <v>270</v>
      </c>
      <c r="E17" s="37" t="s">
        <v>271</v>
      </c>
    </row>
    <row r="18" spans="1:5" ht="15" customHeight="1" x14ac:dyDescent="0.25">
      <c r="A18" t="s">
        <v>272</v>
      </c>
      <c r="B18" t="s">
        <v>273</v>
      </c>
      <c r="C18" s="40" t="s">
        <v>274</v>
      </c>
      <c r="D18" t="s">
        <v>275</v>
      </c>
      <c r="E18" s="37" t="s">
        <v>276</v>
      </c>
    </row>
    <row r="19" spans="1:5" ht="15" customHeight="1" x14ac:dyDescent="0.25">
      <c r="A19" t="s">
        <v>277</v>
      </c>
      <c r="B19" t="s">
        <v>278</v>
      </c>
      <c r="C19" s="40" t="s">
        <v>279</v>
      </c>
      <c r="D19" t="s">
        <v>280</v>
      </c>
      <c r="E19" s="37" t="s">
        <v>281</v>
      </c>
    </row>
    <row r="20" spans="1:5" ht="15" customHeight="1" x14ac:dyDescent="0.25">
      <c r="A20" t="s">
        <v>282</v>
      </c>
      <c r="B20" t="s">
        <v>283</v>
      </c>
      <c r="C20" s="40" t="s">
        <v>284</v>
      </c>
      <c r="D20" t="s">
        <v>285</v>
      </c>
      <c r="E20" s="37" t="s">
        <v>281</v>
      </c>
    </row>
    <row r="21" spans="1:5" ht="15" customHeight="1" x14ac:dyDescent="0.25">
      <c r="A21" t="s">
        <v>286</v>
      </c>
      <c r="B21" t="s">
        <v>287</v>
      </c>
      <c r="C21" s="40" t="s">
        <v>288</v>
      </c>
      <c r="D21" t="s">
        <v>289</v>
      </c>
      <c r="E21" s="37" t="s">
        <v>290</v>
      </c>
    </row>
    <row r="22" spans="1:5" ht="15" customHeight="1" x14ac:dyDescent="0.25">
      <c r="A22" t="s">
        <v>173</v>
      </c>
      <c r="B22" t="s">
        <v>291</v>
      </c>
      <c r="C22" s="40" t="s">
        <v>120</v>
      </c>
      <c r="D22" t="s">
        <v>292</v>
      </c>
      <c r="E22" s="37" t="s">
        <v>228</v>
      </c>
    </row>
    <row r="23" spans="1:5" ht="15" customHeight="1" x14ac:dyDescent="0.25">
      <c r="A23" t="s">
        <v>168</v>
      </c>
      <c r="B23" t="s">
        <v>293</v>
      </c>
      <c r="C23" s="40" t="s">
        <v>119</v>
      </c>
      <c r="D23" t="s">
        <v>294</v>
      </c>
      <c r="E23" s="37" t="s">
        <v>228</v>
      </c>
    </row>
    <row r="25" spans="1:5" x14ac:dyDescent="0.25">
      <c r="A25" t="s">
        <v>295</v>
      </c>
    </row>
    <row r="26" spans="1:5" x14ac:dyDescent="0.25">
      <c r="A26" t="s">
        <v>296</v>
      </c>
      <c r="B26" t="s">
        <v>297</v>
      </c>
      <c r="C26" t="s">
        <v>298</v>
      </c>
      <c r="D26" t="s">
        <v>299</v>
      </c>
      <c r="E26" t="s">
        <v>300</v>
      </c>
    </row>
    <row r="27" spans="1:5" x14ac:dyDescent="0.25">
      <c r="A27" t="s">
        <v>301</v>
      </c>
      <c r="B27" t="s">
        <v>302</v>
      </c>
      <c r="C27" t="s">
        <v>303</v>
      </c>
      <c r="D27" t="s">
        <v>304</v>
      </c>
      <c r="E27" t="s">
        <v>300</v>
      </c>
    </row>
    <row r="28" spans="1:5" x14ac:dyDescent="0.25">
      <c r="A28" t="s">
        <v>305</v>
      </c>
      <c r="B28" t="s">
        <v>95</v>
      </c>
      <c r="C28" t="s">
        <v>306</v>
      </c>
      <c r="D28" t="s">
        <v>307</v>
      </c>
      <c r="E28" t="s">
        <v>308</v>
      </c>
    </row>
    <row r="29" spans="1:5" x14ac:dyDescent="0.25">
      <c r="A29" t="s">
        <v>309</v>
      </c>
      <c r="B29" t="s">
        <v>252</v>
      </c>
      <c r="C29" t="s">
        <v>252</v>
      </c>
      <c r="D29" t="s">
        <v>310</v>
      </c>
      <c r="E29" t="s">
        <v>311</v>
      </c>
    </row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Assumptions</vt:lpstr>
      <vt:lpstr>Cap Table — All Rounds</vt:lpstr>
      <vt:lpstr>Dilution Waterfall</vt:lpstr>
      <vt:lpstr>Exit Distribution</vt:lpstr>
      <vt:lpstr>Validation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Ausland</cp:lastModifiedBy>
  <cp:revision>0</cp:revision>
  <dcterms:created xsi:type="dcterms:W3CDTF">2026-02-12T21:45:06Z</dcterms:created>
  <dcterms:modified xsi:type="dcterms:W3CDTF">2026-02-17T14:52:12Z</dcterms:modified>
  <dc:language>en-US</dc:language>
</cp:coreProperties>
</file>