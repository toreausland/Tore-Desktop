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https://mnuas-my.sharepoint.com/personal/ta_necia_no/Documents/Skrivebord/Aurelian/Aurelian Manufacturing/Aurelian_VDR/01_Corporate_Governance/1.4_Cap_Table/"/>
    </mc:Choice>
  </mc:AlternateContent>
  <xr:revisionPtr revIDLastSave="3" documentId="11_5072E10B97A6D797A42B10AFA7427946EDB6A861" xr6:coauthVersionLast="47" xr6:coauthVersionMax="47" xr10:uidLastSave="{A68BC4C7-84D8-4AE5-BD45-F0E6FA7A27BB}"/>
  <bookViews>
    <workbookView xWindow="4305" yWindow="990" windowWidth="21600" windowHeight="11970" xr2:uid="{00000000-000D-0000-FFFF-FFFF00000000}"/>
  </bookViews>
  <sheets>
    <sheet name="Ark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11" i="1" l="1"/>
  <c r="G10" i="1"/>
  <c r="G9" i="1"/>
  <c r="G8" i="1"/>
  <c r="G7" i="1"/>
</calcChain>
</file>

<file path=xl/sharedStrings.xml><?xml version="1.0" encoding="utf-8"?>
<sst xmlns="http://schemas.openxmlformats.org/spreadsheetml/2006/main" count="58" uniqueCount="53">
  <si>
    <t>EIERBOK - Aurelian Manufacturing AS</t>
  </si>
  <si>
    <t>Org.nr. 835 679 632</t>
  </si>
  <si>
    <t>Per 17.02.2026</t>
  </si>
  <si>
    <t>Aksjeeier</t>
  </si>
  <si>
    <t>Org.nr. / Fødselsdato</t>
  </si>
  <si>
    <t>Adresse</t>
  </si>
  <si>
    <t>Antall aksjer</t>
  </si>
  <si>
    <t>Aksjenr.</t>
  </si>
  <si>
    <t>Akjseklasse</t>
  </si>
  <si>
    <t>Eier</t>
  </si>
  <si>
    <t>Innført i boken</t>
  </si>
  <si>
    <t>Fornavn</t>
  </si>
  <si>
    <t>Etternavn</t>
  </si>
  <si>
    <t>Email</t>
  </si>
  <si>
    <t>Tlf</t>
  </si>
  <si>
    <t>HÖLEN INDUSTRIER AS</t>
  </si>
  <si>
    <t>832 249 742</t>
  </si>
  <si>
    <t>Bruerveien 44a, 1550 Hølen</t>
  </si>
  <si>
    <t>531 250</t>
  </si>
  <si>
    <t>1 - 531 250</t>
  </si>
  <si>
    <t>Ord.</t>
  </si>
  <si>
    <t>André</t>
  </si>
  <si>
    <t>Tandberg</t>
  </si>
  <si>
    <t>andre@aurelian.no</t>
  </si>
  <si>
    <t>QUALITY GROUP INVEST AS</t>
  </si>
  <si>
    <t>913 097 203</t>
  </si>
  <si>
    <t>Nygårdslia 10, 1814 Askim</t>
  </si>
  <si>
    <t>318 750</t>
  </si>
  <si>
    <t>531 251 - 850 000</t>
  </si>
  <si>
    <t>Tore</t>
  </si>
  <si>
    <t>Ausland</t>
  </si>
  <si>
    <t>tore@aurelian.no</t>
  </si>
  <si>
    <t>STAH INVEST AS</t>
  </si>
  <si>
    <t>937 920 368</t>
  </si>
  <si>
    <t>Nygårdsveien 44, 1814 Askim</t>
  </si>
  <si>
    <t>100 000</t>
  </si>
  <si>
    <t>850 001 - 950 000</t>
  </si>
  <si>
    <t>Henrik Syverstad</t>
  </si>
  <si>
    <t>Strøm</t>
  </si>
  <si>
    <t>ROADCODE AS</t>
  </si>
  <si>
    <t>920 694 241</t>
  </si>
  <si>
    <t>Bøstadveien 1175, 1866 Båstad</t>
  </si>
  <si>
    <t>50 000</t>
  </si>
  <si>
    <t>950 001 - 1 000 000</t>
  </si>
  <si>
    <t>Fredrik Vereide</t>
  </si>
  <si>
    <t>Vangsal</t>
  </si>
  <si>
    <t>fv@veira.no</t>
  </si>
  <si>
    <t>Totalt</t>
  </si>
  <si>
    <t>1 000 000</t>
  </si>
  <si>
    <t>1 - 1 000 000</t>
  </si>
  <si>
    <t>Aksjekapital: 1 000 000 ordinære aksjer</t>
  </si>
  <si>
    <t>Sist oppdatert: 17.02.2026</t>
  </si>
  <si>
    <t>henrik@aurelian.no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</si>
</sst>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/d/yyyy"/>
  </numFmts>
  <fonts count="8" x14ac:knownFonts="1">
    <font>
      <sz val="11"/>
      <color theme="1"/>
      <name val="Calibri"/>
      <family val="2"/>
      <scheme val="minor"/>
    </font>
    <font>
      <sz val="11"/>
      <color theme="1"/>
      <name val="Calibri"/>
      <scheme val="minor"/>
    </font>
    <font>
      <u/>
      <sz val="11"/>
      <color theme="10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00000"/>
      <name val="Calibri"/>
      <scheme val="minor"/>
    </font>
    <font>
      <sz val="11"/>
      <color rgb="FF0563C1"/>
      <name val="Calibri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0" fontId="2" fillId="0" borderId="0"/>
    <xf numFmtId="0" fontId="2" fillId="0" borderId="0" applyNumberFormat="0" applyFill="0" applyBorder="0" applyAlignment="0" applyProtection="0"/>
  </cellStyleXfs>
  <cellXfs count="19">
    <xf numFmtId="0" fontId="0" fillId="0" borderId="0" xfId="0"/>
    <xf numFmtId="0" fontId="3" fillId="0" borderId="0" xfId="0" applyFont="1"/>
    <xf numFmtId="0" fontId="4" fillId="0" borderId="0" xfId="0" applyFont="1"/>
    <xf numFmtId="0" fontId="2" fillId="0" borderId="0" xfId="1"/>
    <xf numFmtId="0" fontId="5" fillId="0" borderId="0" xfId="0" applyFont="1"/>
    <xf numFmtId="0" fontId="0" fillId="0" borderId="0" xfId="0" applyAlignment="1">
      <alignment horizontal="left"/>
    </xf>
    <xf numFmtId="9" fontId="4" fillId="0" borderId="0" xfId="0" applyNumberFormat="1" applyFont="1"/>
    <xf numFmtId="2" fontId="0" fillId="0" borderId="0" xfId="0" applyNumberFormat="1"/>
    <xf numFmtId="2" fontId="4" fillId="0" borderId="0" xfId="0" applyNumberFormat="1" applyFont="1"/>
    <xf numFmtId="0" fontId="4" fillId="0" borderId="0" xfId="0" applyFont="1" applyAlignment="1">
      <alignment horizontal="center" vertical="center" wrapText="1"/>
    </xf>
    <xf numFmtId="0" fontId="4" fillId="0" borderId="0" xfId="0" applyFont="1" applyAlignment="1">
      <alignment horizontal="center" vertical="center"/>
    </xf>
    <xf numFmtId="9" fontId="0" fillId="0" borderId="0" xfId="0" applyNumberFormat="1"/>
    <xf numFmtId="9" fontId="4" fillId="0" borderId="0" xfId="0" applyNumberFormat="1" applyFont="1" applyAlignment="1">
      <alignment horizontal="center" vertical="center" wrapText="1"/>
    </xf>
    <xf numFmtId="14" fontId="0" fillId="0" borderId="0" xfId="0" applyNumberFormat="1"/>
    <xf numFmtId="0" fontId="1" fillId="0" borderId="0" xfId="0" applyFont="1"/>
    <xf numFmtId="164" fontId="0" fillId="0" borderId="0" xfId="0" applyNumberFormat="1"/>
    <xf numFmtId="0" fontId="6" fillId="0" borderId="0" xfId="0" applyFont="1"/>
    <xf numFmtId="0" fontId="7" fillId="0" borderId="0" xfId="0" applyFont="1"/>
    <xf numFmtId="0" fontId="2" fillId="0" borderId="0" xfId="2"/>
  </cellXfs>
  <cellStyles count="3">
    <cellStyle name="Hyperkobling" xfId="2" builtinId="8"/>
    <cellStyle name="Hyperlink" xfId="1" xr:uid="{00000000-0005-0000-0000-000001000000}"/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henrik@aurelian.no" TargetMode="External"/><Relationship Id="rId2" Type="http://schemas.openxmlformats.org/officeDocument/2006/relationships/hyperlink" Target="mailto:tore@aurelian.no" TargetMode="External"/><Relationship Id="rId1" Type="http://schemas.openxmlformats.org/officeDocument/2006/relationships/hyperlink" Target="mailto:andre@aurelian.no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24"/>
  <sheetViews>
    <sheetView tabSelected="1" workbookViewId="0">
      <selection activeCell="K16" sqref="K16"/>
    </sheetView>
  </sheetViews>
  <sheetFormatPr baseColWidth="10" defaultColWidth="9.140625" defaultRowHeight="15" x14ac:dyDescent="0.25"/>
  <cols>
    <col min="1" max="1" width="36" customWidth="1"/>
    <col min="2" max="2" width="20.28515625" customWidth="1"/>
    <col min="3" max="3" width="32.7109375" customWidth="1"/>
    <col min="4" max="4" width="16" customWidth="1"/>
    <col min="5" max="5" width="21.140625" customWidth="1"/>
    <col min="6" max="6" width="14.5703125" customWidth="1"/>
    <col min="7" max="8" width="14.5703125" style="11" customWidth="1"/>
    <col min="9" max="9" width="15.85546875" bestFit="1" customWidth="1"/>
    <col min="10" max="10" width="12.7109375" customWidth="1"/>
    <col min="11" max="11" width="25.42578125" customWidth="1"/>
    <col min="12" max="12" width="12.5703125" customWidth="1"/>
    <col min="13" max="13" width="37.85546875" customWidth="1"/>
  </cols>
  <sheetData>
    <row r="1" spans="1:12" ht="23.25" customHeight="1" x14ac:dyDescent="0.35">
      <c r="A1" s="1" t="s">
        <v>0</v>
      </c>
    </row>
    <row r="2" spans="1:12" x14ac:dyDescent="0.25">
      <c r="A2" s="2" t="s">
        <v>1</v>
      </c>
    </row>
    <row r="3" spans="1:12" x14ac:dyDescent="0.25">
      <c r="A3" s="2" t="s">
        <v>2</v>
      </c>
    </row>
    <row r="6" spans="1:12" x14ac:dyDescent="0.25">
      <c r="A6" s="2" t="s">
        <v>3</v>
      </c>
      <c r="B6" s="2" t="s">
        <v>4</v>
      </c>
      <c r="C6" s="2" t="s">
        <v>5</v>
      </c>
      <c r="D6" s="2" t="s">
        <v>6</v>
      </c>
      <c r="E6" s="2" t="s">
        <v>7</v>
      </c>
      <c r="F6" s="10" t="s">
        <v>8</v>
      </c>
      <c r="G6" s="6" t="s">
        <v>9</v>
      </c>
      <c r="H6" s="6" t="s">
        <v>10</v>
      </c>
      <c r="I6" s="2" t="s">
        <v>11</v>
      </c>
      <c r="J6" s="2" t="s">
        <v>12</v>
      </c>
      <c r="K6" s="2" t="s">
        <v>13</v>
      </c>
      <c r="L6" s="2" t="s">
        <v>14</v>
      </c>
    </row>
    <row r="7" spans="1:12" x14ac:dyDescent="0.25">
      <c r="A7" t="s">
        <v>15</v>
      </c>
      <c r="B7" t="s">
        <v>16</v>
      </c>
      <c r="C7" t="s">
        <v>17</v>
      </c>
      <c r="D7" s="7" t="s">
        <v>18</v>
      </c>
      <c r="E7" s="5" t="s">
        <v>19</v>
      </c>
      <c r="F7" t="s">
        <v>20</v>
      </c>
      <c r="G7" s="11">
        <f>D7/D11</f>
        <v>0.53125</v>
      </c>
      <c r="H7" s="13">
        <v>45810</v>
      </c>
      <c r="I7" t="s">
        <v>21</v>
      </c>
      <c r="J7" t="s">
        <v>22</v>
      </c>
      <c r="K7" s="3" t="s">
        <v>23</v>
      </c>
      <c r="L7" s="4">
        <v>47340801</v>
      </c>
    </row>
    <row r="8" spans="1:12" x14ac:dyDescent="0.25">
      <c r="A8" t="s">
        <v>24</v>
      </c>
      <c r="B8" t="s">
        <v>25</v>
      </c>
      <c r="C8" t="s">
        <v>26</v>
      </c>
      <c r="D8" s="7" t="s">
        <v>27</v>
      </c>
      <c r="E8" s="5" t="s">
        <v>28</v>
      </c>
      <c r="F8" t="s">
        <v>20</v>
      </c>
      <c r="G8" s="11">
        <f>D8/D11</f>
        <v>0.31874999999999998</v>
      </c>
      <c r="H8" s="13">
        <v>45810</v>
      </c>
      <c r="I8" t="s">
        <v>29</v>
      </c>
      <c r="J8" t="s">
        <v>30</v>
      </c>
      <c r="K8" s="3" t="s">
        <v>31</v>
      </c>
      <c r="L8" s="4">
        <v>90548048</v>
      </c>
    </row>
    <row r="9" spans="1:12" x14ac:dyDescent="0.25">
      <c r="A9" t="s">
        <v>32</v>
      </c>
      <c r="B9" t="s">
        <v>33</v>
      </c>
      <c r="C9" t="s">
        <v>34</v>
      </c>
      <c r="D9" s="7" t="s">
        <v>35</v>
      </c>
      <c r="E9" s="5" t="s">
        <v>36</v>
      </c>
      <c r="F9" t="s">
        <v>20</v>
      </c>
      <c r="G9" s="11">
        <f>D9/D11</f>
        <v>0.1</v>
      </c>
      <c r="H9" s="13">
        <v>46062</v>
      </c>
      <c r="I9" t="s">
        <v>37</v>
      </c>
      <c r="J9" t="s">
        <v>38</v>
      </c>
      <c r="K9" s="18" t="s">
        <v>52</v>
      </c>
      <c r="L9" s="4">
        <v>95945274</v>
      </c>
    </row>
    <row r="10" spans="1:12" x14ac:dyDescent="0.25">
      <c r="A10" t="s">
        <v>39</v>
      </c>
      <c r="B10" t="s">
        <v>40</v>
      </c>
      <c r="C10" t="s">
        <v>41</v>
      </c>
      <c r="D10" s="7" t="s">
        <v>42</v>
      </c>
      <c r="E10" s="5" t="s">
        <v>43</v>
      </c>
      <c r="F10" t="s">
        <v>20</v>
      </c>
      <c r="G10" s="11">
        <f>D10/D11</f>
        <v>0.05</v>
      </c>
      <c r="H10" s="15">
        <v>46070</v>
      </c>
      <c r="I10" t="s">
        <v>44</v>
      </c>
      <c r="J10" t="s">
        <v>45</v>
      </c>
      <c r="K10" s="16" t="s">
        <v>46</v>
      </c>
      <c r="L10" s="17">
        <v>91307062</v>
      </c>
    </row>
    <row r="11" spans="1:12" x14ac:dyDescent="0.25">
      <c r="A11" s="2" t="s">
        <v>47</v>
      </c>
      <c r="D11" s="8" t="s">
        <v>48</v>
      </c>
      <c r="E11" s="2" t="s">
        <v>49</v>
      </c>
      <c r="G11" s="11">
        <f>D11/D11</f>
        <v>1</v>
      </c>
      <c r="H11" s="13"/>
      <c r="L11" s="4"/>
    </row>
    <row r="12" spans="1:12" x14ac:dyDescent="0.25">
      <c r="L12" s="4"/>
    </row>
    <row r="13" spans="1:12" x14ac:dyDescent="0.25">
      <c r="L13" s="14"/>
    </row>
    <row r="14" spans="1:12" x14ac:dyDescent="0.25">
      <c r="A14" s="2" t="s">
        <v>50</v>
      </c>
      <c r="L14" s="14"/>
    </row>
    <row r="15" spans="1:12" x14ac:dyDescent="0.25">
      <c r="A15" s="2" t="s">
        <v>51</v>
      </c>
      <c r="L15" s="14"/>
    </row>
    <row r="16" spans="1:12" x14ac:dyDescent="0.25">
      <c r="L16" s="14"/>
    </row>
    <row r="17" spans="1:15" x14ac:dyDescent="0.25">
      <c r="L17" s="14"/>
    </row>
    <row r="18" spans="1:15" x14ac:dyDescent="0.25">
      <c r="L18" s="14"/>
    </row>
    <row r="19" spans="1:15" x14ac:dyDescent="0.25">
      <c r="A19" s="9"/>
      <c r="B19" s="9"/>
      <c r="C19" s="9"/>
      <c r="D19" s="9"/>
      <c r="E19" s="10"/>
      <c r="F19" s="9"/>
      <c r="G19" s="12"/>
      <c r="H19" s="12"/>
      <c r="I19" s="10"/>
      <c r="J19" s="9"/>
      <c r="K19" s="9"/>
      <c r="L19" s="10"/>
      <c r="M19" s="10"/>
      <c r="N19" s="10" t="s">
        <v>13</v>
      </c>
      <c r="O19" s="10" t="s">
        <v>14</v>
      </c>
    </row>
    <row r="20" spans="1:15" x14ac:dyDescent="0.25">
      <c r="L20" s="14"/>
    </row>
    <row r="21" spans="1:15" x14ac:dyDescent="0.25">
      <c r="L21" s="14"/>
    </row>
    <row r="22" spans="1:15" x14ac:dyDescent="0.25">
      <c r="L22" s="14"/>
    </row>
    <row r="23" spans="1:15" x14ac:dyDescent="0.25">
      <c r="L23" s="14"/>
    </row>
    <row r="24" spans="1:15" x14ac:dyDescent="0.25">
      <c r="L24" s="14"/>
    </row>
  </sheetData>
  <hyperlinks>
    <hyperlink ref="K7" r:id="rId1" xr:uid="{00000000-0004-0000-0000-000000000000}"/>
    <hyperlink ref="K8" r:id="rId2" xr:uid="{00000000-0004-0000-0000-000001000000}"/>
    <hyperlink ref="K9" r:id="rId3" xr:uid="{00000000-0004-0000-0000-000002000000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Regneark</vt:lpstr>
      </vt:variant>
      <vt:variant>
        <vt:i4>1</vt:i4>
      </vt:variant>
    </vt:vector>
  </HeadingPairs>
  <TitlesOfParts>
    <vt:vector size="1" baseType="lpstr">
      <vt:lpstr>Ark1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Tore Ausland</cp:lastModifiedBy>
  <dcterms:created xsi:type="dcterms:W3CDTF">2026-02-09T08:40:30Z</dcterms:created>
  <dcterms:modified xsi:type="dcterms:W3CDTF">2026-02-19T19:11:32Z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0x0101006B92232BA6A14D45B67465F659871138</vt:lpwstr>
  </property>
  <property fmtid="{D5CDD505-2E9C-101B-9397-08002B2CF9AE}" pid="3" name="MediaServiceImageTags">
    <vt:lpwstr/>
  </property>
</Properties>
</file>