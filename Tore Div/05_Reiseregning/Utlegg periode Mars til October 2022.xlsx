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Reiseregning/"/>
    </mc:Choice>
  </mc:AlternateContent>
  <xr:revisionPtr revIDLastSave="248" documentId="8_{B0FDCD91-5B1E-41D3-9ACF-BDFD7DB30510}" xr6:coauthVersionLast="47" xr6:coauthVersionMax="47" xr10:uidLastSave="{39396A36-FDAE-4DAE-9789-144CAABA7E8C}"/>
  <bookViews>
    <workbookView xWindow="57480" yWindow="-120" windowWidth="29040" windowHeight="158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5" i="1" l="1"/>
  <c r="C32" i="2"/>
  <c r="C31" i="2"/>
  <c r="H57" i="2"/>
  <c r="J24" i="1" s="1"/>
  <c r="C30" i="2"/>
  <c r="C29" i="2"/>
  <c r="C28" i="2"/>
  <c r="C27" i="2"/>
  <c r="C26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M21" i="1" l="1"/>
  <c r="M20" i="1" l="1"/>
  <c r="M22" i="1" l="1"/>
  <c r="M23" i="1"/>
  <c r="M24" i="1"/>
  <c r="M25" i="1"/>
  <c r="M26" i="1"/>
  <c r="M29" i="1"/>
  <c r="M30" i="1"/>
</calcChain>
</file>

<file path=xl/sharedStrings.xml><?xml version="1.0" encoding="utf-8"?>
<sst xmlns="http://schemas.openxmlformats.org/spreadsheetml/2006/main" count="340" uniqueCount="118">
  <si>
    <t>Fødselsnummer</t>
  </si>
  <si>
    <t>Navn (Etternavn, fornavn)</t>
  </si>
  <si>
    <t>Ansatt nr.</t>
  </si>
  <si>
    <t>Adresse</t>
  </si>
  <si>
    <t>Lønn og godtgjørelse</t>
  </si>
  <si>
    <t>Avreise</t>
  </si>
  <si>
    <t>Ankomst</t>
  </si>
  <si>
    <t>Passasjerens navn</t>
  </si>
  <si>
    <t>Skyss-middel</t>
  </si>
  <si>
    <t>Navn/adr. Overnattingssted</t>
  </si>
  <si>
    <t>IKKE SKATTEPLIKTIG</t>
  </si>
  <si>
    <t>LTA</t>
  </si>
  <si>
    <t>Antall</t>
  </si>
  <si>
    <t>Sats eller beløp</t>
  </si>
  <si>
    <t xml:space="preserve"> </t>
  </si>
  <si>
    <t>Utregnet beløp</t>
  </si>
  <si>
    <t>Bruk av egen bil</t>
  </si>
  <si>
    <t>Km-godtgjørelse</t>
  </si>
  <si>
    <t>Pass.tillegg</t>
  </si>
  <si>
    <t>Diverse utgifter</t>
  </si>
  <si>
    <t>6-12 timer</t>
  </si>
  <si>
    <t>Over 12 timer</t>
  </si>
  <si>
    <t>Fratrekk måltid</t>
  </si>
  <si>
    <t>Kost godtgjørelse uten overnatting</t>
  </si>
  <si>
    <t>Reise utland</t>
  </si>
  <si>
    <t>Kostgodtgj.</t>
  </si>
  <si>
    <t>SKATTEPLIKTIG</t>
  </si>
  <si>
    <t>Møtegodtgjørelse</t>
  </si>
  <si>
    <t>Lønn og honorar</t>
  </si>
  <si>
    <t>Netto sum</t>
  </si>
  <si>
    <t>Dato</t>
  </si>
  <si>
    <t>Kl.</t>
  </si>
  <si>
    <t>Postnr.</t>
  </si>
  <si>
    <t>Poststed</t>
  </si>
  <si>
    <t>Km-godt. El bil</t>
  </si>
  <si>
    <t>--</t>
  </si>
  <si>
    <t>Bankkonto</t>
  </si>
  <si>
    <t>UNDERSKRIFT</t>
  </si>
  <si>
    <t>ATTESTERT</t>
  </si>
  <si>
    <t>ANVIST</t>
  </si>
  <si>
    <t>Signatur</t>
  </si>
  <si>
    <t>Tapt arb.fortjeneste, legitimert</t>
  </si>
  <si>
    <t>Tapt arb.fortjeneste, ulegitimert</t>
  </si>
  <si>
    <t>Spesifikkasjon av regningen</t>
  </si>
  <si>
    <t>Nattilegg</t>
  </si>
  <si>
    <t>fjern</t>
  </si>
  <si>
    <t>E-postadresse:</t>
  </si>
  <si>
    <t>Frokost</t>
  </si>
  <si>
    <t>Lunsj</t>
  </si>
  <si>
    <t>Middag</t>
  </si>
  <si>
    <r>
      <t>Spesifikasjon av reisen</t>
    </r>
    <r>
      <rPr>
        <sz val="8"/>
        <color rgb="FFFF0000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NB!  Må fylles ut</t>
    </r>
  </si>
  <si>
    <t>Nattillegg v/privat overnatting</t>
  </si>
  <si>
    <r>
      <t>Reisen gjelder</t>
    </r>
    <r>
      <rPr>
        <b/>
        <sz val="9"/>
        <color rgb="FFFF0000"/>
        <rFont val="Arial"/>
        <family val="2"/>
      </rPr>
      <t xml:space="preserve"> (MÅ FYLLES UT)</t>
    </r>
  </si>
  <si>
    <t>Kost godtgjørelse med overnatting</t>
  </si>
  <si>
    <t>Reiserute (gateadresse v/taxi og bilgodtgj)</t>
  </si>
  <si>
    <t>Prosjekt/koststed</t>
  </si>
  <si>
    <t>Reiseregning 2022</t>
  </si>
  <si>
    <t>Ausland Tore</t>
  </si>
  <si>
    <t>GOT</t>
  </si>
  <si>
    <t>Havnegata 5</t>
  </si>
  <si>
    <t>Son</t>
  </si>
  <si>
    <t>1135 10 33438</t>
  </si>
  <si>
    <t>ta@vikenklynge.no</t>
  </si>
  <si>
    <t>Parkering</t>
  </si>
  <si>
    <t>Tore</t>
  </si>
  <si>
    <t>Kjøp/uttak</t>
  </si>
  <si>
    <t>Bokført</t>
  </si>
  <si>
    <t>Spesifikasjon</t>
  </si>
  <si>
    <t>Sted</t>
  </si>
  <si>
    <t xml:space="preserve">Valuta_x000D_
</t>
  </si>
  <si>
    <t>Utl. beløp</t>
  </si>
  <si>
    <t>Beløp</t>
  </si>
  <si>
    <t>Kvitteringer</t>
  </si>
  <si>
    <t>Forklaring</t>
  </si>
  <si>
    <t>Privatkort</t>
  </si>
  <si>
    <t>Totalt beløp</t>
  </si>
  <si>
    <t>Mobil</t>
  </si>
  <si>
    <t>Fakturanummer 5512115776013</t>
  </si>
  <si>
    <t>Vedlegg</t>
  </si>
  <si>
    <t>x</t>
  </si>
  <si>
    <t>Nok</t>
  </si>
  <si>
    <t>Internett og bredbåndstelefoni</t>
  </si>
  <si>
    <t>Fakturanummer 8147523311</t>
  </si>
  <si>
    <t xml:space="preserve">Kortnummer </t>
  </si>
  <si>
    <t xml:space="preserve">Utlegg for Tore Ausland </t>
  </si>
  <si>
    <t>Andre Sheet 2</t>
  </si>
  <si>
    <t>Utlegg Mars til October 2022</t>
  </si>
  <si>
    <t>Fakturanummer 5512115776014</t>
  </si>
  <si>
    <t>762,73 </t>
  </si>
  <si>
    <t>Fakturanummer 8147636246</t>
  </si>
  <si>
    <t>Fakturanummer 5512115776015</t>
  </si>
  <si>
    <t>Fakturanummer 8147682246</t>
  </si>
  <si>
    <t>Fakturanummer 5512115776016</t>
  </si>
  <si>
    <t>Fakturanummer 8147775201</t>
  </si>
  <si>
    <t>Fakturanummer 5512115776017</t>
  </si>
  <si>
    <t>Fakturanummer 8147862621</t>
  </si>
  <si>
    <t>Fakturanummer 5512115776018</t>
  </si>
  <si>
    <t>Fakturanummer 8147936805</t>
  </si>
  <si>
    <t>Fakturanummer 5512115776019</t>
  </si>
  <si>
    <t>Fakturanummer 8148022382</t>
  </si>
  <si>
    <t>Fakturanummer 5512115776020</t>
  </si>
  <si>
    <t>Fakturanummer 8148111634</t>
  </si>
  <si>
    <t>Faktura nr: 17024057</t>
  </si>
  <si>
    <t>Parkering Gardermoen</t>
  </si>
  <si>
    <t>ELKJØP</t>
  </si>
  <si>
    <t>Display Port, konf. Room</t>
  </si>
  <si>
    <t>USB-C, konf. Room</t>
  </si>
  <si>
    <t>EVITA</t>
  </si>
  <si>
    <t>Lunch til møte kontoret.</t>
  </si>
  <si>
    <t>X128288</t>
  </si>
  <si>
    <t>POWER</t>
  </si>
  <si>
    <t>Heradsett mobil</t>
  </si>
  <si>
    <t>NVM MOBIL</t>
  </si>
  <si>
    <t>EUROPRIS</t>
  </si>
  <si>
    <t>Batteri</t>
  </si>
  <si>
    <t>1OneP</t>
  </si>
  <si>
    <t>Telenor</t>
  </si>
  <si>
    <t>Til utbetaling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</si>
</sst>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kr&quot;\ * #,##0.00_ ;_ &quot;kr&quot;\ * \-#,##0.00_ ;_ &quot;kr&quot;\ * &quot;-&quot;??_ ;_ @_ "/>
    <numFmt numFmtId="165" formatCode="d/m/yy;@"/>
    <numFmt numFmtId="166" formatCode="hh:mm;@"/>
    <numFmt numFmtId="167" formatCode="dd\.mm\.yyyy\ hh:mm:ss"/>
  </numFmts>
  <fonts count="3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color theme="1"/>
      <name val="Arial"/>
      <family val="2"/>
    </font>
    <font>
      <sz val="9"/>
      <color rgb="FF006100"/>
      <name val="Arial"/>
      <family val="2"/>
    </font>
    <font>
      <b/>
      <sz val="18"/>
      <color theme="3"/>
      <name val="Cambria"/>
      <family val="2"/>
      <scheme val="major"/>
    </font>
    <font>
      <b/>
      <sz val="9"/>
      <color rgb="FF006100"/>
      <name val="Arial"/>
      <family val="2"/>
    </font>
    <font>
      <b/>
      <sz val="36"/>
      <color theme="3"/>
      <name val="Cambria"/>
      <family val="2"/>
      <scheme val="major"/>
    </font>
    <font>
      <sz val="11"/>
      <color theme="1"/>
      <name val="Cambria"/>
      <family val="1"/>
      <scheme val="major"/>
    </font>
    <font>
      <sz val="9"/>
      <color theme="1"/>
      <name val="Cambria"/>
      <family val="1"/>
      <scheme val="major"/>
    </font>
    <font>
      <b/>
      <sz val="20"/>
      <color theme="3"/>
      <name val="Cambria"/>
      <family val="2"/>
      <scheme val="major"/>
    </font>
    <font>
      <sz val="8"/>
      <color rgb="FF6D8838"/>
      <name val="Arial"/>
      <family val="2"/>
    </font>
    <font>
      <sz val="9"/>
      <color rgb="FF6D8838"/>
      <name val="Arial"/>
      <family val="2"/>
    </font>
    <font>
      <b/>
      <sz val="9"/>
      <color rgb="FF6D883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indexed="9"/>
      <name val="Calibri"/>
      <family val="2"/>
      <scheme val="minor"/>
    </font>
    <font>
      <sz val="8"/>
      <color rgb="FF222222"/>
      <name val="Arial"/>
      <family val="2"/>
    </font>
    <font>
      <sz val="8"/>
      <color rgb="FF007FDB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222222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Arial"/>
      <family val="2"/>
    </font>
    <font>
      <b/>
      <sz val="8"/>
      <name val="Calibri"/>
      <family val="2"/>
      <scheme val="minor"/>
    </font>
    <font>
      <sz val="8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8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48">
    <xf numFmtId="0" fontId="0" fillId="0" borderId="0" xfId="0"/>
    <xf numFmtId="0" fontId="0" fillId="3" borderId="0" xfId="0" applyFont="1" applyFill="1" applyProtection="1">
      <protection locked="0"/>
    </xf>
    <xf numFmtId="0" fontId="0" fillId="3" borderId="0" xfId="0" applyFont="1" applyFill="1" applyBorder="1" applyProtection="1">
      <protection locked="0"/>
    </xf>
    <xf numFmtId="0" fontId="7" fillId="3" borderId="0" xfId="0" applyFont="1" applyFill="1" applyBorder="1" applyProtection="1">
      <protection locked="0"/>
    </xf>
    <xf numFmtId="0" fontId="0" fillId="0" borderId="0" xfId="0" applyFont="1" applyProtection="1">
      <protection locked="0"/>
    </xf>
    <xf numFmtId="0" fontId="8" fillId="3" borderId="0" xfId="0" applyFont="1" applyFill="1" applyBorder="1" applyProtection="1">
      <protection locked="0"/>
    </xf>
    <xf numFmtId="0" fontId="9" fillId="3" borderId="0" xfId="2" applyFont="1" applyFill="1" applyBorder="1" applyAlignment="1" applyProtection="1">
      <protection locked="0"/>
    </xf>
    <xf numFmtId="0" fontId="2" fillId="3" borderId="0" xfId="0" applyFont="1" applyFill="1" applyBorder="1" applyProtection="1">
      <protection locked="0"/>
    </xf>
    <xf numFmtId="0" fontId="9" fillId="3" borderId="19" xfId="2" applyFont="1" applyFill="1" applyBorder="1" applyAlignme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3" borderId="15" xfId="0" applyFont="1" applyFill="1" applyBorder="1" applyProtection="1">
      <protection locked="0"/>
    </xf>
    <xf numFmtId="0" fontId="2" fillId="3" borderId="51" xfId="0" applyFont="1" applyFill="1" applyBorder="1" applyProtection="1">
      <protection locked="0"/>
    </xf>
    <xf numFmtId="0" fontId="5" fillId="4" borderId="12" xfId="1" applyFont="1" applyFill="1" applyBorder="1" applyAlignment="1" applyProtection="1">
      <alignment vertical="center" wrapText="1"/>
      <protection locked="0"/>
    </xf>
    <xf numFmtId="0" fontId="5" fillId="4" borderId="23" xfId="1" applyFont="1" applyFill="1" applyBorder="1" applyAlignment="1" applyProtection="1">
      <protection locked="0"/>
    </xf>
    <xf numFmtId="0" fontId="5" fillId="4" borderId="44" xfId="1" applyFont="1" applyFill="1" applyBorder="1" applyProtection="1">
      <protection locked="0"/>
    </xf>
    <xf numFmtId="0" fontId="11" fillId="0" borderId="0" xfId="0" applyFont="1" applyBorder="1" applyProtection="1">
      <protection locked="0"/>
    </xf>
    <xf numFmtId="0" fontId="0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0" borderId="19" xfId="0" applyFont="1" applyBorder="1" applyProtection="1">
      <protection locked="0"/>
    </xf>
    <xf numFmtId="0" fontId="2" fillId="3" borderId="0" xfId="0" applyFont="1" applyFill="1" applyProtection="1">
      <protection locked="0"/>
    </xf>
    <xf numFmtId="164" fontId="1" fillId="2" borderId="7" xfId="1" applyNumberFormat="1" applyBorder="1" applyProtection="1">
      <protection locked="0" hidden="1"/>
    </xf>
    <xf numFmtId="164" fontId="12" fillId="4" borderId="9" xfId="0" applyNumberFormat="1" applyFont="1" applyFill="1" applyBorder="1" applyProtection="1">
      <protection locked="0" hidden="1"/>
    </xf>
    <xf numFmtId="0" fontId="1" fillId="2" borderId="8" xfId="1" applyBorder="1" applyProtection="1">
      <protection locked="0" hidden="1"/>
    </xf>
    <xf numFmtId="0" fontId="1" fillId="2" borderId="34" xfId="1" applyBorder="1" applyProtection="1">
      <protection locked="0" hidden="1"/>
    </xf>
    <xf numFmtId="0" fontId="1" fillId="2" borderId="50" xfId="1" applyBorder="1" applyProtection="1">
      <protection locked="0" hidden="1"/>
    </xf>
    <xf numFmtId="0" fontId="5" fillId="4" borderId="25" xfId="1" applyFont="1" applyFill="1" applyBorder="1" applyAlignment="1" applyProtection="1">
      <alignment horizontal="left" vertical="center"/>
    </xf>
    <xf numFmtId="0" fontId="5" fillId="4" borderId="14" xfId="1" applyFont="1" applyFill="1" applyBorder="1" applyProtection="1"/>
    <xf numFmtId="0" fontId="5" fillId="4" borderId="36" xfId="1" applyFont="1" applyFill="1" applyBorder="1" applyAlignment="1" applyProtection="1">
      <alignment vertical="center" wrapText="1"/>
    </xf>
    <xf numFmtId="0" fontId="5" fillId="4" borderId="37" xfId="1" applyFont="1" applyFill="1" applyBorder="1" applyAlignment="1" applyProtection="1">
      <alignment vertical="center" wrapText="1"/>
    </xf>
    <xf numFmtId="0" fontId="3" fillId="4" borderId="10" xfId="1" applyFont="1" applyFill="1" applyBorder="1" applyProtection="1"/>
    <xf numFmtId="0" fontId="3" fillId="4" borderId="2" xfId="1" applyFont="1" applyFill="1" applyBorder="1" applyProtection="1"/>
    <xf numFmtId="0" fontId="5" fillId="4" borderId="12" xfId="1" applyFont="1" applyFill="1" applyBorder="1" applyAlignment="1" applyProtection="1">
      <alignment horizontal="center"/>
    </xf>
    <xf numFmtId="0" fontId="5" fillId="4" borderId="12" xfId="1" applyFont="1" applyFill="1" applyBorder="1" applyProtection="1"/>
    <xf numFmtId="0" fontId="5" fillId="4" borderId="45" xfId="1" applyFont="1" applyFill="1" applyBorder="1" applyAlignment="1" applyProtection="1"/>
    <xf numFmtId="0" fontId="5" fillId="4" borderId="40" xfId="1" applyFont="1" applyFill="1" applyBorder="1" applyProtection="1"/>
    <xf numFmtId="0" fontId="5" fillId="4" borderId="2" xfId="1" applyFont="1" applyFill="1" applyBorder="1" applyAlignment="1" applyProtection="1">
      <alignment horizontal="center" vertical="center"/>
    </xf>
    <xf numFmtId="0" fontId="5" fillId="4" borderId="2" xfId="1" quotePrefix="1" applyFont="1" applyFill="1" applyBorder="1" applyAlignment="1" applyProtection="1">
      <alignment horizontal="center" vertical="center"/>
    </xf>
    <xf numFmtId="0" fontId="5" fillId="4" borderId="2" xfId="1" applyFont="1" applyFill="1" applyBorder="1" applyAlignment="1" applyProtection="1">
      <alignment horizontal="center"/>
    </xf>
    <xf numFmtId="165" fontId="13" fillId="0" borderId="10" xfId="0" applyNumberFormat="1" applyFont="1" applyBorder="1" applyProtection="1">
      <protection locked="0"/>
    </xf>
    <xf numFmtId="166" fontId="13" fillId="0" borderId="2" xfId="0" applyNumberFormat="1" applyFont="1" applyBorder="1" applyProtection="1">
      <protection locked="0"/>
    </xf>
    <xf numFmtId="165" fontId="13" fillId="0" borderId="2" xfId="0" applyNumberFormat="1" applyFont="1" applyBorder="1" applyProtection="1">
      <protection locked="0"/>
    </xf>
    <xf numFmtId="0" fontId="13" fillId="0" borderId="2" xfId="0" applyFont="1" applyBorder="1" applyProtection="1">
      <protection locked="0"/>
    </xf>
    <xf numFmtId="0" fontId="13" fillId="0" borderId="31" xfId="0" applyFont="1" applyBorder="1" applyProtection="1">
      <protection locked="0"/>
    </xf>
    <xf numFmtId="0" fontId="13" fillId="0" borderId="33" xfId="0" applyFont="1" applyBorder="1" applyProtection="1">
      <protection locked="0"/>
    </xf>
    <xf numFmtId="165" fontId="13" fillId="0" borderId="24" xfId="0" applyNumberFormat="1" applyFont="1" applyBorder="1" applyProtection="1">
      <protection locked="0"/>
    </xf>
    <xf numFmtId="166" fontId="13" fillId="0" borderId="18" xfId="0" applyNumberFormat="1" applyFont="1" applyBorder="1" applyProtection="1">
      <protection locked="0"/>
    </xf>
    <xf numFmtId="165" fontId="13" fillId="0" borderId="18" xfId="0" applyNumberFormat="1" applyFont="1" applyBorder="1" applyProtection="1">
      <protection locked="0"/>
    </xf>
    <xf numFmtId="0" fontId="13" fillId="0" borderId="20" xfId="0" applyFont="1" applyBorder="1" applyProtection="1">
      <protection locked="0"/>
    </xf>
    <xf numFmtId="0" fontId="13" fillId="0" borderId="27" xfId="0" applyFont="1" applyBorder="1" applyAlignment="1" applyProtection="1">
      <alignment horizontal="center" vertical="center"/>
      <protection locked="0"/>
    </xf>
    <xf numFmtId="0" fontId="13" fillId="0" borderId="35" xfId="0" applyFont="1" applyBorder="1" applyProtection="1">
      <protection locked="0"/>
    </xf>
    <xf numFmtId="0" fontId="13" fillId="3" borderId="50" xfId="0" applyFont="1" applyFill="1" applyBorder="1" applyProtection="1">
      <protection locked="0"/>
    </xf>
    <xf numFmtId="0" fontId="13" fillId="3" borderId="34" xfId="0" applyFont="1" applyFill="1" applyBorder="1" applyProtection="1">
      <protection locked="0"/>
    </xf>
    <xf numFmtId="0" fontId="5" fillId="4" borderId="23" xfId="1" applyFont="1" applyFill="1" applyBorder="1" applyAlignment="1" applyProtection="1">
      <alignment horizontal="center"/>
    </xf>
    <xf numFmtId="0" fontId="2" fillId="3" borderId="19" xfId="0" applyFont="1" applyFill="1" applyBorder="1" applyProtection="1">
      <protection locked="0"/>
    </xf>
    <xf numFmtId="0" fontId="2" fillId="0" borderId="20" xfId="0" applyFont="1" applyBorder="1" applyProtection="1">
      <protection locked="0"/>
    </xf>
    <xf numFmtId="0" fontId="5" fillId="4" borderId="44" xfId="1" applyFont="1" applyFill="1" applyBorder="1" applyAlignment="1" applyProtection="1"/>
    <xf numFmtId="0" fontId="11" fillId="4" borderId="44" xfId="0" applyFont="1" applyFill="1" applyBorder="1" applyProtection="1"/>
    <xf numFmtId="0" fontId="5" fillId="4" borderId="12" xfId="1" applyFont="1" applyFill="1" applyBorder="1" applyProtection="1">
      <protection locked="0"/>
    </xf>
    <xf numFmtId="49" fontId="2" fillId="3" borderId="2" xfId="0" applyNumberFormat="1" applyFont="1" applyFill="1" applyBorder="1" applyAlignment="1" applyProtection="1">
      <protection locked="0"/>
    </xf>
    <xf numFmtId="49" fontId="2" fillId="3" borderId="2" xfId="0" applyNumberFormat="1" applyFont="1" applyFill="1" applyBorder="1" applyAlignment="1" applyProtection="1">
      <alignment horizontal="center"/>
      <protection locked="0"/>
    </xf>
    <xf numFmtId="0" fontId="0" fillId="0" borderId="33" xfId="0" applyFont="1" applyBorder="1" applyProtection="1">
      <protection locked="0"/>
    </xf>
    <xf numFmtId="0" fontId="11" fillId="0" borderId="2" xfId="0" applyFont="1" applyBorder="1" applyProtection="1"/>
    <xf numFmtId="0" fontId="11" fillId="0" borderId="2" xfId="0" applyFont="1" applyBorder="1" applyAlignment="1" applyProtection="1"/>
    <xf numFmtId="0" fontId="1" fillId="2" borderId="34" xfId="1" applyBorder="1" applyProtection="1">
      <protection hidden="1"/>
    </xf>
    <xf numFmtId="0" fontId="5" fillId="4" borderId="45" xfId="1" applyFont="1" applyFill="1" applyBorder="1" applyProtection="1"/>
    <xf numFmtId="0" fontId="15" fillId="2" borderId="48" xfId="1" applyFont="1" applyBorder="1" applyProtection="1">
      <protection locked="0"/>
    </xf>
    <xf numFmtId="0" fontId="5" fillId="4" borderId="35" xfId="1" applyFont="1" applyFill="1" applyBorder="1" applyAlignment="1" applyProtection="1">
      <alignment horizontal="center" vertical="center"/>
      <protection locked="0"/>
    </xf>
    <xf numFmtId="0" fontId="5" fillId="0" borderId="0" xfId="1" applyFont="1" applyFill="1" applyBorder="1" applyAlignment="1" applyProtection="1">
      <protection locked="0"/>
    </xf>
    <xf numFmtId="0" fontId="1" fillId="0" borderId="34" xfId="1" applyFill="1" applyBorder="1" applyProtection="1">
      <protection locked="0" hidden="1"/>
    </xf>
    <xf numFmtId="164" fontId="1" fillId="3" borderId="31" xfId="1" applyNumberFormat="1" applyFill="1" applyBorder="1" applyProtection="1">
      <protection locked="0" hidden="1"/>
    </xf>
    <xf numFmtId="164" fontId="1" fillId="3" borderId="10" xfId="1" applyNumberFormat="1" applyFill="1" applyBorder="1" applyProtection="1">
      <protection locked="0" hidden="1"/>
    </xf>
    <xf numFmtId="0" fontId="1" fillId="3" borderId="50" xfId="1" applyFill="1" applyBorder="1" applyProtection="1">
      <protection locked="0" hidden="1"/>
    </xf>
    <xf numFmtId="0" fontId="1" fillId="3" borderId="34" xfId="1" applyFill="1" applyBorder="1" applyProtection="1">
      <protection locked="0" hidden="1"/>
    </xf>
    <xf numFmtId="0" fontId="11" fillId="3" borderId="0" xfId="0" applyFont="1" applyFill="1" applyBorder="1" applyProtection="1"/>
    <xf numFmtId="0" fontId="11" fillId="3" borderId="5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  <protection locked="0"/>
    </xf>
    <xf numFmtId="0" fontId="11" fillId="3" borderId="52" xfId="0" applyFont="1" applyFill="1" applyBorder="1" applyAlignment="1" applyProtection="1">
      <alignment horizontal="center"/>
      <protection locked="0"/>
    </xf>
    <xf numFmtId="0" fontId="11" fillId="3" borderId="54" xfId="0" applyFont="1" applyFill="1" applyBorder="1" applyProtection="1"/>
    <xf numFmtId="0" fontId="11" fillId="3" borderId="47" xfId="0" applyFont="1" applyFill="1" applyBorder="1" applyAlignment="1" applyProtection="1">
      <alignment horizontal="center"/>
    </xf>
    <xf numFmtId="165" fontId="13" fillId="3" borderId="21" xfId="0" applyNumberFormat="1" applyFont="1" applyFill="1" applyBorder="1" applyAlignment="1" applyProtection="1">
      <protection locked="0"/>
    </xf>
    <xf numFmtId="165" fontId="13" fillId="3" borderId="22" xfId="0" applyNumberFormat="1" applyFont="1" applyFill="1" applyBorder="1" applyAlignment="1" applyProtection="1">
      <protection locked="0"/>
    </xf>
    <xf numFmtId="0" fontId="0" fillId="3" borderId="0" xfId="0" applyFont="1" applyFill="1" applyBorder="1" applyProtection="1"/>
    <xf numFmtId="0" fontId="11" fillId="3" borderId="50" xfId="0" applyFont="1" applyFill="1" applyBorder="1" applyProtection="1"/>
    <xf numFmtId="0" fontId="11" fillId="3" borderId="50" xfId="0" applyFont="1" applyFill="1" applyBorder="1" applyAlignment="1" applyProtection="1">
      <alignment horizontal="left"/>
    </xf>
    <xf numFmtId="0" fontId="11" fillId="3" borderId="24" xfId="0" applyFont="1" applyFill="1" applyBorder="1" applyAlignment="1" applyProtection="1">
      <alignment horizontal="left"/>
    </xf>
    <xf numFmtId="0" fontId="11" fillId="3" borderId="3" xfId="0" applyFont="1" applyFill="1" applyBorder="1" applyAlignment="1" applyProtection="1">
      <alignment horizontal="left"/>
    </xf>
    <xf numFmtId="0" fontId="11" fillId="3" borderId="10" xfId="0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" xfId="0" applyFont="1" applyBorder="1" applyAlignment="1" applyProtection="1">
      <alignment wrapText="1"/>
      <protection locked="0"/>
    </xf>
    <xf numFmtId="0" fontId="13" fillId="0" borderId="33" xfId="0" applyFont="1" applyBorder="1" applyAlignment="1" applyProtection="1">
      <alignment wrapText="1"/>
      <protection locked="0"/>
    </xf>
    <xf numFmtId="0" fontId="13" fillId="0" borderId="18" xfId="0" applyFont="1" applyBorder="1" applyAlignment="1" applyProtection="1">
      <alignment wrapText="1"/>
      <protection locked="0"/>
    </xf>
    <xf numFmtId="0" fontId="13" fillId="0" borderId="38" xfId="0" applyFont="1" applyBorder="1" applyAlignment="1" applyProtection="1">
      <alignment wrapText="1"/>
      <protection locked="0"/>
    </xf>
    <xf numFmtId="0" fontId="5" fillId="4" borderId="12" xfId="1" applyFont="1" applyFill="1" applyBorder="1" applyAlignment="1" applyProtection="1">
      <alignment vertical="center" wrapText="1"/>
    </xf>
    <xf numFmtId="0" fontId="0" fillId="3" borderId="5" xfId="0" applyFont="1" applyFill="1" applyBorder="1" applyAlignment="1" applyProtection="1">
      <alignment horizontal="center"/>
      <protection locked="0"/>
    </xf>
    <xf numFmtId="0" fontId="0" fillId="3" borderId="0" xfId="0" applyFont="1" applyFill="1" applyBorder="1" applyAlignment="1" applyProtection="1">
      <alignment horizontal="center"/>
      <protection locked="0"/>
    </xf>
    <xf numFmtId="0" fontId="0" fillId="3" borderId="16" xfId="0" applyFont="1" applyFill="1" applyBorder="1" applyAlignment="1" applyProtection="1">
      <alignment horizontal="center"/>
      <protection locked="0"/>
    </xf>
    <xf numFmtId="0" fontId="0" fillId="3" borderId="30" xfId="0" applyFont="1" applyFill="1" applyBorder="1" applyAlignment="1" applyProtection="1">
      <alignment horizontal="center"/>
      <protection locked="0"/>
    </xf>
    <xf numFmtId="0" fontId="0" fillId="3" borderId="19" xfId="0" applyFont="1" applyFill="1" applyBorder="1" applyAlignment="1" applyProtection="1">
      <alignment horizontal="center"/>
      <protection locked="0"/>
    </xf>
    <xf numFmtId="0" fontId="0" fillId="3" borderId="20" xfId="0" applyFont="1" applyFill="1" applyBorder="1" applyAlignment="1" applyProtection="1">
      <alignment horizontal="center"/>
      <protection locked="0"/>
    </xf>
    <xf numFmtId="0" fontId="13" fillId="3" borderId="5" xfId="0" applyFont="1" applyFill="1" applyBorder="1" applyAlignment="1" applyProtection="1">
      <alignment horizontal="center"/>
      <protection locked="0"/>
    </xf>
    <xf numFmtId="0" fontId="13" fillId="3" borderId="16" xfId="0" applyFont="1" applyFill="1" applyBorder="1" applyAlignment="1" applyProtection="1">
      <alignment horizontal="center"/>
      <protection locked="0"/>
    </xf>
    <xf numFmtId="0" fontId="13" fillId="3" borderId="30" xfId="0" applyFont="1" applyFill="1" applyBorder="1" applyAlignment="1" applyProtection="1">
      <alignment horizontal="center"/>
      <protection locked="0"/>
    </xf>
    <xf numFmtId="0" fontId="13" fillId="3" borderId="20" xfId="0" applyFont="1" applyFill="1" applyBorder="1" applyAlignment="1" applyProtection="1">
      <alignment horizontal="center"/>
      <protection locked="0"/>
    </xf>
    <xf numFmtId="0" fontId="5" fillId="4" borderId="11" xfId="1" applyFont="1" applyFill="1" applyBorder="1" applyAlignment="1" applyProtection="1">
      <alignment horizontal="left"/>
    </xf>
    <xf numFmtId="0" fontId="5" fillId="4" borderId="13" xfId="1" applyFont="1" applyFill="1" applyBorder="1" applyAlignment="1" applyProtection="1">
      <alignment horizontal="left"/>
    </xf>
    <xf numFmtId="0" fontId="5" fillId="4" borderId="14" xfId="1" applyFont="1" applyFill="1" applyBorder="1" applyAlignment="1" applyProtection="1">
      <alignment horizontal="left"/>
    </xf>
    <xf numFmtId="0" fontId="13" fillId="0" borderId="31" xfId="0" applyFont="1" applyBorder="1" applyAlignment="1" applyProtection="1">
      <alignment wrapText="1"/>
      <protection locked="0"/>
    </xf>
    <xf numFmtId="0" fontId="13" fillId="0" borderId="10" xfId="0" applyFont="1" applyBorder="1" applyAlignment="1" applyProtection="1">
      <alignment wrapText="1"/>
      <protection locked="0"/>
    </xf>
    <xf numFmtId="0" fontId="5" fillId="4" borderId="45" xfId="1" applyFont="1" applyFill="1" applyBorder="1" applyAlignment="1" applyProtection="1">
      <alignment horizontal="center" vertical="center"/>
    </xf>
    <xf numFmtId="0" fontId="5" fillId="4" borderId="23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5" fillId="4" borderId="45" xfId="1" applyFont="1" applyFill="1" applyBorder="1" applyAlignment="1" applyProtection="1">
      <alignment horizontal="left"/>
    </xf>
    <xf numFmtId="0" fontId="5" fillId="4" borderId="44" xfId="1" applyFont="1" applyFill="1" applyBorder="1" applyAlignment="1" applyProtection="1">
      <alignment horizontal="left"/>
    </xf>
    <xf numFmtId="0" fontId="5" fillId="0" borderId="44" xfId="1" applyFont="1" applyFill="1" applyBorder="1" applyAlignment="1" applyProtection="1">
      <alignment horizontal="center"/>
      <protection locked="0"/>
    </xf>
    <xf numFmtId="0" fontId="5" fillId="0" borderId="23" xfId="1" applyFont="1" applyFill="1" applyBorder="1" applyAlignment="1" applyProtection="1">
      <alignment horizontal="center"/>
      <protection locked="0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1" fontId="13" fillId="0" borderId="19" xfId="0" applyNumberFormat="1" applyFont="1" applyBorder="1" applyAlignment="1" applyProtection="1">
      <alignment horizontal="center" vertical="center"/>
      <protection locked="0"/>
    </xf>
    <xf numFmtId="1" fontId="13" fillId="0" borderId="20" xfId="0" applyNumberFormat="1" applyFont="1" applyBorder="1" applyAlignment="1" applyProtection="1">
      <alignment horizontal="center" vertical="center"/>
      <protection locked="0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49" fontId="13" fillId="0" borderId="19" xfId="0" applyNumberFormat="1" applyFont="1" applyBorder="1" applyAlignment="1" applyProtection="1">
      <alignment horizontal="center" vertical="center"/>
      <protection locked="0"/>
    </xf>
    <xf numFmtId="49" fontId="13" fillId="0" borderId="20" xfId="0" applyNumberFormat="1" applyFont="1" applyBorder="1" applyAlignment="1" applyProtection="1">
      <alignment horizontal="center" vertical="center"/>
      <protection locked="0"/>
    </xf>
    <xf numFmtId="0" fontId="11" fillId="0" borderId="28" xfId="0" applyFont="1" applyBorder="1" applyAlignment="1" applyProtection="1">
      <alignment horizontal="center" vertical="center"/>
    </xf>
    <xf numFmtId="0" fontId="11" fillId="0" borderId="4" xfId="0" applyFont="1" applyBorder="1" applyAlignment="1" applyProtection="1">
      <alignment horizontal="center" vertical="center"/>
    </xf>
    <xf numFmtId="0" fontId="11" fillId="0" borderId="29" xfId="0" applyFont="1" applyBorder="1" applyAlignment="1" applyProtection="1">
      <alignment horizontal="center" vertical="center"/>
    </xf>
    <xf numFmtId="0" fontId="11" fillId="0" borderId="9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 wrapText="1"/>
    </xf>
    <xf numFmtId="0" fontId="11" fillId="0" borderId="29" xfId="0" applyFont="1" applyBorder="1" applyAlignment="1" applyProtection="1">
      <alignment horizontal="center" vertical="center" wrapText="1"/>
    </xf>
    <xf numFmtId="0" fontId="11" fillId="0" borderId="9" xfId="0" applyFont="1" applyBorder="1" applyAlignment="1" applyProtection="1">
      <alignment horizontal="center" vertical="center" wrapText="1"/>
    </xf>
    <xf numFmtId="0" fontId="6" fillId="3" borderId="0" xfId="2" applyFont="1" applyFill="1" applyBorder="1" applyAlignment="1" applyProtection="1">
      <alignment vertical="center"/>
      <protection locked="0"/>
    </xf>
    <xf numFmtId="0" fontId="6" fillId="3" borderId="19" xfId="2" applyFont="1" applyFill="1" applyBorder="1" applyAlignment="1" applyProtection="1">
      <alignment vertical="center"/>
      <protection locked="0"/>
    </xf>
    <xf numFmtId="0" fontId="11" fillId="3" borderId="5" xfId="0" applyFont="1" applyFill="1" applyBorder="1" applyAlignment="1" applyProtection="1">
      <alignment horizontal="center"/>
    </xf>
    <xf numFmtId="0" fontId="11" fillId="3" borderId="16" xfId="0" applyFont="1" applyFill="1" applyBorder="1" applyAlignment="1" applyProtection="1">
      <alignment horizontal="center"/>
    </xf>
    <xf numFmtId="0" fontId="11" fillId="3" borderId="15" xfId="0" applyFont="1" applyFill="1" applyBorder="1" applyAlignment="1" applyProtection="1">
      <alignment horizontal="center"/>
    </xf>
    <xf numFmtId="0" fontId="11" fillId="3" borderId="6" xfId="0" applyFont="1" applyFill="1" applyBorder="1" applyAlignment="1" applyProtection="1">
      <alignment horizontal="center"/>
    </xf>
    <xf numFmtId="0" fontId="11" fillId="0" borderId="3" xfId="0" applyFont="1" applyBorder="1" applyAlignment="1" applyProtection="1">
      <alignment horizontal="center" vertical="center"/>
    </xf>
    <xf numFmtId="0" fontId="11" fillId="0" borderId="1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horizontal="center" vertical="center"/>
    </xf>
    <xf numFmtId="0" fontId="11" fillId="0" borderId="8" xfId="0" applyFont="1" applyBorder="1" applyAlignment="1" applyProtection="1">
      <alignment horizontal="center" vertical="center"/>
    </xf>
    <xf numFmtId="0" fontId="11" fillId="0" borderId="31" xfId="0" applyFont="1" applyBorder="1" applyAlignment="1" applyProtection="1">
      <alignment horizontal="left"/>
      <protection locked="0"/>
    </xf>
    <xf numFmtId="0" fontId="11" fillId="0" borderId="10" xfId="0" applyFont="1" applyBorder="1" applyAlignment="1" applyProtection="1">
      <alignment horizontal="left"/>
      <protection locked="0"/>
    </xf>
    <xf numFmtId="0" fontId="11" fillId="0" borderId="31" xfId="0" applyFont="1" applyBorder="1" applyAlignment="1" applyProtection="1">
      <alignment horizontal="left"/>
    </xf>
    <xf numFmtId="0" fontId="11" fillId="0" borderId="10" xfId="0" applyFont="1" applyBorder="1" applyAlignment="1" applyProtection="1">
      <alignment horizontal="left"/>
    </xf>
    <xf numFmtId="0" fontId="11" fillId="0" borderId="31" xfId="0" applyFont="1" applyBorder="1" applyProtection="1"/>
    <xf numFmtId="0" fontId="11" fillId="0" borderId="10" xfId="0" applyFont="1" applyBorder="1" applyProtection="1"/>
    <xf numFmtId="164" fontId="14" fillId="3" borderId="31" xfId="0" applyNumberFormat="1" applyFont="1" applyFill="1" applyBorder="1" applyProtection="1">
      <protection locked="0"/>
    </xf>
    <xf numFmtId="164" fontId="14" fillId="3" borderId="10" xfId="0" applyNumberFormat="1" applyFont="1" applyFill="1" applyBorder="1" applyProtection="1">
      <protection locked="0"/>
    </xf>
    <xf numFmtId="164" fontId="1" fillId="2" borderId="31" xfId="1" applyNumberFormat="1" applyBorder="1" applyProtection="1">
      <protection hidden="1"/>
    </xf>
    <xf numFmtId="164" fontId="1" fillId="2" borderId="10" xfId="1" applyNumberFormat="1" applyBorder="1" applyProtection="1">
      <protection hidden="1"/>
    </xf>
    <xf numFmtId="0" fontId="13" fillId="3" borderId="31" xfId="0" applyFont="1" applyFill="1" applyBorder="1" applyProtection="1">
      <protection locked="0"/>
    </xf>
    <xf numFmtId="0" fontId="13" fillId="3" borderId="10" xfId="0" applyFont="1" applyFill="1" applyBorder="1" applyProtection="1">
      <protection locked="0"/>
    </xf>
    <xf numFmtId="0" fontId="11" fillId="0" borderId="39" xfId="0" applyFont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 vertical="center" wrapText="1"/>
    </xf>
    <xf numFmtId="0" fontId="11" fillId="0" borderId="42" xfId="0" applyFont="1" applyBorder="1" applyAlignment="1" applyProtection="1">
      <alignment horizontal="center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10" fillId="0" borderId="26" xfId="0" applyFont="1" applyBorder="1" applyAlignment="1" applyProtection="1">
      <alignment horizontal="center" vertical="center" wrapText="1"/>
    </xf>
    <xf numFmtId="0" fontId="10" fillId="0" borderId="27" xfId="0" applyFont="1" applyBorder="1" applyAlignment="1" applyProtection="1">
      <alignment horizontal="center" vertical="center" wrapText="1"/>
    </xf>
    <xf numFmtId="0" fontId="11" fillId="3" borderId="49" xfId="0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0" borderId="6" xfId="0" applyFont="1" applyBorder="1" applyAlignment="1" applyProtection="1">
      <alignment horizontal="center" vertical="center"/>
    </xf>
    <xf numFmtId="0" fontId="11" fillId="0" borderId="53" xfId="0" applyFont="1" applyBorder="1" applyAlignment="1" applyProtection="1">
      <alignment horizontal="left" vertical="top" wrapText="1"/>
    </xf>
    <xf numFmtId="0" fontId="11" fillId="0" borderId="5" xfId="0" applyFont="1" applyBorder="1" applyAlignment="1" applyProtection="1">
      <alignment horizontal="left" vertical="top" wrapText="1"/>
    </xf>
    <xf numFmtId="0" fontId="11" fillId="0" borderId="7" xfId="0" applyFont="1" applyBorder="1" applyAlignment="1" applyProtection="1">
      <alignment horizontal="left" vertical="top" wrapText="1"/>
    </xf>
    <xf numFmtId="0" fontId="6" fillId="3" borderId="0" xfId="2" applyFont="1" applyFill="1" applyBorder="1" applyAlignment="1" applyProtection="1">
      <alignment horizontal="center"/>
      <protection locked="0"/>
    </xf>
    <xf numFmtId="0" fontId="6" fillId="3" borderId="19" xfId="2" applyFont="1" applyFill="1" applyBorder="1" applyAlignment="1" applyProtection="1">
      <alignment horizontal="center"/>
      <protection locked="0"/>
    </xf>
    <xf numFmtId="0" fontId="9" fillId="3" borderId="0" xfId="2" applyFont="1" applyFill="1" applyBorder="1" applyAlignment="1" applyProtection="1">
      <alignment horizontal="center" vertical="center"/>
    </xf>
    <xf numFmtId="0" fontId="9" fillId="3" borderId="16" xfId="2" applyFont="1" applyFill="1" applyBorder="1" applyAlignment="1" applyProtection="1">
      <alignment horizontal="center" vertical="center"/>
    </xf>
    <xf numFmtId="0" fontId="9" fillId="3" borderId="19" xfId="2" applyFont="1" applyFill="1" applyBorder="1" applyAlignment="1" applyProtection="1">
      <alignment horizontal="center" vertical="center"/>
    </xf>
    <xf numFmtId="0" fontId="9" fillId="3" borderId="20" xfId="2" applyFont="1" applyFill="1" applyBorder="1" applyAlignment="1" applyProtection="1">
      <alignment horizontal="center" vertical="center"/>
    </xf>
    <xf numFmtId="0" fontId="11" fillId="0" borderId="28" xfId="0" applyFont="1" applyBorder="1" applyAlignment="1" applyProtection="1">
      <alignment horizontal="center" vertical="center" wrapText="1"/>
    </xf>
    <xf numFmtId="0" fontId="11" fillId="0" borderId="4" xfId="0" applyFont="1" applyBorder="1" applyAlignment="1" applyProtection="1">
      <alignment horizontal="center" vertical="center" wrapText="1"/>
    </xf>
    <xf numFmtId="0" fontId="13" fillId="0" borderId="17" xfId="0" applyFont="1" applyBorder="1" applyAlignment="1" applyProtection="1">
      <alignment horizontal="center"/>
      <protection locked="0"/>
    </xf>
    <xf numFmtId="0" fontId="13" fillId="0" borderId="20" xfId="0" applyFont="1" applyBorder="1" applyAlignment="1" applyProtection="1">
      <alignment horizontal="center"/>
      <protection locked="0"/>
    </xf>
    <xf numFmtId="0" fontId="13" fillId="0" borderId="19" xfId="0" applyFont="1" applyBorder="1" applyAlignment="1" applyProtection="1">
      <alignment horizontal="center"/>
      <protection locked="0"/>
    </xf>
    <xf numFmtId="49" fontId="19" fillId="0" borderId="17" xfId="3" applyNumberFormat="1" applyBorder="1" applyAlignment="1" applyProtection="1">
      <alignment horizontal="left"/>
      <protection locked="0"/>
    </xf>
    <xf numFmtId="49" fontId="13" fillId="0" borderId="19" xfId="0" applyNumberFormat="1" applyFont="1" applyBorder="1" applyAlignment="1" applyProtection="1">
      <alignment horizontal="left"/>
      <protection locked="0"/>
    </xf>
    <xf numFmtId="49" fontId="13" fillId="0" borderId="20" xfId="0" applyNumberFormat="1" applyFont="1" applyBorder="1" applyAlignment="1" applyProtection="1">
      <alignment horizontal="left"/>
      <protection locked="0"/>
    </xf>
    <xf numFmtId="0" fontId="5" fillId="4" borderId="11" xfId="1" applyFont="1" applyFill="1" applyBorder="1" applyAlignment="1" applyProtection="1">
      <alignment horizontal="center"/>
    </xf>
    <xf numFmtId="0" fontId="5" fillId="4" borderId="14" xfId="1" applyFont="1" applyFill="1" applyBorder="1" applyAlignment="1" applyProtection="1">
      <alignment horizontal="center"/>
    </xf>
    <xf numFmtId="0" fontId="5" fillId="4" borderId="13" xfId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 wrapText="1"/>
      <protection locked="0"/>
    </xf>
    <xf numFmtId="0" fontId="5" fillId="3" borderId="16" xfId="1" applyFont="1" applyFill="1" applyBorder="1" applyAlignment="1" applyProtection="1">
      <alignment horizontal="center" wrapText="1"/>
      <protection locked="0"/>
    </xf>
    <xf numFmtId="0" fontId="5" fillId="3" borderId="19" xfId="1" applyFont="1" applyFill="1" applyBorder="1" applyAlignment="1" applyProtection="1">
      <alignment horizontal="center" wrapText="1"/>
      <protection locked="0"/>
    </xf>
    <xf numFmtId="0" fontId="5" fillId="3" borderId="20" xfId="1" applyFont="1" applyFill="1" applyBorder="1" applyAlignment="1" applyProtection="1">
      <alignment horizontal="center" wrapText="1"/>
      <protection locked="0"/>
    </xf>
    <xf numFmtId="0" fontId="5" fillId="3" borderId="3" xfId="1" applyFont="1" applyFill="1" applyBorder="1" applyAlignment="1" applyProtection="1">
      <alignment horizontal="center"/>
      <protection locked="0"/>
    </xf>
    <xf numFmtId="0" fontId="5" fillId="3" borderId="17" xfId="1" applyFont="1" applyFill="1" applyBorder="1" applyAlignment="1" applyProtection="1">
      <alignment horizontal="center"/>
      <protection locked="0"/>
    </xf>
    <xf numFmtId="0" fontId="5" fillId="3" borderId="19" xfId="1" applyFont="1" applyFill="1" applyBorder="1" applyAlignment="1" applyProtection="1">
      <alignment horizontal="center"/>
      <protection locked="0"/>
    </xf>
    <xf numFmtId="0" fontId="13" fillId="0" borderId="32" xfId="0" applyFont="1" applyBorder="1" applyAlignment="1" applyProtection="1">
      <alignment wrapText="1"/>
      <protection locked="0"/>
    </xf>
    <xf numFmtId="0" fontId="13" fillId="0" borderId="24" xfId="0" applyFont="1" applyBorder="1" applyAlignment="1" applyProtection="1">
      <alignment wrapText="1"/>
      <protection locked="0"/>
    </xf>
    <xf numFmtId="0" fontId="5" fillId="4" borderId="36" xfId="1" applyFont="1" applyFill="1" applyBorder="1" applyAlignment="1" applyProtection="1">
      <alignment horizontal="left"/>
    </xf>
    <xf numFmtId="165" fontId="13" fillId="3" borderId="6" xfId="0" applyNumberFormat="1" applyFont="1" applyFill="1" applyBorder="1" applyAlignment="1" applyProtection="1">
      <alignment horizontal="center"/>
      <protection locked="0"/>
    </xf>
    <xf numFmtId="165" fontId="13" fillId="3" borderId="46" xfId="0" applyNumberFormat="1" applyFont="1" applyFill="1" applyBorder="1" applyAlignment="1" applyProtection="1">
      <alignment horizontal="center"/>
      <protection locked="0"/>
    </xf>
    <xf numFmtId="0" fontId="13" fillId="3" borderId="47" xfId="0" applyFont="1" applyFill="1" applyBorder="1" applyAlignment="1" applyProtection="1">
      <alignment horizontal="center"/>
      <protection locked="0"/>
    </xf>
    <xf numFmtId="0" fontId="13" fillId="3" borderId="48" xfId="0" applyFont="1" applyFill="1" applyBorder="1" applyAlignment="1" applyProtection="1">
      <alignment horizontal="center"/>
      <protection locked="0"/>
    </xf>
    <xf numFmtId="0" fontId="5" fillId="4" borderId="55" xfId="1" applyFont="1" applyFill="1" applyBorder="1" applyAlignment="1" applyProtection="1">
      <alignment horizontal="center"/>
    </xf>
    <xf numFmtId="0" fontId="5" fillId="4" borderId="8" xfId="1" applyFont="1" applyFill="1" applyBorder="1" applyAlignment="1" applyProtection="1">
      <alignment horizontal="center"/>
    </xf>
    <xf numFmtId="0" fontId="5" fillId="4" borderId="56" xfId="1" applyFont="1" applyFill="1" applyBorder="1" applyAlignment="1" applyProtection="1">
      <alignment horizontal="center"/>
    </xf>
    <xf numFmtId="0" fontId="11" fillId="0" borderId="31" xfId="0" applyFont="1" applyBorder="1" applyAlignment="1" applyProtection="1">
      <alignment horizontal="left" vertical="center"/>
    </xf>
    <xf numFmtId="0" fontId="11" fillId="0" borderId="10" xfId="0" applyFont="1" applyBorder="1" applyAlignment="1" applyProtection="1">
      <alignment horizontal="left" vertical="center"/>
    </xf>
    <xf numFmtId="0" fontId="11" fillId="0" borderId="50" xfId="0" applyFont="1" applyBorder="1" applyProtection="1"/>
    <xf numFmtId="0" fontId="13" fillId="0" borderId="0" xfId="0" applyFont="1" applyBorder="1" applyAlignment="1" applyProtection="1">
      <alignment horizontal="center"/>
      <protection locked="0"/>
    </xf>
    <xf numFmtId="165" fontId="13" fillId="3" borderId="15" xfId="0" applyNumberFormat="1" applyFont="1" applyFill="1" applyBorder="1" applyAlignment="1" applyProtection="1">
      <alignment horizontal="center"/>
      <protection locked="0"/>
    </xf>
    <xf numFmtId="165" fontId="13" fillId="3" borderId="17" xfId="0" applyNumberFormat="1" applyFont="1" applyFill="1" applyBorder="1" applyAlignment="1" applyProtection="1">
      <alignment horizontal="center"/>
      <protection locked="0"/>
    </xf>
    <xf numFmtId="0" fontId="5" fillId="4" borderId="15" xfId="1" applyFont="1" applyFill="1" applyBorder="1" applyAlignment="1" applyProtection="1">
      <alignment horizontal="center"/>
    </xf>
    <xf numFmtId="0" fontId="5" fillId="4" borderId="0" xfId="1" applyFont="1" applyFill="1" applyBorder="1" applyAlignment="1" applyProtection="1">
      <alignment horizontal="center"/>
    </xf>
    <xf numFmtId="0" fontId="5" fillId="4" borderId="16" xfId="1" applyFont="1" applyFill="1" applyBorder="1" applyAlignment="1" applyProtection="1">
      <alignment horizontal="center"/>
    </xf>
    <xf numFmtId="0" fontId="10" fillId="0" borderId="39" xfId="0" applyFont="1" applyBorder="1" applyAlignment="1" applyProtection="1">
      <alignment horizontal="center" vertical="center" wrapText="1"/>
    </xf>
    <xf numFmtId="0" fontId="10" fillId="0" borderId="4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0" fontId="5" fillId="4" borderId="43" xfId="1" applyFont="1" applyFill="1" applyBorder="1" applyAlignment="1" applyProtection="1">
      <alignment horizontal="center"/>
    </xf>
    <xf numFmtId="0" fontId="5" fillId="4" borderId="44" xfId="1" applyFont="1" applyFill="1" applyBorder="1" applyAlignment="1" applyProtection="1">
      <alignment horizontal="center"/>
    </xf>
    <xf numFmtId="0" fontId="5" fillId="4" borderId="23" xfId="1" applyFont="1" applyFill="1" applyBorder="1" applyAlignment="1" applyProtection="1">
      <alignment horizontal="center"/>
    </xf>
    <xf numFmtId="0" fontId="19" fillId="3" borderId="57" xfId="3" applyFill="1" applyBorder="1" applyAlignment="1" applyProtection="1">
      <alignment horizontal="center"/>
      <protection locked="0"/>
    </xf>
    <xf numFmtId="14" fontId="0" fillId="3" borderId="21" xfId="0" applyNumberFormat="1" applyFont="1" applyFill="1" applyBorder="1" applyProtection="1">
      <protection locked="0"/>
    </xf>
    <xf numFmtId="0" fontId="20" fillId="0" borderId="0" xfId="0" applyFont="1" applyAlignment="1">
      <alignment horizontal="center"/>
    </xf>
    <xf numFmtId="0" fontId="21" fillId="0" borderId="0" xfId="0" applyFont="1"/>
    <xf numFmtId="0" fontId="0" fillId="0" borderId="0" xfId="0"/>
    <xf numFmtId="167" fontId="21" fillId="0" borderId="0" xfId="0" applyNumberFormat="1" applyFont="1"/>
    <xf numFmtId="0" fontId="0" fillId="0" borderId="0" xfId="0" applyAlignment="1">
      <alignment horizontal="center"/>
    </xf>
    <xf numFmtId="0" fontId="21" fillId="0" borderId="0" xfId="0" applyFont="1"/>
    <xf numFmtId="0" fontId="22" fillId="5" borderId="0" xfId="0" applyFont="1" applyFill="1"/>
    <xf numFmtId="0" fontId="22" fillId="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4" fillId="0" borderId="0" xfId="0" applyFont="1" applyAlignment="1">
      <alignment horizontal="center"/>
    </xf>
    <xf numFmtId="2" fontId="24" fillId="0" borderId="0" xfId="0" applyNumberFormat="1" applyFont="1"/>
    <xf numFmtId="0" fontId="25" fillId="0" borderId="0" xfId="0" applyFont="1"/>
    <xf numFmtId="2" fontId="24" fillId="0" borderId="0" xfId="0" applyNumberFormat="1" applyFont="1" applyAlignment="1">
      <alignment horizontal="center"/>
    </xf>
    <xf numFmtId="2" fontId="26" fillId="5" borderId="0" xfId="0" applyNumberFormat="1" applyFont="1" applyFill="1" applyAlignment="1">
      <alignment horizontal="center"/>
    </xf>
    <xf numFmtId="0" fontId="27" fillId="0" borderId="0" xfId="0" applyFont="1"/>
    <xf numFmtId="0" fontId="29" fillId="0" borderId="0" xfId="0" applyFont="1"/>
    <xf numFmtId="0" fontId="29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4" fontId="30" fillId="0" borderId="0" xfId="0" applyNumberFormat="1" applyFont="1" applyAlignment="1">
      <alignment horizontal="left"/>
    </xf>
    <xf numFmtId="14" fontId="29" fillId="0" borderId="0" xfId="0" applyNumberFormat="1" applyFont="1" applyAlignment="1">
      <alignment horizontal="left"/>
    </xf>
    <xf numFmtId="4" fontId="29" fillId="0" borderId="0" xfId="0" applyNumberFormat="1" applyFont="1"/>
    <xf numFmtId="2" fontId="30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2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2" fontId="33" fillId="0" borderId="0" xfId="0" applyNumberFormat="1" applyFont="1" applyAlignment="1">
      <alignment horizontal="center"/>
    </xf>
    <xf numFmtId="1" fontId="34" fillId="0" borderId="0" xfId="0" applyNumberFormat="1" applyFont="1" applyAlignment="1">
      <alignment horizontal="left"/>
    </xf>
    <xf numFmtId="0" fontId="5" fillId="0" borderId="32" xfId="1" applyFont="1" applyFill="1" applyBorder="1" applyAlignment="1" applyProtection="1">
      <alignment horizontal="left"/>
    </xf>
  </cellXfs>
  <cellStyles count="4">
    <cellStyle name="God" xfId="1" builtinId="26"/>
    <cellStyle name="Hyperkobling" xfId="3" builtinId="8"/>
    <cellStyle name="Normal" xfId="0" builtinId="0"/>
    <cellStyle name="Tittel" xfId="2" builtinId="15"/>
  </cellStyles>
  <dxfs count="0"/>
  <tableStyles count="0" defaultTableStyle="TableStyleMedium2" defaultPivotStyle="PivotStyleLight16"/>
  <colors>
    <mruColors>
      <color rgb="FFCCFFCC"/>
      <color rgb="FF6D8838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19050</xdr:rowOff>
    </xdr:from>
    <xdr:to>
      <xdr:col>6</xdr:col>
      <xdr:colOff>200025</xdr:colOff>
      <xdr:row>12</xdr:row>
      <xdr:rowOff>85725</xdr:rowOff>
    </xdr:to>
    <xdr:pic>
      <xdr:nvPicPr>
        <xdr:cNvPr id="5" name="Bilde 4">
          <a:extLst>
            <a:ext uri="{FF2B5EF4-FFF2-40B4-BE49-F238E27FC236}">
              <a16:creationId xmlns:a16="http://schemas.microsoft.com/office/drawing/2014/main" id="{3A219DEE-052C-7E59-C772-A41ADDA8BB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9" t="330000" r="-204003" b="-330000"/>
        <a:stretch/>
      </xdr:blipFill>
      <xdr:spPr>
        <a:xfrm>
          <a:off x="838200" y="1571625"/>
          <a:ext cx="1743075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0</xdr:row>
      <xdr:rowOff>66675</xdr:rowOff>
    </xdr:from>
    <xdr:to>
      <xdr:col>6</xdr:col>
      <xdr:colOff>171450</xdr:colOff>
      <xdr:row>2</xdr:row>
      <xdr:rowOff>174001</xdr:rowOff>
    </xdr:to>
    <xdr:pic>
      <xdr:nvPicPr>
        <xdr:cNvPr id="7" name="Bilde 6">
          <a:extLst>
            <a:ext uri="{FF2B5EF4-FFF2-40B4-BE49-F238E27FC236}">
              <a16:creationId xmlns:a16="http://schemas.microsoft.com/office/drawing/2014/main" id="{E6426DC8-DE32-8CC0-BD86-0E523D88D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416" r="2500" b="33750"/>
        <a:stretch/>
      </xdr:blipFill>
      <xdr:spPr>
        <a:xfrm>
          <a:off x="733425" y="66675"/>
          <a:ext cx="1819275" cy="38355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523875</xdr:colOff>
      <xdr:row>3</xdr:row>
      <xdr:rowOff>9525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088207FE-CFCD-AF22-441C-2CB685AF7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85725"/>
          <a:ext cx="52387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@vikenklynge.n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view="pageBreakPreview" zoomScaleNormal="100" zoomScaleSheetLayoutView="100" workbookViewId="0">
      <selection activeCell="C48" sqref="C48"/>
    </sheetView>
  </sheetViews>
  <sheetFormatPr baseColWidth="10" defaultColWidth="9.140625" defaultRowHeight="15" x14ac:dyDescent="0.25"/>
  <cols>
    <col min="1" max="1" width="2" style="4" customWidth="1"/>
    <col min="2" max="2" width="1.140625" style="4" hidden="1" customWidth="1"/>
    <col min="3" max="3" width="10.5703125" style="4" customWidth="1"/>
    <col min="4" max="6" width="7.7109375" style="4" customWidth="1"/>
    <col min="7" max="7" width="7.28515625" style="4" customWidth="1"/>
    <col min="8" max="8" width="6.5703125" style="4" customWidth="1"/>
    <col min="9" max="9" width="7.28515625" style="4" customWidth="1"/>
    <col min="10" max="10" width="15.5703125" style="4" customWidth="1"/>
    <col min="11" max="11" width="7.28515625" style="4" hidden="1" customWidth="1"/>
    <col min="12" max="12" width="7.85546875" style="4" customWidth="1"/>
    <col min="13" max="13" width="15.42578125" style="4" customWidth="1"/>
    <col min="14" max="14" width="2" style="4" customWidth="1"/>
    <col min="15" max="15" width="36.85546875" style="4" customWidth="1"/>
    <col min="16" max="16" width="24.28515625" style="4" bestFit="1" customWidth="1"/>
    <col min="17" max="16384" width="9.140625" style="4"/>
  </cols>
  <sheetData>
    <row r="1" spans="1:14" ht="6.75" customHeight="1" thickBot="1" x14ac:dyDescent="0.3">
      <c r="A1" s="1"/>
      <c r="B1" s="2"/>
      <c r="C1" s="2"/>
      <c r="D1" s="2"/>
      <c r="E1" s="3"/>
      <c r="F1" s="3"/>
      <c r="G1" s="3"/>
      <c r="H1" s="2"/>
      <c r="I1" s="2"/>
      <c r="J1" s="2"/>
      <c r="K1" s="2"/>
      <c r="L1" s="2"/>
      <c r="M1" s="2"/>
      <c r="N1" s="2"/>
    </row>
    <row r="2" spans="1:14" ht="15" customHeight="1" x14ac:dyDescent="0.35">
      <c r="A2" s="1"/>
      <c r="B2" s="2"/>
      <c r="C2" s="131"/>
      <c r="D2" s="165"/>
      <c r="E2" s="5"/>
      <c r="G2" s="6"/>
      <c r="H2" s="167" t="s">
        <v>56</v>
      </c>
      <c r="I2" s="167"/>
      <c r="J2" s="167"/>
      <c r="K2" s="167"/>
      <c r="L2" s="168"/>
      <c r="M2" s="26" t="s">
        <v>2</v>
      </c>
      <c r="N2" s="7"/>
    </row>
    <row r="3" spans="1:14" ht="15.75" customHeight="1" thickBot="1" x14ac:dyDescent="0.4">
      <c r="B3" s="2"/>
      <c r="C3" s="132"/>
      <c r="D3" s="166"/>
      <c r="E3" s="7"/>
      <c r="F3" s="8"/>
      <c r="G3" s="8"/>
      <c r="H3" s="169"/>
      <c r="I3" s="169"/>
      <c r="J3" s="169"/>
      <c r="K3" s="169"/>
      <c r="L3" s="170"/>
      <c r="M3" s="49"/>
      <c r="N3" s="7"/>
    </row>
    <row r="4" spans="1:14" ht="15.75" customHeight="1" x14ac:dyDescent="0.25">
      <c r="A4" s="1"/>
      <c r="B4" s="2"/>
      <c r="C4" s="105" t="s">
        <v>0</v>
      </c>
      <c r="D4" s="106"/>
      <c r="E4" s="107"/>
      <c r="F4" s="105" t="s">
        <v>1</v>
      </c>
      <c r="G4" s="106"/>
      <c r="H4" s="106"/>
      <c r="I4" s="106"/>
      <c r="J4" s="106"/>
      <c r="K4" s="106"/>
      <c r="L4" s="107"/>
      <c r="M4" s="27" t="s">
        <v>55</v>
      </c>
      <c r="N4" s="7"/>
    </row>
    <row r="5" spans="1:14" ht="18.75" customHeight="1" thickBot="1" x14ac:dyDescent="0.3">
      <c r="A5" s="1"/>
      <c r="B5" s="2"/>
      <c r="C5" s="117">
        <v>15046537561</v>
      </c>
      <c r="D5" s="118"/>
      <c r="E5" s="119"/>
      <c r="F5" s="120" t="s">
        <v>57</v>
      </c>
      <c r="G5" s="121"/>
      <c r="H5" s="121"/>
      <c r="I5" s="121"/>
      <c r="J5" s="121"/>
      <c r="K5" s="121"/>
      <c r="L5" s="122"/>
      <c r="M5" s="48" t="s">
        <v>58</v>
      </c>
      <c r="N5" s="7"/>
    </row>
    <row r="6" spans="1:14" ht="3" customHeight="1" thickBot="1" x14ac:dyDescent="0.3">
      <c r="A6" s="1"/>
      <c r="B6" s="2"/>
      <c r="C6" s="9"/>
      <c r="D6" s="10"/>
      <c r="E6" s="10"/>
      <c r="F6" s="10"/>
      <c r="G6" s="10"/>
      <c r="H6" s="10"/>
      <c r="I6" s="10"/>
      <c r="J6" s="10"/>
      <c r="K6" s="10"/>
      <c r="L6" s="10"/>
      <c r="M6" s="9"/>
      <c r="N6" s="7"/>
    </row>
    <row r="7" spans="1:14" x14ac:dyDescent="0.25">
      <c r="A7" s="1"/>
      <c r="B7" s="2"/>
      <c r="C7" s="105" t="s">
        <v>3</v>
      </c>
      <c r="D7" s="106"/>
      <c r="E7" s="106"/>
      <c r="F7" s="107"/>
      <c r="G7" s="179" t="s">
        <v>32</v>
      </c>
      <c r="H7" s="180"/>
      <c r="I7" s="179" t="s">
        <v>33</v>
      </c>
      <c r="J7" s="180"/>
      <c r="K7" s="181" t="s">
        <v>36</v>
      </c>
      <c r="L7" s="181"/>
      <c r="M7" s="180"/>
      <c r="N7" s="11"/>
    </row>
    <row r="8" spans="1:14" ht="17.25" customHeight="1" thickBot="1" x14ac:dyDescent="0.3">
      <c r="A8" s="1"/>
      <c r="B8" s="2"/>
      <c r="C8" s="176" t="s">
        <v>59</v>
      </c>
      <c r="D8" s="177"/>
      <c r="E8" s="177"/>
      <c r="F8" s="178"/>
      <c r="G8" s="173">
        <v>1555</v>
      </c>
      <c r="H8" s="174"/>
      <c r="I8" s="173" t="s">
        <v>60</v>
      </c>
      <c r="J8" s="174"/>
      <c r="K8" s="175" t="s">
        <v>61</v>
      </c>
      <c r="L8" s="175"/>
      <c r="M8" s="174"/>
      <c r="N8" s="11"/>
    </row>
    <row r="9" spans="1:14" x14ac:dyDescent="0.25">
      <c r="A9" s="1"/>
      <c r="B9" s="2"/>
      <c r="C9" s="113" t="s">
        <v>46</v>
      </c>
      <c r="D9" s="114"/>
      <c r="E9" s="115"/>
      <c r="F9" s="115"/>
      <c r="G9" s="115"/>
      <c r="H9" s="116"/>
      <c r="I9" s="191" t="s">
        <v>52</v>
      </c>
      <c r="J9" s="106"/>
      <c r="K9" s="106"/>
      <c r="L9" s="106"/>
      <c r="M9" s="107"/>
      <c r="N9" s="11"/>
    </row>
    <row r="10" spans="1:14" x14ac:dyDescent="0.25">
      <c r="A10" s="1"/>
      <c r="B10" s="2"/>
      <c r="C10" s="215" t="s">
        <v>62</v>
      </c>
      <c r="D10" s="186"/>
      <c r="E10" s="186"/>
      <c r="F10" s="186"/>
      <c r="G10" s="182" t="s">
        <v>86</v>
      </c>
      <c r="H10" s="182"/>
      <c r="I10" s="182"/>
      <c r="J10" s="182"/>
      <c r="K10" s="182"/>
      <c r="L10" s="182"/>
      <c r="M10" s="183"/>
      <c r="N10" s="11"/>
    </row>
    <row r="11" spans="1:14" ht="12" customHeight="1" thickBot="1" x14ac:dyDescent="0.3">
      <c r="A11" s="1"/>
      <c r="B11" s="2"/>
      <c r="C11" s="187"/>
      <c r="D11" s="188"/>
      <c r="E11" s="188"/>
      <c r="F11" s="188"/>
      <c r="G11" s="184"/>
      <c r="H11" s="184"/>
      <c r="I11" s="184"/>
      <c r="J11" s="184"/>
      <c r="K11" s="184"/>
      <c r="L11" s="184"/>
      <c r="M11" s="185"/>
      <c r="N11" s="11"/>
    </row>
    <row r="12" spans="1:14" ht="5.25" customHeight="1" thickBot="1" x14ac:dyDescent="0.3">
      <c r="A12" s="1"/>
      <c r="B12" s="2"/>
      <c r="C12" s="7"/>
      <c r="D12" s="7"/>
      <c r="E12" s="7"/>
      <c r="F12" s="7"/>
      <c r="G12" s="7"/>
      <c r="H12" s="7"/>
      <c r="I12" s="7"/>
      <c r="J12" s="7"/>
      <c r="K12" s="7"/>
      <c r="L12" s="7"/>
      <c r="M12" s="12"/>
      <c r="N12" s="7"/>
    </row>
    <row r="13" spans="1:14" ht="35.25" customHeight="1" x14ac:dyDescent="0.25">
      <c r="A13" s="1"/>
      <c r="B13" s="2"/>
      <c r="C13" s="156" t="s">
        <v>50</v>
      </c>
      <c r="D13" s="111" t="s">
        <v>5</v>
      </c>
      <c r="E13" s="112"/>
      <c r="F13" s="112" t="s">
        <v>6</v>
      </c>
      <c r="G13" s="112"/>
      <c r="H13" s="110" t="s">
        <v>7</v>
      </c>
      <c r="I13" s="111"/>
      <c r="J13" s="94" t="s">
        <v>54</v>
      </c>
      <c r="K13" s="13" t="s">
        <v>8</v>
      </c>
      <c r="L13" s="28" t="s">
        <v>8</v>
      </c>
      <c r="M13" s="29" t="s">
        <v>9</v>
      </c>
      <c r="N13" s="7"/>
    </row>
    <row r="14" spans="1:14" x14ac:dyDescent="0.25">
      <c r="A14" s="1"/>
      <c r="B14" s="2"/>
      <c r="C14" s="157"/>
      <c r="D14" s="30" t="s">
        <v>30</v>
      </c>
      <c r="E14" s="31" t="s">
        <v>31</v>
      </c>
      <c r="F14" s="31" t="s">
        <v>30</v>
      </c>
      <c r="G14" s="31" t="s">
        <v>31</v>
      </c>
      <c r="H14" s="108"/>
      <c r="I14" s="109"/>
      <c r="J14" s="90"/>
      <c r="K14" s="90"/>
      <c r="L14" s="88"/>
      <c r="M14" s="91"/>
      <c r="N14" s="7"/>
    </row>
    <row r="15" spans="1:14" x14ac:dyDescent="0.25">
      <c r="A15" s="1"/>
      <c r="B15" s="2"/>
      <c r="C15" s="157"/>
      <c r="D15" s="39"/>
      <c r="E15" s="40"/>
      <c r="F15" s="41"/>
      <c r="G15" s="40"/>
      <c r="H15" s="108"/>
      <c r="I15" s="109"/>
      <c r="J15" s="90"/>
      <c r="K15" s="90"/>
      <c r="L15" s="88"/>
      <c r="M15" s="91"/>
      <c r="N15" s="7"/>
    </row>
    <row r="16" spans="1:14" x14ac:dyDescent="0.25">
      <c r="A16" s="1"/>
      <c r="B16" s="2"/>
      <c r="C16" s="157"/>
      <c r="D16" s="39"/>
      <c r="E16" s="40"/>
      <c r="F16" s="41"/>
      <c r="G16" s="40"/>
      <c r="H16" s="108"/>
      <c r="I16" s="109"/>
      <c r="J16" s="90"/>
      <c r="K16" s="90"/>
      <c r="L16" s="88"/>
      <c r="M16" s="91"/>
      <c r="N16" s="7"/>
    </row>
    <row r="17" spans="1:14" ht="15.75" thickBot="1" x14ac:dyDescent="0.3">
      <c r="A17" s="1"/>
      <c r="B17" s="2"/>
      <c r="C17" s="158"/>
      <c r="D17" s="45"/>
      <c r="E17" s="46"/>
      <c r="F17" s="47"/>
      <c r="G17" s="46"/>
      <c r="H17" s="189"/>
      <c r="I17" s="190"/>
      <c r="J17" s="92"/>
      <c r="K17" s="92"/>
      <c r="L17" s="89"/>
      <c r="M17" s="93"/>
      <c r="N17" s="7"/>
    </row>
    <row r="18" spans="1:14" ht="3" customHeight="1" thickBot="1" x14ac:dyDescent="0.3">
      <c r="A18" s="1"/>
      <c r="B18" s="2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1:14" x14ac:dyDescent="0.25">
      <c r="A19" s="1"/>
      <c r="B19" s="2"/>
      <c r="C19" s="208" t="s">
        <v>43</v>
      </c>
      <c r="D19" s="212" t="s">
        <v>10</v>
      </c>
      <c r="E19" s="213"/>
      <c r="F19" s="213"/>
      <c r="G19" s="214"/>
      <c r="H19" s="32" t="s">
        <v>11</v>
      </c>
      <c r="I19" s="33" t="s">
        <v>12</v>
      </c>
      <c r="J19" s="34" t="s">
        <v>13</v>
      </c>
      <c r="K19" s="14"/>
      <c r="L19" s="15"/>
      <c r="M19" s="35" t="s">
        <v>15</v>
      </c>
      <c r="N19" s="7"/>
    </row>
    <row r="20" spans="1:14" hidden="1" x14ac:dyDescent="0.25">
      <c r="A20" s="1"/>
      <c r="B20" s="2"/>
      <c r="C20" s="209"/>
      <c r="D20" s="123" t="s">
        <v>16</v>
      </c>
      <c r="E20" s="137"/>
      <c r="F20" s="141" t="s">
        <v>34</v>
      </c>
      <c r="G20" s="142"/>
      <c r="H20" s="67">
        <v>5040</v>
      </c>
      <c r="I20" s="50"/>
      <c r="J20" s="21">
        <v>4.2</v>
      </c>
      <c r="K20" s="22"/>
      <c r="L20" s="23" t="s">
        <v>45</v>
      </c>
      <c r="M20" s="24" t="str">
        <f>IF(J20*I20=0,"",J20*I20)</f>
        <v/>
      </c>
      <c r="N20" s="7"/>
    </row>
    <row r="21" spans="1:14" x14ac:dyDescent="0.25">
      <c r="A21" s="1"/>
      <c r="B21" s="2"/>
      <c r="C21" s="209"/>
      <c r="D21" s="138"/>
      <c r="E21" s="139"/>
      <c r="F21" s="143" t="s">
        <v>17</v>
      </c>
      <c r="G21" s="144"/>
      <c r="H21" s="36">
        <v>460</v>
      </c>
      <c r="I21" s="42">
        <v>0</v>
      </c>
      <c r="J21" s="149">
        <v>4.03</v>
      </c>
      <c r="K21" s="150"/>
      <c r="L21" s="25"/>
      <c r="M21" s="64" t="str">
        <f t="shared" ref="M21:M30" si="0">IF(J21*I21=0,"",J21*I21)</f>
        <v/>
      </c>
      <c r="N21" s="7"/>
    </row>
    <row r="22" spans="1:14" x14ac:dyDescent="0.25">
      <c r="A22" s="1"/>
      <c r="B22" s="2"/>
      <c r="C22" s="209"/>
      <c r="D22" s="125"/>
      <c r="E22" s="140"/>
      <c r="F22" s="145" t="s">
        <v>18</v>
      </c>
      <c r="G22" s="146"/>
      <c r="H22" s="36">
        <v>463</v>
      </c>
      <c r="I22" s="42">
        <v>0</v>
      </c>
      <c r="J22" s="149">
        <v>1</v>
      </c>
      <c r="K22" s="150"/>
      <c r="L22" s="25"/>
      <c r="M22" s="64" t="str">
        <f t="shared" si="0"/>
        <v/>
      </c>
      <c r="N22" s="7"/>
    </row>
    <row r="23" spans="1:14" x14ac:dyDescent="0.25">
      <c r="A23" s="1"/>
      <c r="B23" s="2"/>
      <c r="C23" s="209"/>
      <c r="D23" s="123" t="s">
        <v>19</v>
      </c>
      <c r="E23" s="124"/>
      <c r="F23" s="145" t="s">
        <v>63</v>
      </c>
      <c r="G23" s="146"/>
      <c r="H23" s="36">
        <v>490</v>
      </c>
      <c r="I23" s="42">
        <v>0</v>
      </c>
      <c r="J23" s="147">
        <v>0</v>
      </c>
      <c r="K23" s="148"/>
      <c r="L23" s="51"/>
      <c r="M23" s="52" t="str">
        <f t="shared" si="0"/>
        <v/>
      </c>
      <c r="N23" s="7"/>
    </row>
    <row r="24" spans="1:14" x14ac:dyDescent="0.25">
      <c r="A24" s="1"/>
      <c r="B24" s="2"/>
      <c r="C24" s="209"/>
      <c r="D24" s="125"/>
      <c r="E24" s="126"/>
      <c r="F24" s="145" t="s">
        <v>85</v>
      </c>
      <c r="G24" s="146"/>
      <c r="H24" s="36"/>
      <c r="I24" s="42">
        <v>1</v>
      </c>
      <c r="J24" s="147">
        <f>SUM(Sheet2!H57)</f>
        <v>17919.25</v>
      </c>
      <c r="K24" s="148"/>
      <c r="L24" s="51"/>
      <c r="M24" s="52">
        <f t="shared" si="0"/>
        <v>17919.25</v>
      </c>
      <c r="N24" s="7"/>
    </row>
    <row r="25" spans="1:14" x14ac:dyDescent="0.25">
      <c r="A25" s="1"/>
      <c r="B25" s="2"/>
      <c r="C25" s="209"/>
      <c r="D25" s="127" t="s">
        <v>23</v>
      </c>
      <c r="E25" s="128"/>
      <c r="F25" s="145" t="s">
        <v>20</v>
      </c>
      <c r="G25" s="146"/>
      <c r="H25" s="36">
        <v>466</v>
      </c>
      <c r="I25" s="42">
        <v>0</v>
      </c>
      <c r="J25" s="149">
        <v>324</v>
      </c>
      <c r="K25" s="150"/>
      <c r="L25" s="25"/>
      <c r="M25" s="64" t="str">
        <f t="shared" si="0"/>
        <v/>
      </c>
      <c r="N25" s="7"/>
    </row>
    <row r="26" spans="1:14" x14ac:dyDescent="0.25">
      <c r="A26" s="1"/>
      <c r="B26" s="2"/>
      <c r="C26" s="209"/>
      <c r="D26" s="127"/>
      <c r="E26" s="128"/>
      <c r="F26" s="145" t="s">
        <v>21</v>
      </c>
      <c r="G26" s="146"/>
      <c r="H26" s="36">
        <v>467</v>
      </c>
      <c r="I26" s="42"/>
      <c r="J26" s="149">
        <v>603</v>
      </c>
      <c r="K26" s="150"/>
      <c r="L26" s="25"/>
      <c r="M26" s="64" t="str">
        <f t="shared" si="0"/>
        <v/>
      </c>
      <c r="N26" s="7"/>
    </row>
    <row r="27" spans="1:14" x14ac:dyDescent="0.25">
      <c r="A27" s="1"/>
      <c r="B27" s="2"/>
      <c r="C27" s="209"/>
      <c r="D27" s="127"/>
      <c r="E27" s="128"/>
      <c r="F27" s="162" t="s">
        <v>22</v>
      </c>
      <c r="G27" s="62" t="s">
        <v>47</v>
      </c>
      <c r="H27" s="37" t="s">
        <v>35</v>
      </c>
      <c r="I27" s="42"/>
      <c r="J27" s="70"/>
      <c r="K27" s="71"/>
      <c r="L27" s="72"/>
      <c r="M27" s="73"/>
      <c r="N27" s="7"/>
    </row>
    <row r="28" spans="1:14" x14ac:dyDescent="0.25">
      <c r="A28" s="1"/>
      <c r="B28" s="2"/>
      <c r="C28" s="209"/>
      <c r="D28" s="127"/>
      <c r="E28" s="128"/>
      <c r="F28" s="163"/>
      <c r="G28" s="62" t="s">
        <v>48</v>
      </c>
      <c r="H28" s="37" t="s">
        <v>35</v>
      </c>
      <c r="I28" s="42"/>
      <c r="J28" s="70"/>
      <c r="K28" s="71"/>
      <c r="L28" s="72"/>
      <c r="M28" s="73"/>
      <c r="N28" s="7"/>
    </row>
    <row r="29" spans="1:14" x14ac:dyDescent="0.25">
      <c r="A29" s="1"/>
      <c r="B29" s="2"/>
      <c r="C29" s="209"/>
      <c r="D29" s="129"/>
      <c r="E29" s="130"/>
      <c r="F29" s="164"/>
      <c r="G29" s="63" t="s">
        <v>49</v>
      </c>
      <c r="H29" s="37" t="s">
        <v>35</v>
      </c>
      <c r="I29" s="42"/>
      <c r="J29" s="147"/>
      <c r="K29" s="148"/>
      <c r="L29" s="51"/>
      <c r="M29" s="52" t="str">
        <f t="shared" si="0"/>
        <v/>
      </c>
      <c r="N29" s="7"/>
    </row>
    <row r="30" spans="1:14" ht="17.25" customHeight="1" x14ac:dyDescent="0.25">
      <c r="A30" s="1"/>
      <c r="B30" s="2"/>
      <c r="C30" s="209"/>
      <c r="D30" s="171" t="s">
        <v>53</v>
      </c>
      <c r="E30" s="172"/>
      <c r="F30" s="145" t="s">
        <v>21</v>
      </c>
      <c r="G30" s="146"/>
      <c r="H30" s="36">
        <v>468</v>
      </c>
      <c r="I30" s="42"/>
      <c r="J30" s="149">
        <v>825</v>
      </c>
      <c r="K30" s="150"/>
      <c r="L30" s="25"/>
      <c r="M30" s="64" t="str">
        <f t="shared" si="0"/>
        <v/>
      </c>
      <c r="N30" s="7"/>
    </row>
    <row r="31" spans="1:14" ht="16.5" customHeight="1" x14ac:dyDescent="0.25">
      <c r="A31" s="1"/>
      <c r="B31" s="2"/>
      <c r="C31" s="209"/>
      <c r="D31" s="127"/>
      <c r="E31" s="128"/>
      <c r="F31" s="162" t="s">
        <v>22</v>
      </c>
      <c r="G31" s="62" t="s">
        <v>47</v>
      </c>
      <c r="H31" s="37" t="s">
        <v>35</v>
      </c>
      <c r="I31" s="42"/>
      <c r="J31" s="70"/>
      <c r="K31" s="71"/>
      <c r="L31" s="72"/>
      <c r="M31" s="69"/>
      <c r="N31" s="7"/>
    </row>
    <row r="32" spans="1:14" ht="15.75" customHeight="1" x14ac:dyDescent="0.25">
      <c r="A32" s="1"/>
      <c r="B32" s="2"/>
      <c r="C32" s="209"/>
      <c r="D32" s="127"/>
      <c r="E32" s="128"/>
      <c r="F32" s="163"/>
      <c r="G32" s="62" t="s">
        <v>48</v>
      </c>
      <c r="H32" s="37" t="s">
        <v>35</v>
      </c>
      <c r="I32" s="42"/>
      <c r="J32" s="70"/>
      <c r="K32" s="71"/>
      <c r="L32" s="72"/>
      <c r="M32" s="69"/>
      <c r="N32" s="7"/>
    </row>
    <row r="33" spans="1:14" x14ac:dyDescent="0.25">
      <c r="A33" s="1"/>
      <c r="B33" s="2"/>
      <c r="C33" s="209"/>
      <c r="D33" s="129"/>
      <c r="E33" s="130"/>
      <c r="F33" s="164"/>
      <c r="G33" s="63" t="s">
        <v>49</v>
      </c>
      <c r="H33" s="37" t="s">
        <v>35</v>
      </c>
      <c r="I33" s="42"/>
      <c r="J33" s="151"/>
      <c r="K33" s="152"/>
      <c r="L33" s="51"/>
      <c r="M33" s="44"/>
      <c r="N33" s="7"/>
    </row>
    <row r="34" spans="1:14" ht="24" customHeight="1" x14ac:dyDescent="0.25">
      <c r="A34" s="1"/>
      <c r="B34" s="2"/>
      <c r="C34" s="209"/>
      <c r="D34" s="159" t="s">
        <v>51</v>
      </c>
      <c r="E34" s="160"/>
      <c r="F34" s="199" t="s">
        <v>44</v>
      </c>
      <c r="G34" s="200"/>
      <c r="H34" s="37">
        <v>469</v>
      </c>
      <c r="I34" s="42"/>
      <c r="J34" s="151"/>
      <c r="K34" s="152"/>
      <c r="L34" s="51"/>
      <c r="M34" s="44"/>
      <c r="N34" s="7"/>
    </row>
    <row r="35" spans="1:14" ht="15" customHeight="1" x14ac:dyDescent="0.25">
      <c r="A35" s="1"/>
      <c r="B35" s="2"/>
      <c r="C35" s="210"/>
      <c r="D35" s="123" t="s">
        <v>24</v>
      </c>
      <c r="E35" s="124"/>
      <c r="F35" s="201" t="s">
        <v>25</v>
      </c>
      <c r="G35" s="146"/>
      <c r="H35" s="37">
        <v>475</v>
      </c>
      <c r="I35" s="42"/>
      <c r="J35" s="151"/>
      <c r="K35" s="152"/>
      <c r="L35" s="51"/>
      <c r="M35" s="44"/>
      <c r="N35" s="7"/>
    </row>
    <row r="36" spans="1:14" x14ac:dyDescent="0.25">
      <c r="A36" s="1"/>
      <c r="B36" s="2"/>
      <c r="C36" s="210"/>
      <c r="D36" s="138"/>
      <c r="E36" s="161"/>
      <c r="F36" s="162" t="s">
        <v>22</v>
      </c>
      <c r="G36" s="62" t="s">
        <v>47</v>
      </c>
      <c r="H36" s="37" t="s">
        <v>35</v>
      </c>
      <c r="I36" s="42"/>
      <c r="J36" s="70"/>
      <c r="K36" s="71"/>
      <c r="L36" s="72"/>
      <c r="M36" s="69"/>
      <c r="N36" s="7"/>
    </row>
    <row r="37" spans="1:14" ht="15" customHeight="1" x14ac:dyDescent="0.25">
      <c r="A37" s="1"/>
      <c r="B37" s="2"/>
      <c r="C37" s="210"/>
      <c r="D37" s="138"/>
      <c r="E37" s="161"/>
      <c r="F37" s="163"/>
      <c r="G37" s="62" t="s">
        <v>48</v>
      </c>
      <c r="H37" s="37" t="s">
        <v>35</v>
      </c>
      <c r="I37" s="42"/>
      <c r="J37" s="70"/>
      <c r="K37" s="71"/>
      <c r="L37" s="72"/>
      <c r="M37" s="69"/>
      <c r="N37" s="7"/>
    </row>
    <row r="38" spans="1:14" ht="15.75" thickBot="1" x14ac:dyDescent="0.3">
      <c r="A38" s="1"/>
      <c r="B38" s="2"/>
      <c r="C38" s="211"/>
      <c r="D38" s="125"/>
      <c r="E38" s="126"/>
      <c r="F38" s="164"/>
      <c r="G38" s="63" t="s">
        <v>49</v>
      </c>
      <c r="H38" s="37" t="s">
        <v>35</v>
      </c>
      <c r="I38" s="42"/>
      <c r="J38" s="151"/>
      <c r="K38" s="152"/>
      <c r="L38" s="51"/>
      <c r="M38" s="44"/>
      <c r="N38" s="7"/>
    </row>
    <row r="39" spans="1:14" ht="3" customHeight="1" thickBot="1" x14ac:dyDescent="0.3">
      <c r="A39" s="1"/>
      <c r="B39" s="2"/>
      <c r="C39" s="7"/>
      <c r="E39" s="68"/>
      <c r="F39" s="9"/>
      <c r="G39" s="9"/>
      <c r="H39" s="9"/>
      <c r="I39" s="9"/>
      <c r="J39" s="9"/>
      <c r="K39" s="9"/>
      <c r="L39" s="9"/>
      <c r="M39" s="9"/>
      <c r="N39" s="7"/>
    </row>
    <row r="40" spans="1:14" x14ac:dyDescent="0.25">
      <c r="A40" s="1"/>
      <c r="B40" s="2"/>
      <c r="C40" s="153" t="s">
        <v>4</v>
      </c>
      <c r="D40" s="56" t="s">
        <v>26</v>
      </c>
      <c r="E40" s="57"/>
      <c r="F40" s="56"/>
      <c r="G40" s="53"/>
      <c r="H40" s="32" t="s">
        <v>11</v>
      </c>
      <c r="I40" s="33" t="s">
        <v>12</v>
      </c>
      <c r="J40" s="33" t="s">
        <v>13</v>
      </c>
      <c r="K40" s="58" t="s">
        <v>14</v>
      </c>
      <c r="L40" s="65"/>
      <c r="M40" s="35" t="s">
        <v>15</v>
      </c>
      <c r="N40" s="7"/>
    </row>
    <row r="41" spans="1:14" x14ac:dyDescent="0.25">
      <c r="A41" s="1"/>
      <c r="B41" s="2"/>
      <c r="C41" s="154"/>
      <c r="D41" s="83" t="s">
        <v>27</v>
      </c>
      <c r="E41" s="82"/>
      <c r="F41" s="82"/>
      <c r="G41" s="82"/>
      <c r="H41" s="38">
        <v>255</v>
      </c>
      <c r="I41" s="42"/>
      <c r="J41" s="42"/>
      <c r="K41" s="42"/>
      <c r="L41" s="43"/>
      <c r="M41" s="44"/>
      <c r="N41" s="7"/>
    </row>
    <row r="42" spans="1:14" x14ac:dyDescent="0.25">
      <c r="A42" s="1"/>
      <c r="B42" s="2"/>
      <c r="C42" s="154"/>
      <c r="D42" s="84" t="s">
        <v>41</v>
      </c>
      <c r="E42" s="84"/>
      <c r="F42" s="84"/>
      <c r="G42" s="87"/>
      <c r="H42" s="38">
        <v>257</v>
      </c>
      <c r="I42" s="42"/>
      <c r="J42" s="42"/>
      <c r="K42" s="42"/>
      <c r="L42" s="43"/>
      <c r="M42" s="44"/>
      <c r="N42" s="7"/>
    </row>
    <row r="43" spans="1:14" x14ac:dyDescent="0.25">
      <c r="A43" s="1"/>
      <c r="B43" s="2"/>
      <c r="C43" s="154"/>
      <c r="D43" s="84" t="s">
        <v>42</v>
      </c>
      <c r="E43" s="82"/>
      <c r="F43" s="84"/>
      <c r="G43" s="87"/>
      <c r="H43" s="38">
        <v>257</v>
      </c>
      <c r="I43" s="42"/>
      <c r="J43" s="42"/>
      <c r="K43" s="42"/>
      <c r="L43" s="43"/>
      <c r="M43" s="44"/>
      <c r="N43" s="7"/>
    </row>
    <row r="44" spans="1:14" x14ac:dyDescent="0.25">
      <c r="A44" s="1"/>
      <c r="B44" s="2"/>
      <c r="C44" s="154"/>
      <c r="D44" s="84" t="s">
        <v>28</v>
      </c>
      <c r="E44" s="86"/>
      <c r="F44" s="84"/>
      <c r="G44" s="87"/>
      <c r="H44" s="38">
        <v>494</v>
      </c>
      <c r="I44" s="59"/>
      <c r="J44" s="59"/>
      <c r="K44" s="59"/>
      <c r="L44" s="60"/>
      <c r="M44" s="61"/>
      <c r="N44" s="7"/>
    </row>
    <row r="45" spans="1:14" ht="15.75" thickBot="1" x14ac:dyDescent="0.3">
      <c r="A45" s="1"/>
      <c r="B45" s="2"/>
      <c r="C45" s="155"/>
      <c r="D45" s="85" t="s">
        <v>29</v>
      </c>
      <c r="E45" s="54"/>
      <c r="G45" s="247" t="s">
        <v>117</v>
      </c>
      <c r="H45" s="54"/>
      <c r="I45" s="54"/>
      <c r="J45" s="54"/>
      <c r="K45" s="54"/>
      <c r="L45" s="54"/>
      <c r="M45" s="66">
        <f>M24</f>
        <v>17919.25</v>
      </c>
      <c r="N45" s="7"/>
    </row>
    <row r="46" spans="1:14" ht="15.75" customHeight="1" x14ac:dyDescent="0.25">
      <c r="A46" s="1"/>
      <c r="B46" s="2"/>
      <c r="C46" s="205" t="s">
        <v>37</v>
      </c>
      <c r="D46" s="206"/>
      <c r="E46" s="206"/>
      <c r="F46" s="207"/>
      <c r="G46" s="196" t="s">
        <v>38</v>
      </c>
      <c r="H46" s="197"/>
      <c r="I46" s="197"/>
      <c r="J46" s="198"/>
      <c r="K46" s="196" t="s">
        <v>39</v>
      </c>
      <c r="L46" s="197"/>
      <c r="M46" s="198"/>
      <c r="N46" s="7"/>
    </row>
    <row r="47" spans="1:14" ht="12" customHeight="1" x14ac:dyDescent="0.25">
      <c r="A47" s="1"/>
      <c r="B47" s="2"/>
      <c r="C47" s="78" t="s">
        <v>30</v>
      </c>
      <c r="D47" s="75" t="s">
        <v>40</v>
      </c>
      <c r="E47" s="76"/>
      <c r="F47" s="77"/>
      <c r="G47" s="135" t="s">
        <v>30</v>
      </c>
      <c r="H47" s="136"/>
      <c r="I47" s="133" t="s">
        <v>40</v>
      </c>
      <c r="J47" s="134"/>
      <c r="K47" s="16" t="s">
        <v>30</v>
      </c>
      <c r="L47" s="74" t="s">
        <v>30</v>
      </c>
      <c r="M47" s="79" t="s">
        <v>40</v>
      </c>
      <c r="N47" s="7"/>
    </row>
    <row r="48" spans="1:14" ht="12" customHeight="1" x14ac:dyDescent="0.25">
      <c r="A48" s="1"/>
      <c r="B48" s="2"/>
      <c r="C48" s="216">
        <v>44873</v>
      </c>
      <c r="D48" s="95" t="s">
        <v>64</v>
      </c>
      <c r="E48" s="96"/>
      <c r="F48" s="97"/>
      <c r="G48" s="203"/>
      <c r="H48" s="192"/>
      <c r="I48" s="101"/>
      <c r="J48" s="102"/>
      <c r="K48" s="202"/>
      <c r="L48" s="192"/>
      <c r="M48" s="194"/>
      <c r="N48" s="7"/>
    </row>
    <row r="49" spans="1:14" ht="12.75" customHeight="1" thickBot="1" x14ac:dyDescent="0.3">
      <c r="A49" s="1"/>
      <c r="B49" s="2"/>
      <c r="C49" s="80"/>
      <c r="D49" s="98"/>
      <c r="E49" s="99"/>
      <c r="F49" s="100"/>
      <c r="G49" s="204"/>
      <c r="H49" s="193"/>
      <c r="I49" s="103"/>
      <c r="J49" s="104"/>
      <c r="K49" s="175"/>
      <c r="L49" s="193"/>
      <c r="M49" s="195"/>
      <c r="N49" s="7"/>
    </row>
    <row r="50" spans="1:14" ht="15.75" hidden="1" customHeight="1" thickBot="1" x14ac:dyDescent="0.3">
      <c r="A50" s="1"/>
      <c r="B50" s="17"/>
      <c r="C50" s="81"/>
      <c r="D50" s="54"/>
      <c r="E50" s="54"/>
      <c r="F50" s="19"/>
      <c r="G50" s="19"/>
      <c r="H50" s="19"/>
      <c r="I50" s="19"/>
      <c r="J50" s="19"/>
      <c r="K50" s="19"/>
      <c r="L50" s="19"/>
      <c r="M50" s="55"/>
      <c r="N50" s="18"/>
    </row>
    <row r="51" spans="1:14" ht="1.5" customHeight="1" thickBot="1" x14ac:dyDescent="0.3">
      <c r="A51" s="1"/>
      <c r="B51" s="2"/>
      <c r="C51" s="19"/>
      <c r="F51" s="20"/>
      <c r="G51" s="20"/>
      <c r="H51" s="20"/>
      <c r="I51" s="20"/>
      <c r="J51" s="20"/>
      <c r="K51" s="20"/>
      <c r="L51" s="20"/>
      <c r="M51" s="20"/>
      <c r="N51" s="18"/>
    </row>
    <row r="52" spans="1:14" x14ac:dyDescent="0.25">
      <c r="A52" s="1"/>
      <c r="B52" s="1"/>
      <c r="C52" s="20"/>
      <c r="N52" s="7"/>
    </row>
  </sheetData>
  <mergeCells count="73">
    <mergeCell ref="H17:I17"/>
    <mergeCell ref="F27:F29"/>
    <mergeCell ref="J24:K24"/>
    <mergeCell ref="I9:M9"/>
    <mergeCell ref="L48:L49"/>
    <mergeCell ref="J34:K34"/>
    <mergeCell ref="M48:M49"/>
    <mergeCell ref="G46:J46"/>
    <mergeCell ref="K46:M46"/>
    <mergeCell ref="F34:G34"/>
    <mergeCell ref="F35:G35"/>
    <mergeCell ref="K48:K49"/>
    <mergeCell ref="G48:H49"/>
    <mergeCell ref="C46:F46"/>
    <mergeCell ref="C19:C38"/>
    <mergeCell ref="D19:G19"/>
    <mergeCell ref="D2:D3"/>
    <mergeCell ref="H2:L3"/>
    <mergeCell ref="D30:E33"/>
    <mergeCell ref="F24:G24"/>
    <mergeCell ref="F25:G25"/>
    <mergeCell ref="I8:J8"/>
    <mergeCell ref="K8:M8"/>
    <mergeCell ref="G8:H8"/>
    <mergeCell ref="C8:F8"/>
    <mergeCell ref="G7:H7"/>
    <mergeCell ref="I7:J7"/>
    <mergeCell ref="K7:M7"/>
    <mergeCell ref="C7:F7"/>
    <mergeCell ref="G10:M11"/>
    <mergeCell ref="C10:F11"/>
    <mergeCell ref="F31:F33"/>
    <mergeCell ref="F30:G30"/>
    <mergeCell ref="J22:K22"/>
    <mergeCell ref="D34:E34"/>
    <mergeCell ref="D35:E38"/>
    <mergeCell ref="F36:F38"/>
    <mergeCell ref="J38:K38"/>
    <mergeCell ref="J23:K23"/>
    <mergeCell ref="J25:K25"/>
    <mergeCell ref="J26:K26"/>
    <mergeCell ref="C2:C3"/>
    <mergeCell ref="I47:J47"/>
    <mergeCell ref="G47:H47"/>
    <mergeCell ref="D20:E22"/>
    <mergeCell ref="F20:G20"/>
    <mergeCell ref="F21:G21"/>
    <mergeCell ref="F22:G22"/>
    <mergeCell ref="F23:G23"/>
    <mergeCell ref="J29:K29"/>
    <mergeCell ref="J30:K30"/>
    <mergeCell ref="J33:K33"/>
    <mergeCell ref="F26:G26"/>
    <mergeCell ref="J35:K35"/>
    <mergeCell ref="J21:K21"/>
    <mergeCell ref="C40:C45"/>
    <mergeCell ref="C13:C17"/>
    <mergeCell ref="D48:F49"/>
    <mergeCell ref="I48:J49"/>
    <mergeCell ref="C4:E4"/>
    <mergeCell ref="F4:L4"/>
    <mergeCell ref="H14:I14"/>
    <mergeCell ref="H15:I15"/>
    <mergeCell ref="H16:I16"/>
    <mergeCell ref="H13:I13"/>
    <mergeCell ref="D13:E13"/>
    <mergeCell ref="F13:G13"/>
    <mergeCell ref="C9:D9"/>
    <mergeCell ref="E9:H9"/>
    <mergeCell ref="C5:E5"/>
    <mergeCell ref="F5:L5"/>
    <mergeCell ref="D23:E24"/>
    <mergeCell ref="D25:E29"/>
  </mergeCells>
  <hyperlinks>
    <hyperlink ref="C10" r:id="rId1" xr:uid="{3A43A8EC-420A-4975-9E96-763ED690CB4B}"/>
  </hyperlinks>
  <pageMargins left="0.23622047244094491" right="0.23622047244094491" top="0.74803149606299213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1"/>
  <sheetViews>
    <sheetView tabSelected="1" topLeftCell="A3" workbookViewId="0">
      <selection activeCell="A3" sqref="A1:XFD1048576"/>
    </sheetView>
  </sheetViews>
  <sheetFormatPr baseColWidth="10" defaultRowHeight="15.75" x14ac:dyDescent="0.25"/>
  <cols>
    <col min="1" max="1" width="5.140625" style="217" customWidth="1"/>
    <col min="2" max="2" width="9" customWidth="1"/>
    <col min="3" max="3" width="9.7109375" customWidth="1"/>
    <col min="4" max="4" width="23.85546875" customWidth="1"/>
    <col min="5" max="5" width="6.7109375" customWidth="1"/>
    <col min="6" max="6" width="4.140625" customWidth="1"/>
    <col min="7" max="7" width="5.28515625" hidden="1" customWidth="1"/>
    <col min="8" max="8" width="8.42578125" style="230" customWidth="1"/>
    <col min="9" max="9" width="8.5703125" style="221" customWidth="1"/>
    <col min="10" max="10" width="21.85546875" style="221" customWidth="1"/>
    <col min="11" max="11" width="8.42578125" customWidth="1"/>
  </cols>
  <sheetData>
    <row r="1" spans="1:11" ht="15" x14ac:dyDescent="0.25">
      <c r="A1" s="217">
        <v>1</v>
      </c>
      <c r="B1" s="218"/>
      <c r="C1" s="219"/>
      <c r="D1" s="219"/>
      <c r="E1" s="219"/>
      <c r="F1" s="220"/>
      <c r="G1" s="219"/>
      <c r="H1" s="219"/>
    </row>
    <row r="2" spans="1:11" x14ac:dyDescent="0.25">
      <c r="A2" s="217">
        <v>2</v>
      </c>
    </row>
    <row r="3" spans="1:11" x14ac:dyDescent="0.25">
      <c r="A3" s="217">
        <v>3</v>
      </c>
      <c r="B3" s="222" t="s">
        <v>83</v>
      </c>
      <c r="D3" s="222" t="s">
        <v>84</v>
      </c>
    </row>
    <row r="4" spans="1:11" x14ac:dyDescent="0.25">
      <c r="A4" s="217">
        <v>4</v>
      </c>
      <c r="B4" s="218" t="s">
        <v>65</v>
      </c>
      <c r="C4" s="219"/>
      <c r="D4" s="219"/>
      <c r="E4" s="219"/>
    </row>
    <row r="5" spans="1:11" x14ac:dyDescent="0.25">
      <c r="A5" s="217">
        <v>5</v>
      </c>
      <c r="B5" s="223" t="s">
        <v>30</v>
      </c>
      <c r="C5" s="223" t="s">
        <v>66</v>
      </c>
      <c r="D5" s="223" t="s">
        <v>67</v>
      </c>
      <c r="E5" s="223" t="s">
        <v>68</v>
      </c>
      <c r="F5" s="223" t="s">
        <v>69</v>
      </c>
      <c r="G5" s="223" t="s">
        <v>70</v>
      </c>
      <c r="H5" s="231" t="s">
        <v>71</v>
      </c>
      <c r="I5" s="224" t="s">
        <v>72</v>
      </c>
      <c r="J5" s="224" t="s">
        <v>73</v>
      </c>
      <c r="K5" s="223" t="s">
        <v>74</v>
      </c>
    </row>
    <row r="6" spans="1:11" s="226" customFormat="1" x14ac:dyDescent="0.25">
      <c r="A6" s="225">
        <v>6</v>
      </c>
      <c r="B6" s="236">
        <v>44643</v>
      </c>
      <c r="C6" s="237">
        <f t="shared" ref="C6:C24" si="0">SUM(B6)</f>
        <v>44643</v>
      </c>
      <c r="D6" s="235" t="s">
        <v>77</v>
      </c>
      <c r="E6" s="233" t="s">
        <v>116</v>
      </c>
      <c r="F6" s="233" t="s">
        <v>80</v>
      </c>
      <c r="G6" s="238"/>
      <c r="H6" s="239">
        <v>406.33</v>
      </c>
      <c r="I6" s="240" t="s">
        <v>78</v>
      </c>
      <c r="J6" s="232" t="s">
        <v>76</v>
      </c>
      <c r="K6" s="233" t="s">
        <v>79</v>
      </c>
    </row>
    <row r="7" spans="1:11" s="226" customFormat="1" x14ac:dyDescent="0.25">
      <c r="A7" s="225">
        <v>7</v>
      </c>
      <c r="B7" s="236">
        <v>44637</v>
      </c>
      <c r="C7" s="237">
        <f t="shared" si="0"/>
        <v>44637</v>
      </c>
      <c r="D7" s="235" t="s">
        <v>82</v>
      </c>
      <c r="E7" s="233" t="s">
        <v>116</v>
      </c>
      <c r="F7" s="233" t="s">
        <v>80</v>
      </c>
      <c r="G7" s="233"/>
      <c r="H7" s="241">
        <v>819</v>
      </c>
      <c r="I7" s="240" t="s">
        <v>78</v>
      </c>
      <c r="J7" s="232" t="s">
        <v>81</v>
      </c>
      <c r="K7" s="233" t="s">
        <v>79</v>
      </c>
    </row>
    <row r="8" spans="1:11" s="226" customFormat="1" x14ac:dyDescent="0.25">
      <c r="A8" s="225">
        <v>8</v>
      </c>
      <c r="B8" s="236">
        <v>44673</v>
      </c>
      <c r="C8" s="237">
        <f t="shared" si="0"/>
        <v>44673</v>
      </c>
      <c r="D8" s="235" t="s">
        <v>87</v>
      </c>
      <c r="E8" s="233" t="s">
        <v>116</v>
      </c>
      <c r="F8" s="233" t="s">
        <v>80</v>
      </c>
      <c r="G8" s="238"/>
      <c r="H8" s="242" t="s">
        <v>88</v>
      </c>
      <c r="I8" s="240" t="s">
        <v>78</v>
      </c>
      <c r="J8" s="232" t="s">
        <v>76</v>
      </c>
      <c r="K8" s="233" t="s">
        <v>79</v>
      </c>
    </row>
    <row r="9" spans="1:11" s="226" customFormat="1" x14ac:dyDescent="0.25">
      <c r="A9" s="225">
        <v>9</v>
      </c>
      <c r="B9" s="236">
        <v>44670</v>
      </c>
      <c r="C9" s="237">
        <f t="shared" si="0"/>
        <v>44670</v>
      </c>
      <c r="D9" s="235" t="s">
        <v>89</v>
      </c>
      <c r="E9" s="233" t="s">
        <v>116</v>
      </c>
      <c r="F9" s="233" t="s">
        <v>80</v>
      </c>
      <c r="G9" s="233"/>
      <c r="H9" s="241">
        <v>849</v>
      </c>
      <c r="I9" s="240" t="s">
        <v>78</v>
      </c>
      <c r="J9" s="232" t="s">
        <v>81</v>
      </c>
      <c r="K9" s="233" t="s">
        <v>79</v>
      </c>
    </row>
    <row r="10" spans="1:11" s="226" customFormat="1" x14ac:dyDescent="0.25">
      <c r="A10" s="225">
        <v>10</v>
      </c>
      <c r="B10" s="236">
        <v>44704</v>
      </c>
      <c r="C10" s="237">
        <f t="shared" si="0"/>
        <v>44704</v>
      </c>
      <c r="D10" s="235" t="s">
        <v>90</v>
      </c>
      <c r="E10" s="233" t="s">
        <v>116</v>
      </c>
      <c r="F10" s="233" t="s">
        <v>80</v>
      </c>
      <c r="G10" s="238"/>
      <c r="H10" s="241">
        <v>511.19</v>
      </c>
      <c r="I10" s="240" t="s">
        <v>78</v>
      </c>
      <c r="J10" s="232" t="s">
        <v>76</v>
      </c>
      <c r="K10" s="233" t="s">
        <v>79</v>
      </c>
    </row>
    <row r="11" spans="1:11" s="226" customFormat="1" x14ac:dyDescent="0.25">
      <c r="A11" s="225">
        <v>11</v>
      </c>
      <c r="B11" s="236">
        <v>44697</v>
      </c>
      <c r="C11" s="237">
        <f t="shared" si="0"/>
        <v>44697</v>
      </c>
      <c r="D11" s="235" t="s">
        <v>91</v>
      </c>
      <c r="E11" s="233" t="s">
        <v>116</v>
      </c>
      <c r="F11" s="233" t="s">
        <v>80</v>
      </c>
      <c r="G11" s="233"/>
      <c r="H11" s="241">
        <v>849</v>
      </c>
      <c r="I11" s="240" t="s">
        <v>78</v>
      </c>
      <c r="J11" s="232" t="s">
        <v>81</v>
      </c>
      <c r="K11" s="233" t="s">
        <v>79</v>
      </c>
    </row>
    <row r="12" spans="1:11" s="226" customFormat="1" x14ac:dyDescent="0.25">
      <c r="A12" s="225">
        <v>12</v>
      </c>
      <c r="B12" s="236">
        <v>44736</v>
      </c>
      <c r="C12" s="237">
        <f t="shared" si="0"/>
        <v>44736</v>
      </c>
      <c r="D12" s="235" t="s">
        <v>92</v>
      </c>
      <c r="E12" s="233" t="s">
        <v>116</v>
      </c>
      <c r="F12" s="233" t="s">
        <v>80</v>
      </c>
      <c r="G12" s="238"/>
      <c r="H12" s="241">
        <v>585.08000000000004</v>
      </c>
      <c r="I12" s="240" t="s">
        <v>78</v>
      </c>
      <c r="J12" s="232" t="s">
        <v>76</v>
      </c>
      <c r="K12" s="233" t="s">
        <v>79</v>
      </c>
    </row>
    <row r="13" spans="1:11" s="226" customFormat="1" x14ac:dyDescent="0.25">
      <c r="A13" s="225">
        <v>13</v>
      </c>
      <c r="B13" s="236">
        <v>44728</v>
      </c>
      <c r="C13" s="237">
        <f t="shared" si="0"/>
        <v>44728</v>
      </c>
      <c r="D13" s="235" t="s">
        <v>93</v>
      </c>
      <c r="E13" s="233" t="s">
        <v>116</v>
      </c>
      <c r="F13" s="233" t="s">
        <v>80</v>
      </c>
      <c r="G13" s="233"/>
      <c r="H13" s="241">
        <v>849</v>
      </c>
      <c r="I13" s="240" t="s">
        <v>78</v>
      </c>
      <c r="J13" s="232" t="s">
        <v>81</v>
      </c>
      <c r="K13" s="233" t="s">
        <v>79</v>
      </c>
    </row>
    <row r="14" spans="1:11" s="226" customFormat="1" x14ac:dyDescent="0.25">
      <c r="A14" s="225">
        <v>14</v>
      </c>
      <c r="B14" s="236">
        <v>44764</v>
      </c>
      <c r="C14" s="237">
        <f t="shared" si="0"/>
        <v>44764</v>
      </c>
      <c r="D14" s="235" t="s">
        <v>94</v>
      </c>
      <c r="E14" s="233" t="s">
        <v>116</v>
      </c>
      <c r="F14" s="233" t="s">
        <v>80</v>
      </c>
      <c r="G14" s="238"/>
      <c r="H14" s="241">
        <v>464.92</v>
      </c>
      <c r="I14" s="240" t="s">
        <v>78</v>
      </c>
      <c r="J14" s="232" t="s">
        <v>76</v>
      </c>
      <c r="K14" s="233" t="s">
        <v>79</v>
      </c>
    </row>
    <row r="15" spans="1:11" s="226" customFormat="1" x14ac:dyDescent="0.25">
      <c r="A15" s="225">
        <v>15</v>
      </c>
      <c r="B15" s="236">
        <v>44760</v>
      </c>
      <c r="C15" s="237">
        <f t="shared" si="0"/>
        <v>44760</v>
      </c>
      <c r="D15" s="235" t="s">
        <v>95</v>
      </c>
      <c r="E15" s="233" t="s">
        <v>116</v>
      </c>
      <c r="F15" s="233" t="s">
        <v>80</v>
      </c>
      <c r="G15" s="233"/>
      <c r="H15" s="241">
        <v>849</v>
      </c>
      <c r="I15" s="240" t="s">
        <v>78</v>
      </c>
      <c r="J15" s="232" t="s">
        <v>81</v>
      </c>
      <c r="K15" s="233" t="s">
        <v>79</v>
      </c>
    </row>
    <row r="16" spans="1:11" s="226" customFormat="1" x14ac:dyDescent="0.25">
      <c r="A16" s="225">
        <v>16</v>
      </c>
      <c r="B16" s="236">
        <v>44796</v>
      </c>
      <c r="C16" s="237">
        <f t="shared" si="0"/>
        <v>44796</v>
      </c>
      <c r="D16" s="235" t="s">
        <v>96</v>
      </c>
      <c r="E16" s="233" t="s">
        <v>116</v>
      </c>
      <c r="F16" s="233" t="s">
        <v>80</v>
      </c>
      <c r="G16" s="238"/>
      <c r="H16" s="241">
        <v>509.64</v>
      </c>
      <c r="I16" s="240" t="s">
        <v>78</v>
      </c>
      <c r="J16" s="232" t="s">
        <v>76</v>
      </c>
      <c r="K16" s="233" t="s">
        <v>79</v>
      </c>
    </row>
    <row r="17" spans="1:11" s="226" customFormat="1" x14ac:dyDescent="0.25">
      <c r="A17" s="225">
        <v>17</v>
      </c>
      <c r="B17" s="236">
        <v>44788</v>
      </c>
      <c r="C17" s="237">
        <f t="shared" si="0"/>
        <v>44788</v>
      </c>
      <c r="D17" s="235" t="s">
        <v>97</v>
      </c>
      <c r="E17" s="233" t="s">
        <v>116</v>
      </c>
      <c r="F17" s="233" t="s">
        <v>80</v>
      </c>
      <c r="G17" s="233"/>
      <c r="H17" s="241">
        <v>849</v>
      </c>
      <c r="I17" s="240" t="s">
        <v>78</v>
      </c>
      <c r="J17" s="232" t="s">
        <v>81</v>
      </c>
      <c r="K17" s="233" t="s">
        <v>79</v>
      </c>
    </row>
    <row r="18" spans="1:11" s="226" customFormat="1" x14ac:dyDescent="0.25">
      <c r="A18" s="225">
        <v>18</v>
      </c>
      <c r="B18" s="236">
        <v>44827</v>
      </c>
      <c r="C18" s="237">
        <f t="shared" si="0"/>
        <v>44827</v>
      </c>
      <c r="D18" s="235" t="s">
        <v>98</v>
      </c>
      <c r="E18" s="233" t="s">
        <v>116</v>
      </c>
      <c r="F18" s="233" t="s">
        <v>80</v>
      </c>
      <c r="G18" s="238"/>
      <c r="H18" s="241">
        <v>511.91</v>
      </c>
      <c r="I18" s="240" t="s">
        <v>78</v>
      </c>
      <c r="J18" s="232" t="s">
        <v>76</v>
      </c>
      <c r="K18" s="233" t="s">
        <v>79</v>
      </c>
    </row>
    <row r="19" spans="1:11" s="226" customFormat="1" x14ac:dyDescent="0.25">
      <c r="A19" s="225">
        <v>19</v>
      </c>
      <c r="B19" s="236">
        <v>44824</v>
      </c>
      <c r="C19" s="237">
        <f t="shared" si="0"/>
        <v>44824</v>
      </c>
      <c r="D19" s="235" t="s">
        <v>99</v>
      </c>
      <c r="E19" s="233" t="s">
        <v>116</v>
      </c>
      <c r="F19" s="233" t="s">
        <v>80</v>
      </c>
      <c r="G19" s="233"/>
      <c r="H19" s="241">
        <v>849</v>
      </c>
      <c r="I19" s="240" t="s">
        <v>78</v>
      </c>
      <c r="J19" s="232" t="s">
        <v>81</v>
      </c>
      <c r="K19" s="233" t="s">
        <v>79</v>
      </c>
    </row>
    <row r="20" spans="1:11" s="226" customFormat="1" x14ac:dyDescent="0.25">
      <c r="A20" s="225">
        <v>20</v>
      </c>
      <c r="B20" s="236">
        <v>44851</v>
      </c>
      <c r="C20" s="237">
        <f t="shared" si="0"/>
        <v>44851</v>
      </c>
      <c r="D20" s="235" t="s">
        <v>100</v>
      </c>
      <c r="E20" s="233" t="s">
        <v>116</v>
      </c>
      <c r="F20" s="233" t="s">
        <v>80</v>
      </c>
      <c r="G20" s="238"/>
      <c r="H20" s="241">
        <v>521.15</v>
      </c>
      <c r="I20" s="240" t="s">
        <v>78</v>
      </c>
      <c r="J20" s="232" t="s">
        <v>76</v>
      </c>
      <c r="K20" s="233" t="s">
        <v>79</v>
      </c>
    </row>
    <row r="21" spans="1:11" s="226" customFormat="1" x14ac:dyDescent="0.25">
      <c r="A21" s="225">
        <v>21</v>
      </c>
      <c r="B21" s="236">
        <v>44847</v>
      </c>
      <c r="C21" s="237">
        <f t="shared" si="0"/>
        <v>44847</v>
      </c>
      <c r="D21" s="235" t="s">
        <v>101</v>
      </c>
      <c r="E21" s="233" t="s">
        <v>116</v>
      </c>
      <c r="F21" s="233" t="s">
        <v>80</v>
      </c>
      <c r="G21" s="233"/>
      <c r="H21" s="241">
        <v>849</v>
      </c>
      <c r="I21" s="240" t="s">
        <v>78</v>
      </c>
      <c r="J21" s="232" t="s">
        <v>81</v>
      </c>
      <c r="K21" s="233" t="s">
        <v>79</v>
      </c>
    </row>
    <row r="22" spans="1:11" s="226" customFormat="1" x14ac:dyDescent="0.25">
      <c r="A22" s="225">
        <v>22</v>
      </c>
      <c r="B22" s="237">
        <v>44767</v>
      </c>
      <c r="C22" s="237">
        <f t="shared" si="0"/>
        <v>44767</v>
      </c>
      <c r="D22" s="234" t="s">
        <v>102</v>
      </c>
      <c r="E22" s="233"/>
      <c r="F22" s="233" t="s">
        <v>80</v>
      </c>
      <c r="G22" s="238"/>
      <c r="H22" s="241">
        <v>1959</v>
      </c>
      <c r="I22" s="240" t="s">
        <v>78</v>
      </c>
      <c r="J22" s="232" t="s">
        <v>103</v>
      </c>
      <c r="K22" s="233" t="s">
        <v>79</v>
      </c>
    </row>
    <row r="23" spans="1:11" s="226" customFormat="1" x14ac:dyDescent="0.25">
      <c r="A23" s="225">
        <v>23</v>
      </c>
      <c r="B23" s="237">
        <v>44720</v>
      </c>
      <c r="C23" s="237">
        <f t="shared" si="0"/>
        <v>44720</v>
      </c>
      <c r="D23" s="234">
        <v>2205824522</v>
      </c>
      <c r="E23" s="233" t="s">
        <v>104</v>
      </c>
      <c r="F23" s="233" t="s">
        <v>80</v>
      </c>
      <c r="G23" s="233"/>
      <c r="H23" s="241">
        <v>269.10000000000002</v>
      </c>
      <c r="I23" s="240" t="s">
        <v>78</v>
      </c>
      <c r="J23" s="232" t="s">
        <v>106</v>
      </c>
      <c r="K23" s="233" t="s">
        <v>79</v>
      </c>
    </row>
    <row r="24" spans="1:11" s="226" customFormat="1" x14ac:dyDescent="0.25">
      <c r="A24" s="225">
        <v>24</v>
      </c>
      <c r="B24" s="237">
        <v>44706</v>
      </c>
      <c r="C24" s="237">
        <f t="shared" si="0"/>
        <v>44706</v>
      </c>
      <c r="D24" s="234">
        <v>2244558076</v>
      </c>
      <c r="E24" s="233" t="s">
        <v>104</v>
      </c>
      <c r="F24" s="233" t="s">
        <v>80</v>
      </c>
      <c r="G24" s="238"/>
      <c r="H24" s="241">
        <v>399</v>
      </c>
      <c r="I24" s="240" t="s">
        <v>78</v>
      </c>
      <c r="J24" s="232" t="s">
        <v>105</v>
      </c>
      <c r="K24" s="233" t="s">
        <v>79</v>
      </c>
    </row>
    <row r="25" spans="1:11" s="226" customFormat="1" x14ac:dyDescent="0.25">
      <c r="A25" s="225">
        <v>25</v>
      </c>
      <c r="B25" s="237">
        <v>44708</v>
      </c>
      <c r="C25" s="237">
        <f>SUM(B25)</f>
        <v>44708</v>
      </c>
      <c r="D25" s="234"/>
      <c r="E25" s="233" t="s">
        <v>107</v>
      </c>
      <c r="F25" s="233" t="s">
        <v>80</v>
      </c>
      <c r="G25" s="233"/>
      <c r="H25" s="241">
        <v>395</v>
      </c>
      <c r="I25" s="240" t="s">
        <v>78</v>
      </c>
      <c r="J25" s="232" t="s">
        <v>108</v>
      </c>
      <c r="K25" s="233" t="s">
        <v>79</v>
      </c>
    </row>
    <row r="26" spans="1:11" s="226" customFormat="1" x14ac:dyDescent="0.25">
      <c r="A26" s="225">
        <v>26</v>
      </c>
      <c r="B26" s="237">
        <v>44670</v>
      </c>
      <c r="C26" s="237">
        <f>SUM(B26)</f>
        <v>44670</v>
      </c>
      <c r="D26" s="234"/>
      <c r="E26" s="233" t="s">
        <v>107</v>
      </c>
      <c r="F26" s="233" t="s">
        <v>80</v>
      </c>
      <c r="G26" s="238"/>
      <c r="H26" s="241">
        <v>248</v>
      </c>
      <c r="I26" s="240" t="s">
        <v>78</v>
      </c>
      <c r="J26" s="232" t="s">
        <v>108</v>
      </c>
      <c r="K26" s="233" t="s">
        <v>79</v>
      </c>
    </row>
    <row r="27" spans="1:11" s="226" customFormat="1" x14ac:dyDescent="0.25">
      <c r="A27" s="225">
        <v>27</v>
      </c>
      <c r="B27" s="237">
        <v>44679</v>
      </c>
      <c r="C27" s="237">
        <f>SUM(B27)</f>
        <v>44679</v>
      </c>
      <c r="D27" s="234" t="s">
        <v>109</v>
      </c>
      <c r="E27" s="233" t="s">
        <v>110</v>
      </c>
      <c r="F27" s="233" t="s">
        <v>80</v>
      </c>
      <c r="G27" s="233"/>
      <c r="H27" s="241">
        <v>2190</v>
      </c>
      <c r="I27" s="240" t="s">
        <v>78</v>
      </c>
      <c r="J27" s="232" t="s">
        <v>111</v>
      </c>
      <c r="K27" s="233" t="s">
        <v>79</v>
      </c>
    </row>
    <row r="28" spans="1:11" s="226" customFormat="1" x14ac:dyDescent="0.25">
      <c r="A28" s="225">
        <v>28</v>
      </c>
      <c r="B28" s="237">
        <v>44657</v>
      </c>
      <c r="C28" s="237">
        <f>SUM(B28)</f>
        <v>44657</v>
      </c>
      <c r="D28" s="234"/>
      <c r="E28" s="233" t="s">
        <v>112</v>
      </c>
      <c r="F28" s="233" t="s">
        <v>80</v>
      </c>
      <c r="G28" s="238"/>
      <c r="H28" s="241">
        <v>290</v>
      </c>
      <c r="I28" s="240" t="s">
        <v>78</v>
      </c>
      <c r="J28" s="232" t="s">
        <v>108</v>
      </c>
      <c r="K28" s="233" t="s">
        <v>79</v>
      </c>
    </row>
    <row r="29" spans="1:11" s="226" customFormat="1" x14ac:dyDescent="0.25">
      <c r="A29" s="225">
        <v>29</v>
      </c>
      <c r="B29" s="237">
        <v>44741</v>
      </c>
      <c r="C29" s="237">
        <f>SUM(B29)</f>
        <v>44741</v>
      </c>
      <c r="D29" s="234"/>
      <c r="E29" s="233" t="s">
        <v>113</v>
      </c>
      <c r="F29" s="233" t="s">
        <v>80</v>
      </c>
      <c r="G29" s="233"/>
      <c r="H29" s="241">
        <v>199.8</v>
      </c>
      <c r="I29" s="240" t="s">
        <v>78</v>
      </c>
      <c r="J29" s="232" t="s">
        <v>114</v>
      </c>
      <c r="K29" s="233" t="s">
        <v>79</v>
      </c>
    </row>
    <row r="30" spans="1:11" s="226" customFormat="1" x14ac:dyDescent="0.25">
      <c r="A30" s="225">
        <v>30</v>
      </c>
      <c r="B30" s="237">
        <v>44734</v>
      </c>
      <c r="C30" s="237">
        <f>SUM(B30)</f>
        <v>44734</v>
      </c>
      <c r="D30" s="234">
        <v>16865216</v>
      </c>
      <c r="E30" s="233" t="s">
        <v>115</v>
      </c>
      <c r="F30" s="233" t="s">
        <v>80</v>
      </c>
      <c r="G30" s="238"/>
      <c r="H30" s="241">
        <v>315</v>
      </c>
      <c r="I30" s="240" t="s">
        <v>78</v>
      </c>
      <c r="J30" s="232" t="s">
        <v>63</v>
      </c>
      <c r="K30" s="233" t="s">
        <v>79</v>
      </c>
    </row>
    <row r="31" spans="1:11" s="226" customFormat="1" x14ac:dyDescent="0.25">
      <c r="A31" s="225">
        <v>31</v>
      </c>
      <c r="B31" s="237">
        <v>44883</v>
      </c>
      <c r="C31" s="237">
        <f>SUM(B31)</f>
        <v>44883</v>
      </c>
      <c r="D31" s="246">
        <v>5512115776021</v>
      </c>
      <c r="E31" s="233" t="s">
        <v>116</v>
      </c>
      <c r="F31" s="233" t="s">
        <v>80</v>
      </c>
      <c r="G31" s="233"/>
      <c r="H31" s="241">
        <v>533.13</v>
      </c>
      <c r="I31" s="240" t="s">
        <v>78</v>
      </c>
      <c r="J31" s="232" t="s">
        <v>76</v>
      </c>
      <c r="K31" s="233" t="s">
        <v>79</v>
      </c>
    </row>
    <row r="32" spans="1:11" s="226" customFormat="1" x14ac:dyDescent="0.25">
      <c r="A32" s="225">
        <v>32</v>
      </c>
      <c r="B32" s="237">
        <v>44876</v>
      </c>
      <c r="C32" s="237">
        <f>SUM(B32)</f>
        <v>44876</v>
      </c>
      <c r="D32" s="234">
        <v>8148215676</v>
      </c>
      <c r="E32" s="233" t="s">
        <v>116</v>
      </c>
      <c r="F32" s="233" t="s">
        <v>80</v>
      </c>
      <c r="G32" s="238"/>
      <c r="H32" s="241">
        <v>849</v>
      </c>
      <c r="I32" s="240" t="s">
        <v>78</v>
      </c>
      <c r="J32" s="232" t="s">
        <v>81</v>
      </c>
      <c r="K32" s="233" t="s">
        <v>79</v>
      </c>
    </row>
    <row r="33" spans="1:11" s="226" customFormat="1" x14ac:dyDescent="0.25">
      <c r="A33" s="225">
        <v>33</v>
      </c>
      <c r="B33" s="237"/>
      <c r="C33" s="237"/>
      <c r="D33" s="234"/>
      <c r="E33" s="233"/>
      <c r="F33" s="233" t="s">
        <v>80</v>
      </c>
      <c r="G33" s="233"/>
      <c r="H33" s="241"/>
      <c r="I33" s="240" t="s">
        <v>78</v>
      </c>
      <c r="J33" s="232"/>
      <c r="K33" s="233" t="s">
        <v>79</v>
      </c>
    </row>
    <row r="34" spans="1:11" s="226" customFormat="1" x14ac:dyDescent="0.25">
      <c r="A34" s="225">
        <v>34</v>
      </c>
      <c r="B34" s="237"/>
      <c r="C34" s="237"/>
      <c r="D34" s="234"/>
      <c r="E34" s="233"/>
      <c r="F34" s="233" t="s">
        <v>80</v>
      </c>
      <c r="G34" s="238"/>
      <c r="H34" s="241"/>
      <c r="I34" s="240" t="s">
        <v>78</v>
      </c>
      <c r="J34" s="232"/>
      <c r="K34" s="233" t="s">
        <v>79</v>
      </c>
    </row>
    <row r="35" spans="1:11" s="226" customFormat="1" x14ac:dyDescent="0.25">
      <c r="A35" s="225">
        <v>35</v>
      </c>
      <c r="B35" s="237"/>
      <c r="C35" s="237"/>
      <c r="D35" s="234"/>
      <c r="E35" s="233"/>
      <c r="F35" s="233" t="s">
        <v>80</v>
      </c>
      <c r="G35" s="233"/>
      <c r="H35" s="241"/>
      <c r="I35" s="240" t="s">
        <v>78</v>
      </c>
      <c r="J35" s="232"/>
      <c r="K35" s="233" t="s">
        <v>79</v>
      </c>
    </row>
    <row r="36" spans="1:11" s="226" customFormat="1" x14ac:dyDescent="0.25">
      <c r="A36" s="225">
        <v>36</v>
      </c>
      <c r="B36" s="237"/>
      <c r="C36" s="237"/>
      <c r="D36" s="234"/>
      <c r="E36" s="233"/>
      <c r="F36" s="233" t="s">
        <v>80</v>
      </c>
      <c r="G36" s="238"/>
      <c r="H36" s="241"/>
      <c r="I36" s="240" t="s">
        <v>78</v>
      </c>
      <c r="J36" s="232"/>
      <c r="K36" s="233" t="s">
        <v>79</v>
      </c>
    </row>
    <row r="37" spans="1:11" s="226" customFormat="1" x14ac:dyDescent="0.25">
      <c r="A37" s="225">
        <v>37</v>
      </c>
      <c r="B37" s="237"/>
      <c r="C37" s="237"/>
      <c r="D37" s="234"/>
      <c r="E37" s="233"/>
      <c r="F37" s="233" t="s">
        <v>80</v>
      </c>
      <c r="G37" s="238"/>
      <c r="H37" s="241"/>
      <c r="I37" s="240" t="s">
        <v>78</v>
      </c>
      <c r="J37" s="232"/>
      <c r="K37" s="233" t="s">
        <v>79</v>
      </c>
    </row>
    <row r="38" spans="1:11" s="226" customFormat="1" x14ac:dyDescent="0.25">
      <c r="A38" s="225">
        <v>38</v>
      </c>
      <c r="B38" s="237"/>
      <c r="C38" s="237"/>
      <c r="D38" s="234"/>
      <c r="E38" s="233"/>
      <c r="F38" s="233" t="s">
        <v>80</v>
      </c>
      <c r="G38" s="238"/>
      <c r="H38" s="241"/>
      <c r="I38" s="240" t="s">
        <v>78</v>
      </c>
      <c r="J38" s="232"/>
      <c r="K38" s="233" t="s">
        <v>79</v>
      </c>
    </row>
    <row r="39" spans="1:11" s="226" customFormat="1" x14ac:dyDescent="0.25">
      <c r="A39" s="225">
        <v>39</v>
      </c>
      <c r="B39" s="237"/>
      <c r="C39" s="237"/>
      <c r="D39" s="234"/>
      <c r="E39" s="233"/>
      <c r="F39" s="233" t="s">
        <v>80</v>
      </c>
      <c r="G39" s="233"/>
      <c r="H39" s="241"/>
      <c r="I39" s="240" t="s">
        <v>78</v>
      </c>
      <c r="J39" s="232"/>
      <c r="K39" s="233" t="s">
        <v>79</v>
      </c>
    </row>
    <row r="40" spans="1:11" s="226" customFormat="1" x14ac:dyDescent="0.25">
      <c r="A40" s="225">
        <v>40</v>
      </c>
      <c r="B40" s="237"/>
      <c r="C40" s="237"/>
      <c r="D40" s="234"/>
      <c r="E40" s="233"/>
      <c r="F40" s="233" t="s">
        <v>80</v>
      </c>
      <c r="G40" s="238"/>
      <c r="H40" s="241"/>
      <c r="I40" s="240" t="s">
        <v>78</v>
      </c>
      <c r="J40" s="232"/>
      <c r="K40" s="233" t="s">
        <v>79</v>
      </c>
    </row>
    <row r="41" spans="1:11" s="226" customFormat="1" x14ac:dyDescent="0.25">
      <c r="A41" s="225">
        <v>41</v>
      </c>
      <c r="B41" s="237"/>
      <c r="C41" s="237"/>
      <c r="D41" s="234"/>
      <c r="E41" s="233"/>
      <c r="F41" s="233" t="s">
        <v>80</v>
      </c>
      <c r="G41" s="233"/>
      <c r="H41" s="241"/>
      <c r="I41" s="240" t="s">
        <v>78</v>
      </c>
      <c r="J41" s="232"/>
      <c r="K41" s="233" t="s">
        <v>79</v>
      </c>
    </row>
    <row r="42" spans="1:11" s="226" customFormat="1" x14ac:dyDescent="0.25">
      <c r="A42" s="225">
        <v>42</v>
      </c>
      <c r="B42" s="237"/>
      <c r="C42" s="237"/>
      <c r="D42" s="234"/>
      <c r="E42" s="233"/>
      <c r="F42" s="233" t="s">
        <v>80</v>
      </c>
      <c r="G42" s="238"/>
      <c r="H42" s="241"/>
      <c r="I42" s="240" t="s">
        <v>78</v>
      </c>
      <c r="J42" s="232"/>
      <c r="K42" s="233" t="s">
        <v>79</v>
      </c>
    </row>
    <row r="43" spans="1:11" s="226" customFormat="1" x14ac:dyDescent="0.25">
      <c r="A43" s="225">
        <v>43</v>
      </c>
      <c r="B43" s="237"/>
      <c r="C43" s="237"/>
      <c r="D43" s="234"/>
      <c r="E43" s="233"/>
      <c r="F43" s="233" t="s">
        <v>80</v>
      </c>
      <c r="G43" s="233"/>
      <c r="H43" s="241"/>
      <c r="I43" s="240" t="s">
        <v>78</v>
      </c>
      <c r="J43" s="232"/>
      <c r="K43" s="233" t="s">
        <v>79</v>
      </c>
    </row>
    <row r="44" spans="1:11" s="226" customFormat="1" x14ac:dyDescent="0.25">
      <c r="A44" s="225">
        <v>44</v>
      </c>
      <c r="B44" s="237"/>
      <c r="C44" s="237"/>
      <c r="D44" s="234"/>
      <c r="E44" s="233"/>
      <c r="F44" s="233" t="s">
        <v>80</v>
      </c>
      <c r="G44" s="238"/>
      <c r="H44" s="241"/>
      <c r="I44" s="240" t="s">
        <v>78</v>
      </c>
      <c r="J44" s="232"/>
      <c r="K44" s="233" t="s">
        <v>79</v>
      </c>
    </row>
    <row r="45" spans="1:11" s="226" customFormat="1" x14ac:dyDescent="0.25">
      <c r="A45" s="225">
        <v>45</v>
      </c>
      <c r="B45" s="237"/>
      <c r="C45" s="237"/>
      <c r="D45" s="234"/>
      <c r="E45" s="233"/>
      <c r="F45" s="233" t="s">
        <v>80</v>
      </c>
      <c r="G45" s="233"/>
      <c r="H45" s="241"/>
      <c r="I45" s="240" t="s">
        <v>78</v>
      </c>
      <c r="J45" s="232"/>
      <c r="K45" s="233" t="s">
        <v>79</v>
      </c>
    </row>
    <row r="46" spans="1:11" s="226" customFormat="1" x14ac:dyDescent="0.25">
      <c r="A46" s="225">
        <v>46</v>
      </c>
      <c r="B46" s="237"/>
      <c r="C46" s="237"/>
      <c r="D46" s="234"/>
      <c r="E46" s="233"/>
      <c r="F46" s="233" t="s">
        <v>80</v>
      </c>
      <c r="G46" s="238"/>
      <c r="H46" s="241"/>
      <c r="I46" s="240" t="s">
        <v>78</v>
      </c>
      <c r="J46" s="232"/>
      <c r="K46" s="233" t="s">
        <v>79</v>
      </c>
    </row>
    <row r="47" spans="1:11" s="226" customFormat="1" x14ac:dyDescent="0.25">
      <c r="A47" s="225">
        <v>47</v>
      </c>
      <c r="B47" s="237"/>
      <c r="C47" s="237"/>
      <c r="D47" s="234"/>
      <c r="E47" s="233"/>
      <c r="F47" s="233" t="s">
        <v>80</v>
      </c>
      <c r="G47" s="233"/>
      <c r="H47" s="241"/>
      <c r="I47" s="240" t="s">
        <v>78</v>
      </c>
      <c r="J47" s="232"/>
      <c r="K47" s="233" t="s">
        <v>79</v>
      </c>
    </row>
    <row r="48" spans="1:11" s="226" customFormat="1" x14ac:dyDescent="0.25">
      <c r="A48" s="225">
        <v>48</v>
      </c>
      <c r="B48" s="237"/>
      <c r="C48" s="237"/>
      <c r="D48" s="234"/>
      <c r="E48" s="233"/>
      <c r="F48" s="233" t="s">
        <v>80</v>
      </c>
      <c r="G48" s="238"/>
      <c r="H48" s="241"/>
      <c r="I48" s="240" t="s">
        <v>78</v>
      </c>
      <c r="J48" s="232"/>
      <c r="K48" s="233" t="s">
        <v>79</v>
      </c>
    </row>
    <row r="49" spans="1:11" s="226" customFormat="1" x14ac:dyDescent="0.25">
      <c r="A49" s="225">
        <v>49</v>
      </c>
      <c r="B49" s="237"/>
      <c r="C49" s="237"/>
      <c r="D49" s="234"/>
      <c r="E49" s="233"/>
      <c r="F49" s="233" t="s">
        <v>80</v>
      </c>
      <c r="G49" s="233"/>
      <c r="H49" s="241"/>
      <c r="I49" s="240" t="s">
        <v>78</v>
      </c>
      <c r="J49" s="232"/>
      <c r="K49" s="233" t="s">
        <v>79</v>
      </c>
    </row>
    <row r="50" spans="1:11" s="226" customFormat="1" x14ac:dyDescent="0.25">
      <c r="A50" s="225">
        <v>50</v>
      </c>
      <c r="B50" s="237"/>
      <c r="C50" s="237"/>
      <c r="D50" s="234"/>
      <c r="E50" s="233"/>
      <c r="F50" s="233" t="s">
        <v>80</v>
      </c>
      <c r="G50" s="238"/>
      <c r="H50" s="241"/>
      <c r="I50" s="240" t="s">
        <v>78</v>
      </c>
      <c r="J50" s="232"/>
      <c r="K50" s="233" t="s">
        <v>79</v>
      </c>
    </row>
    <row r="51" spans="1:11" s="226" customFormat="1" x14ac:dyDescent="0.25">
      <c r="A51" s="225">
        <v>51</v>
      </c>
      <c r="B51" s="237"/>
      <c r="C51" s="237"/>
      <c r="D51" s="234"/>
      <c r="E51" s="233"/>
      <c r="F51" s="233" t="s">
        <v>80</v>
      </c>
      <c r="G51" s="238"/>
      <c r="H51" s="241"/>
      <c r="I51" s="240" t="s">
        <v>78</v>
      </c>
      <c r="J51" s="232"/>
      <c r="K51" s="233" t="s">
        <v>79</v>
      </c>
    </row>
    <row r="52" spans="1:11" s="226" customFormat="1" x14ac:dyDescent="0.25">
      <c r="A52" s="225">
        <v>52</v>
      </c>
      <c r="B52" s="237"/>
      <c r="C52" s="237"/>
      <c r="D52" s="234"/>
      <c r="E52" s="233"/>
      <c r="F52" s="233" t="s">
        <v>80</v>
      </c>
      <c r="G52" s="233"/>
      <c r="H52" s="241"/>
      <c r="I52" s="240" t="s">
        <v>78</v>
      </c>
      <c r="J52" s="232"/>
      <c r="K52" s="233" t="s">
        <v>79</v>
      </c>
    </row>
    <row r="53" spans="1:11" s="226" customFormat="1" x14ac:dyDescent="0.25">
      <c r="A53" s="225">
        <v>53</v>
      </c>
      <c r="B53" s="237"/>
      <c r="C53" s="237"/>
      <c r="D53" s="234"/>
      <c r="E53" s="233"/>
      <c r="F53" s="233" t="s">
        <v>80</v>
      </c>
      <c r="G53" s="238"/>
      <c r="H53" s="241"/>
      <c r="I53" s="240" t="s">
        <v>78</v>
      </c>
      <c r="J53" s="232"/>
      <c r="K53" s="233" t="s">
        <v>79</v>
      </c>
    </row>
    <row r="54" spans="1:11" s="226" customFormat="1" x14ac:dyDescent="0.25">
      <c r="A54" s="225">
        <v>54</v>
      </c>
      <c r="B54" s="237"/>
      <c r="C54" s="237"/>
      <c r="D54" s="234"/>
      <c r="E54" s="233"/>
      <c r="F54" s="233" t="s">
        <v>80</v>
      </c>
      <c r="G54" s="233"/>
      <c r="H54" s="241"/>
      <c r="I54" s="240" t="s">
        <v>78</v>
      </c>
      <c r="J54" s="232"/>
      <c r="K54" s="233" t="s">
        <v>79</v>
      </c>
    </row>
    <row r="55" spans="1:11" s="226" customFormat="1" x14ac:dyDescent="0.25">
      <c r="A55" s="225">
        <v>55</v>
      </c>
      <c r="B55" s="237"/>
      <c r="C55" s="237"/>
      <c r="D55" s="234"/>
      <c r="E55" s="233"/>
      <c r="F55" s="233" t="s">
        <v>80</v>
      </c>
      <c r="G55" s="238"/>
      <c r="H55" s="241"/>
      <c r="I55" s="240" t="s">
        <v>78</v>
      </c>
      <c r="J55" s="232"/>
      <c r="K55" s="233" t="s">
        <v>79</v>
      </c>
    </row>
    <row r="56" spans="1:11" s="226" customFormat="1" x14ac:dyDescent="0.25">
      <c r="A56" s="225">
        <v>56</v>
      </c>
      <c r="B56" s="237"/>
      <c r="C56" s="237"/>
      <c r="D56" s="234"/>
      <c r="E56" s="233"/>
      <c r="F56" s="233" t="s">
        <v>80</v>
      </c>
      <c r="G56" s="233"/>
      <c r="H56" s="241"/>
      <c r="I56" s="240" t="s">
        <v>78</v>
      </c>
      <c r="J56" s="232"/>
      <c r="K56" s="233" t="s">
        <v>79</v>
      </c>
    </row>
    <row r="57" spans="1:11" s="233" customFormat="1" ht="11.25" x14ac:dyDescent="0.2">
      <c r="A57" s="243">
        <v>57</v>
      </c>
      <c r="B57" s="244" t="s">
        <v>75</v>
      </c>
      <c r="C57" s="234"/>
      <c r="F57" s="233" t="s">
        <v>80</v>
      </c>
      <c r="H57" s="245">
        <f>SUM(H6:H56)</f>
        <v>17919.25</v>
      </c>
      <c r="I57" s="240" t="s">
        <v>78</v>
      </c>
      <c r="J57" s="232"/>
      <c r="K57" s="233" t="s">
        <v>79</v>
      </c>
    </row>
    <row r="58" spans="1:11" s="226" customFormat="1" x14ac:dyDescent="0.25">
      <c r="A58" s="225">
        <v>58</v>
      </c>
      <c r="H58" s="230"/>
      <c r="I58" s="227"/>
      <c r="J58" s="227"/>
    </row>
    <row r="59" spans="1:11" s="226" customFormat="1" x14ac:dyDescent="0.25">
      <c r="A59" s="225">
        <v>59</v>
      </c>
      <c r="H59" s="230"/>
      <c r="I59" s="227"/>
      <c r="J59" s="227"/>
    </row>
    <row r="60" spans="1:11" s="226" customFormat="1" x14ac:dyDescent="0.25">
      <c r="A60" s="225">
        <v>60</v>
      </c>
      <c r="H60" s="230"/>
      <c r="I60" s="227"/>
      <c r="J60" s="227"/>
    </row>
    <row r="61" spans="1:11" s="226" customFormat="1" x14ac:dyDescent="0.25">
      <c r="A61" s="225">
        <v>61</v>
      </c>
      <c r="G61" s="228"/>
      <c r="H61" s="230"/>
      <c r="I61" s="227"/>
      <c r="J61" s="227"/>
      <c r="K61" s="229"/>
    </row>
  </sheetData>
  <mergeCells count="3">
    <mergeCell ref="B1:E1"/>
    <mergeCell ref="F1:H1"/>
    <mergeCell ref="B4:E4"/>
  </mergeCells>
  <pageMargins left="0.7" right="0.7" top="0.75" bottom="0.75" header="0.3" footer="0.3"/>
  <pageSetup paperSize="9" scale="7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Sheet1!Utskriftsområde</vt:lpstr>
    </vt:vector>
  </TitlesOfParts>
  <Company>Telenor ASA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3268em</dc:creator>
  <cp:lastModifiedBy>Tore Ausland</cp:lastModifiedBy>
  <cp:lastPrinted>2022-11-08T09:04:15Z</cp:lastPrinted>
  <dcterms:created xsi:type="dcterms:W3CDTF">2015-01-24T21:27:45Z</dcterms:created>
  <dcterms:modified xsi:type="dcterms:W3CDTF">2022-11-08T09:10:00Z</dcterms:modified>
</cp:coreProperties>
</file>