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Reiseregning/"/>
    </mc:Choice>
  </mc:AlternateContent>
  <xr:revisionPtr revIDLastSave="246" documentId="8_{E84B899B-D3E7-4544-87E1-9E8DE7FFBB03}" xr6:coauthVersionLast="47" xr6:coauthVersionMax="47" xr10:uidLastSave="{E42E98DA-9FAE-4780-960D-EF4211C00D20}"/>
  <bookViews>
    <workbookView xWindow="28680" yWindow="1125" windowWidth="29040" windowHeight="15720" xr2:uid="{A5A949E6-CD8E-4877-B655-B4B57977E77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8" i="1" l="1"/>
</calcChain>
</file>

<file path=xl/sharedStrings.xml><?xml version="1.0" encoding="utf-8"?>
<sst xmlns="http://schemas.openxmlformats.org/spreadsheetml/2006/main" count="234" uniqueCount="103">
  <si>
    <t>EUR</t>
  </si>
  <si>
    <t>FORNEBU</t>
  </si>
  <si>
    <t>Forklaring</t>
  </si>
  <si>
    <t>Kvitteringer</t>
  </si>
  <si>
    <t>Beløp</t>
  </si>
  <si>
    <t>Utl. beløp</t>
  </si>
  <si>
    <t xml:space="preserve">Valuta_x000D_
</t>
  </si>
  <si>
    <t>Sted</t>
  </si>
  <si>
    <t>Spesifikasjon</t>
  </si>
  <si>
    <t>Bokført</t>
  </si>
  <si>
    <t>Dato</t>
  </si>
  <si>
    <t>Kjøp/uttak</t>
  </si>
  <si>
    <t>Kortnummer 541306******2050</t>
  </si>
  <si>
    <t>Resultat dette søk</t>
  </si>
  <si>
    <t>FS *REVOICER</t>
  </si>
  <si>
    <t>AMSTERDAM</t>
  </si>
  <si>
    <t>SAS1174560279462</t>
  </si>
  <si>
    <t>SAS1174560279461</t>
  </si>
  <si>
    <t>SAS1172489661001</t>
  </si>
  <si>
    <t>FLUGLEIDAHOTEL HF.</t>
  </si>
  <si>
    <t>REYKJAVIK</t>
  </si>
  <si>
    <t>ISK</t>
  </si>
  <si>
    <t>RESTAURANT RO</t>
  </si>
  <si>
    <t>MOSS</t>
  </si>
  <si>
    <t>REMA MIDTVEIEN</t>
  </si>
  <si>
    <t>KOMPLETT.NO RVXZWXATRI</t>
  </si>
  <si>
    <t>SANDEFJORD</t>
  </si>
  <si>
    <t>BASTØ FOSEN AS</t>
  </si>
  <si>
    <t>HORTEN</t>
  </si>
  <si>
    <t>SUMUP  *AUTO TAXIS C.</t>
  </si>
  <si>
    <t>LISBOA</t>
  </si>
  <si>
    <t>REST APRAZIVEL</t>
  </si>
  <si>
    <t>DEAR LISBON G HOUSE</t>
  </si>
  <si>
    <t>ETRAVELI.FLIGHTSUPERSA</t>
  </si>
  <si>
    <t>ONLINE</t>
  </si>
  <si>
    <t>Voiceover Pro</t>
  </si>
  <si>
    <t>Flybillett</t>
  </si>
  <si>
    <t>Audio Voiceover</t>
  </si>
  <si>
    <t>Hotell 29 Mai til 02 Juni 2023</t>
  </si>
  <si>
    <t>Møte mat</t>
  </si>
  <si>
    <t>Data HUB</t>
  </si>
  <si>
    <t>MAT</t>
  </si>
  <si>
    <t>Hotel</t>
  </si>
  <si>
    <t>Ferje</t>
  </si>
  <si>
    <t>Reisekostnader for Tore Ausland</t>
  </si>
  <si>
    <t>FLY Lisabon</t>
  </si>
  <si>
    <t>Flybillett Island</t>
  </si>
  <si>
    <t>Nedenfor rester fra 2022</t>
  </si>
  <si>
    <t>SHUTTERSTOCK IRELAND L</t>
  </si>
  <si>
    <t>JA</t>
  </si>
  <si>
    <t>Tilgang til Bilder</t>
  </si>
  <si>
    <t>Superbruker I E</t>
  </si>
  <si>
    <t>Nok</t>
  </si>
  <si>
    <t>Excel kurs</t>
  </si>
  <si>
    <t>NOVA SPEKTRUM AS</t>
  </si>
  <si>
    <t>NOK</t>
  </si>
  <si>
    <t>Messe i Lillestrøm med Pål T</t>
  </si>
  <si>
    <t>DUBLIN 2</t>
  </si>
  <si>
    <t>Upper Crust</t>
  </si>
  <si>
    <t>Oslo</t>
  </si>
  <si>
    <t>ja</t>
  </si>
  <si>
    <t>Vika Terrasse Parkering</t>
  </si>
  <si>
    <t>Parkering</t>
  </si>
  <si>
    <t>Oslo Lufthavn</t>
  </si>
  <si>
    <t>Lunch</t>
  </si>
  <si>
    <t>Brussel</t>
  </si>
  <si>
    <t>Euro</t>
  </si>
  <si>
    <t>Snack</t>
  </si>
  <si>
    <t>Del av middag GOT Partnere</t>
  </si>
  <si>
    <t>LE PECHEUR NORD</t>
  </si>
  <si>
    <t>BRUXELLES</t>
  </si>
  <si>
    <t>servering</t>
  </si>
  <si>
    <t>Restaurant RO</t>
  </si>
  <si>
    <t>Innovasjons lunch</t>
  </si>
  <si>
    <t>Power</t>
  </si>
  <si>
    <t>rekvisita</t>
  </si>
  <si>
    <t>rema</t>
  </si>
  <si>
    <t>Konferanse mat</t>
  </si>
  <si>
    <t>Lunch kaker.</t>
  </si>
  <si>
    <t>Jon Ertnes</t>
  </si>
  <si>
    <t>lunch</t>
  </si>
  <si>
    <t>Jula</t>
  </si>
  <si>
    <t>Rekvisita.</t>
  </si>
  <si>
    <t>Internet Bredbånd</t>
  </si>
  <si>
    <t>01.12.2022 - 31.12.2022</t>
  </si>
  <si>
    <t>Telenor</t>
  </si>
  <si>
    <t>01.12.2022 - 31.12.2023</t>
  </si>
  <si>
    <t>Tmobil</t>
  </si>
  <si>
    <t>01.01.2023-31.01.2023</t>
  </si>
  <si>
    <t>TMobil</t>
  </si>
  <si>
    <t>01.02.2023 - 28.02.2023</t>
  </si>
  <si>
    <t>01.03.2023 - 31.03.2023</t>
  </si>
  <si>
    <t>01.04.2023 - 30.04.2023</t>
  </si>
  <si>
    <t>SUM</t>
  </si>
  <si>
    <t xml:space="preserve">Valutakurs: 11.7360 Valutapåslag
 inngår med 2.00% </t>
  </si>
  <si>
    <t xml:space="preserve">1174560279462 AUSLAND/TORE 
MR 2023-03-15 OSLSK08RV   </t>
  </si>
  <si>
    <t xml:space="preserve">1174560279461 AUSLAND/TORE 
MR 2023-03-15 OSLSK08RV   </t>
  </si>
  <si>
    <t xml:space="preserve">1172489661001 AUSLAND/TORE 
MR 2023-05-29 OSLSK08RV   </t>
  </si>
  <si>
    <t xml:space="preserve">Valutakurs: 11.6482 Valutapåslag 
inngår med 2.00% </t>
  </si>
  <si>
    <t xml:space="preserve">Valutakurs: 0.0770 Valutapåslag 
inngår med 2.00% </t>
  </si>
  <si>
    <t xml:space="preserve">Valutakurs: 10.9815 Valutapåslag 
inngår med 2.00% </t>
  </si>
  <si>
    <t xml:space="preserve">Valutakurs: 10.9812 Valutapåslag 
inngår med 2.00% </t>
  </si>
  <si>
    <t xml:space="preserve">Valutakurs: 10.9023 Valutapåslag 
inngår med 2.00%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</si>
</sst>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"/>
    <numFmt numFmtId="165" formatCode="dd\.mm\.yyyy\ hh:mm:ss"/>
    <numFmt numFmtId="166" formatCode="dd/mm/yy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</font>
    <font>
      <sz val="10"/>
      <color indexed="9"/>
      <name val="Arial"/>
    </font>
    <font>
      <b/>
      <sz val="10"/>
      <name val="Arial"/>
      <family val="2"/>
    </font>
    <font>
      <sz val="10"/>
      <name val="Arial"/>
    </font>
    <font>
      <sz val="8"/>
      <color rgb="FF333333"/>
      <name val="Akkurat"/>
    </font>
    <font>
      <sz val="10"/>
      <color rgb="FF21282E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4" fontId="3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4" fontId="0" fillId="0" borderId="0" xfId="0" applyNumberFormat="1"/>
    <xf numFmtId="164" fontId="0" fillId="0" borderId="0" xfId="0" applyNumberForma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1"/>
    <xf numFmtId="164" fontId="6" fillId="0" borderId="0" xfId="1" applyNumberFormat="1" applyAlignment="1">
      <alignment horizontal="left"/>
    </xf>
    <xf numFmtId="4" fontId="6" fillId="0" borderId="0" xfId="1" applyNumberFormat="1"/>
    <xf numFmtId="4" fontId="3" fillId="0" borderId="0" xfId="1" applyNumberFormat="1" applyFont="1" applyAlignment="1">
      <alignment horizontal="right"/>
    </xf>
    <xf numFmtId="0" fontId="6" fillId="0" borderId="0" xfId="1" applyAlignment="1">
      <alignment horizontal="left"/>
    </xf>
    <xf numFmtId="166" fontId="0" fillId="0" borderId="0" xfId="0" applyNumberFormat="1" applyAlignment="1">
      <alignment horizontal="left"/>
    </xf>
    <xf numFmtId="0" fontId="7" fillId="0" borderId="0" xfId="0" applyFont="1"/>
    <xf numFmtId="14" fontId="0" fillId="0" borderId="0" xfId="0" applyNumberFormat="1" applyAlignment="1">
      <alignment horizontal="left"/>
    </xf>
    <xf numFmtId="0" fontId="3" fillId="0" borderId="0" xfId="0" applyFont="1"/>
    <xf numFmtId="0" fontId="0" fillId="0" borderId="0" xfId="0"/>
    <xf numFmtId="165" fontId="3" fillId="0" borderId="0" xfId="0" applyNumberFormat="1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3" fillId="0" borderId="0" xfId="1" applyFont="1" applyAlignment="1">
      <alignment horizontal="left"/>
    </xf>
    <xf numFmtId="16" fontId="0" fillId="0" borderId="0" xfId="0" applyNumberFormat="1" applyAlignment="1">
      <alignment horizontal="left"/>
    </xf>
    <xf numFmtId="14" fontId="8" fillId="0" borderId="0" xfId="0" applyNumberFormat="1" applyFont="1" applyAlignment="1">
      <alignment horizontal="left" vertical="center" wrapText="1"/>
    </xf>
    <xf numFmtId="0" fontId="6" fillId="0" borderId="0" xfId="1" applyAlignment="1">
      <alignment horizontal="left" wrapText="1"/>
    </xf>
  </cellXfs>
  <cellStyles count="2">
    <cellStyle name="Normal" xfId="0" builtinId="0"/>
    <cellStyle name="Normal 2" xfId="1" xr:uid="{DA977E45-4A0F-42DE-9581-0076F58A9F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ED5F-7E2A-4307-8F28-36A15C39A564}">
  <sheetPr>
    <pageSetUpPr fitToPage="1"/>
  </sheetPr>
  <dimension ref="A1:J70"/>
  <sheetViews>
    <sheetView tabSelected="1" topLeftCell="A25" workbookViewId="0">
      <selection activeCell="K47" sqref="K47"/>
    </sheetView>
  </sheetViews>
  <sheetFormatPr baseColWidth="10" defaultRowHeight="15"/>
  <cols>
    <col min="1" max="1" width="11.42578125" style="10"/>
    <col min="2" max="2" width="31.140625" style="22" customWidth="1"/>
    <col min="3" max="3" width="11.28515625" style="22" customWidth="1"/>
    <col min="4" max="4" width="26.28515625" customWidth="1"/>
    <col min="5" max="5" width="11.7109375" customWidth="1"/>
    <col min="6" max="6" width="5.28515625" customWidth="1"/>
    <col min="7" max="7" width="11" customWidth="1"/>
    <col min="8" max="8" width="10" customWidth="1"/>
    <col min="9" max="9" width="7.140625" style="1" customWidth="1"/>
    <col min="10" max="10" width="23.85546875" style="1" customWidth="1"/>
  </cols>
  <sheetData>
    <row r="1" spans="1:10">
      <c r="A1" s="10">
        <v>1</v>
      </c>
      <c r="B1" s="19" t="s">
        <v>13</v>
      </c>
      <c r="C1" s="20"/>
      <c r="D1" s="20"/>
      <c r="E1" s="20"/>
      <c r="F1" s="21">
        <v>44690.544053854166</v>
      </c>
      <c r="G1" s="20"/>
      <c r="H1" s="20"/>
    </row>
    <row r="2" spans="1:10">
      <c r="A2" s="10">
        <v>2</v>
      </c>
    </row>
    <row r="3" spans="1:10">
      <c r="A3" s="10">
        <v>3</v>
      </c>
      <c r="B3" s="23" t="s">
        <v>12</v>
      </c>
      <c r="D3" s="9" t="s">
        <v>44</v>
      </c>
    </row>
    <row r="4" spans="1:10">
      <c r="A4" s="10">
        <v>4</v>
      </c>
      <c r="B4" s="19" t="s">
        <v>11</v>
      </c>
      <c r="C4" s="20"/>
      <c r="D4" s="20"/>
      <c r="E4" s="20"/>
    </row>
    <row r="5" spans="1:10">
      <c r="A5" s="10">
        <v>5</v>
      </c>
      <c r="B5" s="24" t="s">
        <v>10</v>
      </c>
      <c r="C5" s="24" t="s">
        <v>9</v>
      </c>
      <c r="D5" s="7" t="s">
        <v>8</v>
      </c>
      <c r="E5" s="7" t="s">
        <v>7</v>
      </c>
      <c r="F5" s="7" t="s">
        <v>6</v>
      </c>
      <c r="G5" s="7" t="s">
        <v>5</v>
      </c>
      <c r="H5" s="7" t="s">
        <v>4</v>
      </c>
      <c r="I5" s="8" t="s">
        <v>3</v>
      </c>
      <c r="J5" s="8" t="s">
        <v>2</v>
      </c>
    </row>
    <row r="6" spans="1:10">
      <c r="A6" s="10">
        <v>6</v>
      </c>
      <c r="B6" s="15">
        <v>45002</v>
      </c>
      <c r="C6" s="12">
        <v>45002</v>
      </c>
      <c r="D6" s="11" t="s">
        <v>14</v>
      </c>
      <c r="E6" s="11" t="s">
        <v>15</v>
      </c>
      <c r="F6" s="11" t="s">
        <v>0</v>
      </c>
      <c r="G6" s="13">
        <v>241</v>
      </c>
      <c r="H6" s="13">
        <v>2828.37</v>
      </c>
      <c r="J6" s="1" t="s">
        <v>35</v>
      </c>
    </row>
    <row r="7" spans="1:10" ht="26.25">
      <c r="A7" s="10">
        <v>7</v>
      </c>
      <c r="B7" s="28" t="s">
        <v>94</v>
      </c>
      <c r="C7" s="15"/>
      <c r="D7" s="11"/>
      <c r="E7" s="11"/>
      <c r="F7" s="11"/>
      <c r="G7" s="11"/>
      <c r="H7" s="11"/>
    </row>
    <row r="8" spans="1:10">
      <c r="A8" s="10">
        <v>8</v>
      </c>
      <c r="B8" s="15">
        <v>45001</v>
      </c>
      <c r="C8" s="12">
        <v>45002</v>
      </c>
      <c r="D8" s="11" t="s">
        <v>16</v>
      </c>
      <c r="E8" s="11" t="s">
        <v>1</v>
      </c>
      <c r="F8" s="11"/>
      <c r="G8" s="13">
        <v>0</v>
      </c>
      <c r="H8" s="13">
        <v>149</v>
      </c>
      <c r="I8" s="4"/>
      <c r="J8" s="4" t="s">
        <v>36</v>
      </c>
    </row>
    <row r="9" spans="1:10" ht="26.25">
      <c r="A9" s="10">
        <v>9</v>
      </c>
      <c r="B9" s="28" t="s">
        <v>95</v>
      </c>
      <c r="C9" s="15"/>
      <c r="D9" s="11"/>
      <c r="E9" s="11"/>
      <c r="F9" s="11"/>
      <c r="G9" s="11"/>
      <c r="H9" s="11"/>
    </row>
    <row r="10" spans="1:10">
      <c r="A10" s="10">
        <v>10</v>
      </c>
      <c r="B10" s="15">
        <v>45001</v>
      </c>
      <c r="C10" s="12">
        <v>45002</v>
      </c>
      <c r="D10" s="11" t="s">
        <v>17</v>
      </c>
      <c r="E10" s="11" t="s">
        <v>1</v>
      </c>
      <c r="F10" s="11"/>
      <c r="G10" s="13">
        <v>0</v>
      </c>
      <c r="H10" s="13">
        <v>149</v>
      </c>
      <c r="I10" s="4"/>
      <c r="J10" s="4" t="s">
        <v>36</v>
      </c>
    </row>
    <row r="11" spans="1:10" ht="26.25">
      <c r="A11" s="10">
        <v>11</v>
      </c>
      <c r="B11" s="28" t="s">
        <v>96</v>
      </c>
      <c r="C11" s="15"/>
      <c r="D11" s="11"/>
      <c r="E11" s="11"/>
      <c r="F11" s="11"/>
      <c r="G11" s="11"/>
      <c r="H11" s="11"/>
    </row>
    <row r="12" spans="1:10">
      <c r="A12" s="10">
        <v>12</v>
      </c>
      <c r="B12" s="15">
        <v>45001</v>
      </c>
      <c r="C12" s="12">
        <v>45002</v>
      </c>
      <c r="D12" s="11" t="s">
        <v>18</v>
      </c>
      <c r="E12" s="11" t="s">
        <v>1</v>
      </c>
      <c r="F12" s="11"/>
      <c r="G12" s="13">
        <v>0</v>
      </c>
      <c r="H12" s="13">
        <v>2932</v>
      </c>
      <c r="J12" s="1" t="s">
        <v>46</v>
      </c>
    </row>
    <row r="13" spans="1:10" ht="26.25">
      <c r="A13" s="10">
        <v>13</v>
      </c>
      <c r="B13" s="28" t="s">
        <v>97</v>
      </c>
      <c r="C13" s="15"/>
      <c r="D13" s="11"/>
      <c r="E13" s="11"/>
      <c r="F13" s="11"/>
      <c r="G13" s="11"/>
      <c r="H13" s="11"/>
    </row>
    <row r="14" spans="1:10">
      <c r="A14" s="10">
        <v>14</v>
      </c>
      <c r="B14" s="15">
        <v>45001</v>
      </c>
      <c r="C14" s="12">
        <v>45001</v>
      </c>
      <c r="D14" s="11" t="s">
        <v>14</v>
      </c>
      <c r="E14" s="11" t="s">
        <v>15</v>
      </c>
      <c r="F14" s="11" t="s">
        <v>0</v>
      </c>
      <c r="G14" s="13">
        <v>82</v>
      </c>
      <c r="H14" s="13">
        <v>955.15</v>
      </c>
      <c r="I14" s="4"/>
      <c r="J14" s="4" t="s">
        <v>37</v>
      </c>
    </row>
    <row r="15" spans="1:10" ht="26.25">
      <c r="A15" s="10">
        <v>15</v>
      </c>
      <c r="B15" s="28" t="s">
        <v>98</v>
      </c>
      <c r="C15" s="15"/>
      <c r="D15" s="11"/>
      <c r="E15" s="11"/>
      <c r="F15" s="11"/>
      <c r="G15" s="11"/>
      <c r="H15" s="11"/>
    </row>
    <row r="16" spans="1:10">
      <c r="A16" s="10">
        <v>16</v>
      </c>
      <c r="B16" s="15">
        <v>44995</v>
      </c>
      <c r="C16" s="12">
        <v>44996</v>
      </c>
      <c r="D16" s="11" t="s">
        <v>19</v>
      </c>
      <c r="E16" s="11" t="s">
        <v>20</v>
      </c>
      <c r="F16" s="11" t="s">
        <v>21</v>
      </c>
      <c r="G16" s="13">
        <v>158400</v>
      </c>
      <c r="H16" s="13">
        <v>12202.42</v>
      </c>
      <c r="I16" s="4"/>
      <c r="J16" s="4" t="s">
        <v>38</v>
      </c>
    </row>
    <row r="17" spans="1:10" ht="26.25">
      <c r="A17" s="10">
        <v>17</v>
      </c>
      <c r="B17" s="28" t="s">
        <v>99</v>
      </c>
      <c r="C17" s="15"/>
      <c r="D17" s="11"/>
      <c r="E17" s="11"/>
      <c r="F17" s="11"/>
      <c r="G17" s="11"/>
      <c r="H17" s="11"/>
    </row>
    <row r="18" spans="1:10">
      <c r="A18" s="10">
        <v>20</v>
      </c>
      <c r="B18" s="15">
        <v>44959</v>
      </c>
      <c r="C18" s="12">
        <v>44961</v>
      </c>
      <c r="D18" s="11" t="s">
        <v>22</v>
      </c>
      <c r="E18" s="11" t="s">
        <v>23</v>
      </c>
      <c r="F18" s="11"/>
      <c r="G18" s="13">
        <v>0</v>
      </c>
      <c r="H18" s="13">
        <v>400.5</v>
      </c>
      <c r="I18" s="4"/>
      <c r="J18" s="4" t="s">
        <v>39</v>
      </c>
    </row>
    <row r="19" spans="1:10">
      <c r="A19" s="10">
        <v>21</v>
      </c>
      <c r="B19" s="15">
        <v>44959</v>
      </c>
      <c r="C19" s="12">
        <v>44961</v>
      </c>
      <c r="D19" s="11" t="s">
        <v>24</v>
      </c>
      <c r="E19" s="11" t="s">
        <v>23</v>
      </c>
      <c r="F19" s="11"/>
      <c r="G19" s="13">
        <v>0</v>
      </c>
      <c r="H19" s="13">
        <v>225.2</v>
      </c>
      <c r="J19" s="4" t="s">
        <v>39</v>
      </c>
    </row>
    <row r="20" spans="1:10">
      <c r="A20" s="10">
        <v>24</v>
      </c>
      <c r="B20" s="15">
        <v>44957</v>
      </c>
      <c r="C20" s="12">
        <v>44958</v>
      </c>
      <c r="D20" s="11" t="s">
        <v>25</v>
      </c>
      <c r="E20" s="11" t="s">
        <v>26</v>
      </c>
      <c r="F20" s="11"/>
      <c r="G20" s="13">
        <v>0</v>
      </c>
      <c r="H20" s="13">
        <v>3528</v>
      </c>
      <c r="I20" s="4"/>
      <c r="J20" s="4" t="s">
        <v>40</v>
      </c>
    </row>
    <row r="21" spans="1:10">
      <c r="A21" s="10">
        <v>25</v>
      </c>
      <c r="B21" s="15">
        <v>44942</v>
      </c>
      <c r="C21" s="12">
        <v>44943</v>
      </c>
      <c r="D21" s="11" t="s">
        <v>27</v>
      </c>
      <c r="E21" s="11" t="s">
        <v>28</v>
      </c>
      <c r="F21" s="11"/>
      <c r="G21" s="13">
        <v>0</v>
      </c>
      <c r="H21" s="13">
        <v>256</v>
      </c>
    </row>
    <row r="22" spans="1:10">
      <c r="A22" s="10">
        <v>26</v>
      </c>
      <c r="B22" s="15">
        <v>44937</v>
      </c>
      <c r="C22" s="12">
        <v>44938</v>
      </c>
      <c r="D22" s="11" t="s">
        <v>29</v>
      </c>
      <c r="E22" s="11" t="s">
        <v>30</v>
      </c>
      <c r="F22" s="11" t="s">
        <v>0</v>
      </c>
      <c r="G22" s="13">
        <v>13</v>
      </c>
      <c r="H22" s="13">
        <v>142.76</v>
      </c>
      <c r="I22" s="4"/>
      <c r="J22" s="4" t="s">
        <v>43</v>
      </c>
    </row>
    <row r="23" spans="1:10" ht="26.25">
      <c r="A23" s="10">
        <v>27</v>
      </c>
      <c r="B23" s="28" t="s">
        <v>100</v>
      </c>
      <c r="C23" s="15"/>
      <c r="D23" s="11"/>
      <c r="E23" s="11"/>
      <c r="F23" s="11"/>
      <c r="G23" s="11"/>
      <c r="H23" s="11"/>
    </row>
    <row r="24" spans="1:10">
      <c r="A24" s="10">
        <v>28</v>
      </c>
      <c r="B24" s="15">
        <v>44936</v>
      </c>
      <c r="C24" s="12">
        <v>44938</v>
      </c>
      <c r="D24" s="11" t="s">
        <v>31</v>
      </c>
      <c r="E24" s="11" t="s">
        <v>30</v>
      </c>
      <c r="F24" s="11" t="s">
        <v>0</v>
      </c>
      <c r="G24" s="13">
        <v>35.64</v>
      </c>
      <c r="H24" s="13">
        <v>391.37</v>
      </c>
      <c r="J24" s="1" t="s">
        <v>41</v>
      </c>
    </row>
    <row r="25" spans="1:10" ht="26.25">
      <c r="A25" s="10">
        <v>29</v>
      </c>
      <c r="B25" s="28" t="s">
        <v>101</v>
      </c>
      <c r="C25" s="15"/>
      <c r="D25" s="11"/>
      <c r="E25" s="11"/>
      <c r="F25" s="11"/>
      <c r="G25" s="11"/>
      <c r="H25" s="11"/>
    </row>
    <row r="26" spans="1:10">
      <c r="A26" s="10">
        <v>30</v>
      </c>
      <c r="B26" s="15">
        <v>44935</v>
      </c>
      <c r="C26" s="12">
        <v>44937</v>
      </c>
      <c r="D26" s="11" t="s">
        <v>32</v>
      </c>
      <c r="E26" s="11" t="s">
        <v>30</v>
      </c>
      <c r="F26" s="11" t="s">
        <v>0</v>
      </c>
      <c r="G26" s="13">
        <v>222</v>
      </c>
      <c r="H26" s="13">
        <v>2420.3000000000002</v>
      </c>
      <c r="J26" s="1" t="s">
        <v>42</v>
      </c>
    </row>
    <row r="27" spans="1:10" ht="26.25">
      <c r="A27" s="10">
        <v>31</v>
      </c>
      <c r="B27" s="28" t="s">
        <v>102</v>
      </c>
      <c r="C27" s="15"/>
      <c r="D27" s="11"/>
      <c r="E27" s="11"/>
      <c r="F27" s="11"/>
      <c r="G27" s="11"/>
      <c r="H27" s="11"/>
    </row>
    <row r="28" spans="1:10">
      <c r="A28" s="10">
        <v>32</v>
      </c>
      <c r="B28" s="15">
        <v>44929</v>
      </c>
      <c r="C28" s="12">
        <v>44930</v>
      </c>
      <c r="D28" s="11" t="s">
        <v>33</v>
      </c>
      <c r="E28" s="11" t="s">
        <v>34</v>
      </c>
      <c r="F28" s="11"/>
      <c r="G28" s="13">
        <v>0</v>
      </c>
      <c r="H28" s="13">
        <v>5525.27</v>
      </c>
      <c r="I28" s="4"/>
      <c r="J28" s="4" t="s">
        <v>45</v>
      </c>
    </row>
    <row r="29" spans="1:10">
      <c r="A29" s="10">
        <v>33</v>
      </c>
      <c r="B29" s="25" t="s">
        <v>47</v>
      </c>
      <c r="C29" s="15"/>
      <c r="D29" s="11"/>
      <c r="E29" s="11"/>
      <c r="F29" s="11"/>
      <c r="G29" s="11"/>
      <c r="H29" s="14"/>
    </row>
    <row r="30" spans="1:10">
      <c r="A30" s="10">
        <v>34</v>
      </c>
      <c r="B30" s="16">
        <v>44575</v>
      </c>
      <c r="C30" s="16">
        <v>44576</v>
      </c>
      <c r="D30" s="17" t="s">
        <v>48</v>
      </c>
      <c r="F30" t="s">
        <v>0</v>
      </c>
      <c r="G30" s="5">
        <v>31.17</v>
      </c>
      <c r="H30" s="5">
        <v>317.08</v>
      </c>
      <c r="I30" s="1" t="s">
        <v>49</v>
      </c>
      <c r="J30" s="1" t="s">
        <v>50</v>
      </c>
    </row>
    <row r="31" spans="1:10">
      <c r="A31" s="10">
        <v>35</v>
      </c>
      <c r="B31" s="16">
        <v>44606</v>
      </c>
      <c r="C31" s="16">
        <v>44607</v>
      </c>
      <c r="D31" s="17" t="s">
        <v>48</v>
      </c>
      <c r="F31" t="s">
        <v>0</v>
      </c>
      <c r="G31">
        <v>30.91</v>
      </c>
      <c r="H31">
        <v>319.04000000000002</v>
      </c>
      <c r="I31" s="1" t="s">
        <v>49</v>
      </c>
      <c r="J31" s="1" t="s">
        <v>50</v>
      </c>
    </row>
    <row r="32" spans="1:10">
      <c r="A32" s="10">
        <v>36</v>
      </c>
      <c r="B32" s="16">
        <v>44634</v>
      </c>
      <c r="C32" s="16">
        <v>44635</v>
      </c>
      <c r="D32" s="17" t="s">
        <v>48</v>
      </c>
      <c r="F32" t="s">
        <v>0</v>
      </c>
      <c r="G32" s="5">
        <v>31.57</v>
      </c>
      <c r="H32" s="5">
        <v>318.39</v>
      </c>
      <c r="I32" s="1" t="s">
        <v>49</v>
      </c>
      <c r="J32" s="1" t="s">
        <v>50</v>
      </c>
    </row>
    <row r="33" spans="1:10">
      <c r="A33" s="10">
        <v>37</v>
      </c>
      <c r="B33" s="16">
        <v>44665</v>
      </c>
      <c r="C33" s="16">
        <v>44666</v>
      </c>
      <c r="D33" s="17" t="s">
        <v>48</v>
      </c>
      <c r="F33" t="s">
        <v>0</v>
      </c>
      <c r="G33">
        <v>32.659999999999997</v>
      </c>
      <c r="H33">
        <v>320.47000000000003</v>
      </c>
      <c r="I33" s="1" t="s">
        <v>49</v>
      </c>
      <c r="J33" s="1" t="s">
        <v>50</v>
      </c>
    </row>
    <row r="34" spans="1:10">
      <c r="A34" s="10">
        <v>38</v>
      </c>
      <c r="B34" s="16">
        <v>44695</v>
      </c>
      <c r="C34" s="16">
        <v>44696</v>
      </c>
      <c r="D34" s="17" t="s">
        <v>48</v>
      </c>
      <c r="F34" t="s">
        <v>0</v>
      </c>
      <c r="G34" s="5">
        <v>30.5</v>
      </c>
      <c r="H34" s="5">
        <v>320.36</v>
      </c>
      <c r="I34" s="1" t="s">
        <v>49</v>
      </c>
      <c r="J34" s="1" t="s">
        <v>50</v>
      </c>
    </row>
    <row r="35" spans="1:10">
      <c r="A35" s="10">
        <v>39</v>
      </c>
      <c r="B35" s="16">
        <v>44726</v>
      </c>
      <c r="C35" s="16">
        <v>44727</v>
      </c>
      <c r="D35" s="17" t="s">
        <v>48</v>
      </c>
      <c r="F35" t="s">
        <v>0</v>
      </c>
      <c r="G35" s="5">
        <v>29.94</v>
      </c>
      <c r="H35" s="5">
        <v>316.49</v>
      </c>
      <c r="I35" s="1" t="s">
        <v>49</v>
      </c>
      <c r="J35" s="1" t="s">
        <v>50</v>
      </c>
    </row>
    <row r="36" spans="1:10">
      <c r="A36" s="10">
        <v>40</v>
      </c>
      <c r="B36" s="18">
        <v>44756</v>
      </c>
      <c r="C36" s="18">
        <v>44757</v>
      </c>
      <c r="D36" s="17" t="s">
        <v>48</v>
      </c>
      <c r="F36" t="s">
        <v>0</v>
      </c>
      <c r="G36" s="5">
        <v>30.39</v>
      </c>
      <c r="H36" s="5">
        <v>320.47000000000003</v>
      </c>
      <c r="I36" s="1" t="s">
        <v>49</v>
      </c>
      <c r="J36" s="1" t="s">
        <v>50</v>
      </c>
    </row>
    <row r="37" spans="1:10">
      <c r="A37" s="10">
        <v>41</v>
      </c>
      <c r="B37" s="16">
        <v>44787</v>
      </c>
      <c r="C37" s="16">
        <v>44788</v>
      </c>
      <c r="D37" s="17" t="s">
        <v>48</v>
      </c>
      <c r="F37" t="s">
        <v>0</v>
      </c>
      <c r="G37" s="5">
        <v>31.72</v>
      </c>
      <c r="H37" s="5">
        <v>319.66000000000003</v>
      </c>
      <c r="I37" s="1" t="s">
        <v>49</v>
      </c>
      <c r="J37" s="1" t="s">
        <v>50</v>
      </c>
    </row>
    <row r="38" spans="1:10">
      <c r="A38" s="10">
        <v>42</v>
      </c>
      <c r="B38" s="16">
        <v>44818</v>
      </c>
      <c r="C38" s="16">
        <v>44819</v>
      </c>
      <c r="D38" s="17" t="s">
        <v>48</v>
      </c>
      <c r="F38" t="s">
        <v>0</v>
      </c>
      <c r="G38" s="5">
        <v>30.78</v>
      </c>
      <c r="H38" s="5">
        <v>317.22000000000003</v>
      </c>
      <c r="I38" s="1" t="s">
        <v>49</v>
      </c>
      <c r="J38" s="1" t="s">
        <v>50</v>
      </c>
    </row>
    <row r="39" spans="1:10">
      <c r="A39" s="10">
        <v>43</v>
      </c>
      <c r="B39" s="18">
        <v>44848</v>
      </c>
      <c r="C39" s="18">
        <v>44849</v>
      </c>
      <c r="D39" s="17" t="s">
        <v>48</v>
      </c>
      <c r="F39" t="s">
        <v>0</v>
      </c>
      <c r="G39" s="5">
        <v>30.12</v>
      </c>
      <c r="H39" s="5">
        <v>320.86</v>
      </c>
      <c r="I39" s="1" t="s">
        <v>49</v>
      </c>
      <c r="J39" s="1" t="s">
        <v>50</v>
      </c>
    </row>
    <row r="40" spans="1:10">
      <c r="A40" s="10">
        <v>44</v>
      </c>
      <c r="B40" s="16">
        <v>44808</v>
      </c>
      <c r="C40" s="16">
        <v>44809</v>
      </c>
      <c r="D40" t="s">
        <v>51</v>
      </c>
      <c r="F40" t="s">
        <v>52</v>
      </c>
      <c r="H40">
        <v>1499</v>
      </c>
      <c r="I40" s="1" t="s">
        <v>49</v>
      </c>
      <c r="J40" s="1" t="s">
        <v>53</v>
      </c>
    </row>
    <row r="41" spans="1:10">
      <c r="A41" s="10">
        <v>45</v>
      </c>
      <c r="B41" s="16">
        <v>44655</v>
      </c>
      <c r="C41" s="16">
        <v>44656</v>
      </c>
      <c r="D41" s="17" t="s">
        <v>54</v>
      </c>
      <c r="F41" t="s">
        <v>55</v>
      </c>
      <c r="H41">
        <v>1250</v>
      </c>
      <c r="I41" s="1" t="s">
        <v>49</v>
      </c>
      <c r="J41" s="1" t="s">
        <v>56</v>
      </c>
    </row>
    <row r="42" spans="1:10">
      <c r="A42" s="10">
        <v>46</v>
      </c>
      <c r="B42" s="26">
        <v>44881</v>
      </c>
      <c r="C42" s="26">
        <v>45246</v>
      </c>
      <c r="D42" t="s">
        <v>48</v>
      </c>
      <c r="E42" t="s">
        <v>57</v>
      </c>
      <c r="F42" t="s">
        <v>0</v>
      </c>
      <c r="G42">
        <v>30.05</v>
      </c>
      <c r="H42">
        <v>319.58</v>
      </c>
      <c r="I42" s="1" t="s">
        <v>49</v>
      </c>
      <c r="J42" s="1" t="s">
        <v>50</v>
      </c>
    </row>
    <row r="43" spans="1:10">
      <c r="A43" s="10">
        <v>47</v>
      </c>
      <c r="B43" s="18">
        <v>44977</v>
      </c>
      <c r="C43" s="18">
        <v>44977</v>
      </c>
      <c r="D43" s="17" t="s">
        <v>58</v>
      </c>
      <c r="E43" t="s">
        <v>59</v>
      </c>
      <c r="F43" t="s">
        <v>55</v>
      </c>
      <c r="H43">
        <v>182</v>
      </c>
      <c r="I43" s="1" t="s">
        <v>60</v>
      </c>
    </row>
    <row r="44" spans="1:10">
      <c r="A44" s="10">
        <v>48</v>
      </c>
      <c r="B44" s="18">
        <v>44977</v>
      </c>
      <c r="C44" s="18">
        <v>44977</v>
      </c>
      <c r="D44" t="s">
        <v>61</v>
      </c>
      <c r="E44" t="s">
        <v>59</v>
      </c>
      <c r="F44" t="s">
        <v>52</v>
      </c>
      <c r="G44" s="5"/>
      <c r="H44" s="5">
        <v>165</v>
      </c>
      <c r="I44" s="4" t="s">
        <v>60</v>
      </c>
      <c r="J44" s="4" t="s">
        <v>62</v>
      </c>
    </row>
    <row r="45" spans="1:10">
      <c r="A45" s="10">
        <v>49</v>
      </c>
      <c r="B45" s="18">
        <v>44935</v>
      </c>
      <c r="C45" s="18">
        <v>44935</v>
      </c>
      <c r="D45" s="17" t="s">
        <v>63</v>
      </c>
      <c r="F45" t="s">
        <v>52</v>
      </c>
      <c r="H45">
        <v>410</v>
      </c>
      <c r="I45" s="1" t="s">
        <v>60</v>
      </c>
      <c r="J45" s="1" t="s">
        <v>64</v>
      </c>
    </row>
    <row r="46" spans="1:10">
      <c r="A46" s="10">
        <v>50</v>
      </c>
      <c r="B46" s="18">
        <v>45211</v>
      </c>
      <c r="C46" s="6">
        <v>45211</v>
      </c>
      <c r="D46" t="s">
        <v>65</v>
      </c>
      <c r="F46" t="s">
        <v>66</v>
      </c>
      <c r="G46" s="5">
        <v>17.100000000000001</v>
      </c>
      <c r="H46" s="5">
        <v>171</v>
      </c>
      <c r="I46" s="4" t="s">
        <v>60</v>
      </c>
      <c r="J46" s="4" t="s">
        <v>67</v>
      </c>
    </row>
    <row r="47" spans="1:10">
      <c r="A47" s="10">
        <v>51</v>
      </c>
      <c r="B47" s="18">
        <v>45210</v>
      </c>
      <c r="C47" s="6">
        <v>45210</v>
      </c>
      <c r="D47" s="17" t="s">
        <v>65</v>
      </c>
      <c r="F47" t="s">
        <v>66</v>
      </c>
      <c r="G47" s="5">
        <v>649</v>
      </c>
      <c r="H47" s="5">
        <v>6814.5</v>
      </c>
      <c r="I47" s="4" t="s">
        <v>60</v>
      </c>
      <c r="J47" s="4" t="s">
        <v>68</v>
      </c>
    </row>
    <row r="48" spans="1:10">
      <c r="A48" s="10">
        <v>52</v>
      </c>
      <c r="B48" s="12">
        <v>44845</v>
      </c>
      <c r="C48" s="12">
        <v>44846</v>
      </c>
      <c r="D48" s="11" t="s">
        <v>69</v>
      </c>
      <c r="E48" s="11" t="s">
        <v>70</v>
      </c>
      <c r="F48" s="11" t="s">
        <v>0</v>
      </c>
      <c r="G48" s="13">
        <v>103</v>
      </c>
      <c r="H48" s="13">
        <v>1103.54</v>
      </c>
      <c r="I48" s="1" t="s">
        <v>60</v>
      </c>
      <c r="J48" s="1" t="s">
        <v>71</v>
      </c>
    </row>
    <row r="49" spans="1:10">
      <c r="A49" s="10">
        <v>53</v>
      </c>
      <c r="B49" s="18">
        <v>45016</v>
      </c>
      <c r="C49" s="6">
        <v>45016</v>
      </c>
      <c r="D49" t="s">
        <v>72</v>
      </c>
      <c r="F49" t="s">
        <v>55</v>
      </c>
      <c r="G49" s="5"/>
      <c r="H49" s="5">
        <v>2000</v>
      </c>
      <c r="I49" s="4" t="s">
        <v>60</v>
      </c>
      <c r="J49" s="4" t="s">
        <v>73</v>
      </c>
    </row>
    <row r="50" spans="1:10">
      <c r="A50" s="10">
        <v>54</v>
      </c>
      <c r="B50" s="18">
        <v>45016</v>
      </c>
      <c r="C50" s="18">
        <v>45016</v>
      </c>
      <c r="D50" t="s">
        <v>74</v>
      </c>
      <c r="F50" t="s">
        <v>55</v>
      </c>
      <c r="H50" s="5">
        <v>250</v>
      </c>
      <c r="I50" s="1" t="s">
        <v>60</v>
      </c>
      <c r="J50" s="1" t="s">
        <v>75</v>
      </c>
    </row>
    <row r="51" spans="1:10">
      <c r="A51" s="10">
        <v>55</v>
      </c>
      <c r="B51" s="18">
        <v>45008</v>
      </c>
      <c r="C51" s="18">
        <v>45008</v>
      </c>
      <c r="D51" t="s">
        <v>76</v>
      </c>
      <c r="F51" t="s">
        <v>55</v>
      </c>
      <c r="G51" s="5"/>
      <c r="H51" s="5">
        <v>549.79999999999995</v>
      </c>
      <c r="I51" s="4" t="s">
        <v>60</v>
      </c>
      <c r="J51" s="4" t="s">
        <v>77</v>
      </c>
    </row>
    <row r="52" spans="1:10">
      <c r="A52" s="10">
        <v>56</v>
      </c>
      <c r="B52" s="18">
        <v>45006</v>
      </c>
      <c r="C52" s="18">
        <v>45006</v>
      </c>
      <c r="D52" t="s">
        <v>76</v>
      </c>
      <c r="F52" t="s">
        <v>55</v>
      </c>
      <c r="H52" s="5">
        <v>140.4</v>
      </c>
      <c r="I52" s="1" t="s">
        <v>60</v>
      </c>
      <c r="J52" s="1" t="s">
        <v>78</v>
      </c>
    </row>
    <row r="53" spans="1:10">
      <c r="A53" s="10">
        <v>57</v>
      </c>
      <c r="B53" s="18">
        <v>45006</v>
      </c>
      <c r="C53" s="18">
        <v>45006</v>
      </c>
      <c r="D53" t="s">
        <v>79</v>
      </c>
      <c r="F53" t="s">
        <v>55</v>
      </c>
      <c r="H53" s="3">
        <v>90.04</v>
      </c>
      <c r="I53" s="1" t="s">
        <v>60</v>
      </c>
      <c r="J53" s="1" t="s">
        <v>64</v>
      </c>
    </row>
    <row r="54" spans="1:10">
      <c r="A54" s="10">
        <v>58</v>
      </c>
      <c r="B54" s="18">
        <v>45007</v>
      </c>
      <c r="C54" s="18">
        <v>45007</v>
      </c>
      <c r="D54" t="s">
        <v>79</v>
      </c>
      <c r="F54" t="s">
        <v>55</v>
      </c>
      <c r="H54" s="5">
        <v>122</v>
      </c>
      <c r="I54" s="1" t="s">
        <v>60</v>
      </c>
      <c r="J54" s="1" t="s">
        <v>80</v>
      </c>
    </row>
    <row r="55" spans="1:10">
      <c r="A55" s="10">
        <v>59</v>
      </c>
      <c r="B55" s="18">
        <v>45008</v>
      </c>
      <c r="C55" s="18">
        <v>45008</v>
      </c>
      <c r="D55" t="s">
        <v>81</v>
      </c>
      <c r="F55" t="s">
        <v>55</v>
      </c>
      <c r="H55" s="5">
        <v>462.6</v>
      </c>
      <c r="I55" s="1" t="s">
        <v>60</v>
      </c>
      <c r="J55" s="1" t="s">
        <v>82</v>
      </c>
    </row>
    <row r="56" spans="1:10">
      <c r="A56" s="10">
        <v>60</v>
      </c>
      <c r="B56" s="27" t="s">
        <v>84</v>
      </c>
      <c r="D56" t="s">
        <v>85</v>
      </c>
      <c r="F56" t="s">
        <v>55</v>
      </c>
      <c r="H56" s="5">
        <v>849</v>
      </c>
      <c r="I56" s="1" t="s">
        <v>60</v>
      </c>
      <c r="J56" t="s">
        <v>83</v>
      </c>
    </row>
    <row r="57" spans="1:10">
      <c r="A57" s="10">
        <v>61</v>
      </c>
      <c r="B57" s="27" t="s">
        <v>86</v>
      </c>
      <c r="D57" t="s">
        <v>85</v>
      </c>
      <c r="F57" t="s">
        <v>55</v>
      </c>
      <c r="G57" s="2"/>
      <c r="H57">
        <v>533.13</v>
      </c>
      <c r="I57" s="1" t="s">
        <v>49</v>
      </c>
      <c r="J57" s="1" t="s">
        <v>87</v>
      </c>
    </row>
    <row r="58" spans="1:10">
      <c r="A58" s="10">
        <v>62</v>
      </c>
      <c r="B58" s="27" t="s">
        <v>88</v>
      </c>
      <c r="D58" t="s">
        <v>85</v>
      </c>
      <c r="F58" t="s">
        <v>55</v>
      </c>
      <c r="H58" s="5">
        <v>849</v>
      </c>
      <c r="I58" s="1" t="s">
        <v>60</v>
      </c>
      <c r="J58" s="1" t="s">
        <v>83</v>
      </c>
    </row>
    <row r="59" spans="1:10">
      <c r="A59" s="10">
        <v>63</v>
      </c>
      <c r="B59" s="27" t="s">
        <v>88</v>
      </c>
      <c r="D59" t="s">
        <v>85</v>
      </c>
      <c r="F59" t="s">
        <v>55</v>
      </c>
      <c r="H59" s="5">
        <v>513</v>
      </c>
      <c r="I59" s="1" t="s">
        <v>60</v>
      </c>
      <c r="J59" s="1" t="s">
        <v>89</v>
      </c>
    </row>
    <row r="60" spans="1:10">
      <c r="A60" s="10">
        <v>64</v>
      </c>
      <c r="B60" s="27" t="s">
        <v>90</v>
      </c>
      <c r="D60" t="s">
        <v>85</v>
      </c>
      <c r="F60" t="s">
        <v>55</v>
      </c>
      <c r="H60" s="5">
        <v>849</v>
      </c>
      <c r="I60" s="1" t="s">
        <v>60</v>
      </c>
      <c r="J60" s="1" t="s">
        <v>83</v>
      </c>
    </row>
    <row r="61" spans="1:10">
      <c r="A61" s="10">
        <v>65</v>
      </c>
      <c r="B61" s="27" t="s">
        <v>90</v>
      </c>
      <c r="D61" t="s">
        <v>85</v>
      </c>
      <c r="F61" t="s">
        <v>55</v>
      </c>
      <c r="H61" s="5">
        <v>501.92</v>
      </c>
      <c r="I61" s="1" t="s">
        <v>60</v>
      </c>
      <c r="J61" s="1" t="s">
        <v>87</v>
      </c>
    </row>
    <row r="62" spans="1:10">
      <c r="A62" s="10">
        <v>66</v>
      </c>
      <c r="B62" s="27" t="s">
        <v>91</v>
      </c>
      <c r="D62" t="s">
        <v>85</v>
      </c>
      <c r="F62" t="s">
        <v>55</v>
      </c>
      <c r="H62" s="5">
        <v>849</v>
      </c>
      <c r="I62" s="1" t="s">
        <v>60</v>
      </c>
      <c r="J62" s="1" t="s">
        <v>83</v>
      </c>
    </row>
    <row r="63" spans="1:10">
      <c r="A63" s="10">
        <v>67</v>
      </c>
      <c r="B63" s="27" t="s">
        <v>91</v>
      </c>
      <c r="D63" t="s">
        <v>85</v>
      </c>
      <c r="F63" t="s">
        <v>55</v>
      </c>
      <c r="H63" s="5">
        <v>511.23</v>
      </c>
      <c r="I63" s="1" t="s">
        <v>60</v>
      </c>
      <c r="J63" s="1" t="s">
        <v>87</v>
      </c>
    </row>
    <row r="64" spans="1:10">
      <c r="A64" s="10">
        <v>68</v>
      </c>
      <c r="B64" s="27" t="s">
        <v>92</v>
      </c>
      <c r="D64" t="s">
        <v>85</v>
      </c>
      <c r="F64" t="s">
        <v>55</v>
      </c>
      <c r="H64" s="5">
        <v>849</v>
      </c>
      <c r="I64" s="1" t="s">
        <v>60</v>
      </c>
      <c r="J64" s="1" t="s">
        <v>83</v>
      </c>
    </row>
    <row r="65" spans="1:10">
      <c r="A65" s="10">
        <v>69</v>
      </c>
      <c r="B65" s="27" t="s">
        <v>92</v>
      </c>
      <c r="D65" t="s">
        <v>85</v>
      </c>
      <c r="F65" t="s">
        <v>55</v>
      </c>
      <c r="H65" s="5">
        <v>507.3</v>
      </c>
      <c r="I65" s="1" t="s">
        <v>60</v>
      </c>
      <c r="J65" s="1" t="s">
        <v>89</v>
      </c>
    </row>
    <row r="66" spans="1:10">
      <c r="A66" s="10">
        <v>70</v>
      </c>
      <c r="B66" s="27"/>
      <c r="F66" t="s">
        <v>55</v>
      </c>
      <c r="I66" s="1" t="s">
        <v>60</v>
      </c>
      <c r="J66" s="1" t="s">
        <v>83</v>
      </c>
    </row>
    <row r="67" spans="1:10">
      <c r="A67" s="10">
        <v>71</v>
      </c>
      <c r="F67" t="s">
        <v>55</v>
      </c>
      <c r="I67" s="1" t="s">
        <v>60</v>
      </c>
      <c r="J67" s="1" t="s">
        <v>87</v>
      </c>
    </row>
    <row r="68" spans="1:10">
      <c r="A68" s="10">
        <v>72</v>
      </c>
      <c r="B68" s="27" t="s">
        <v>93</v>
      </c>
      <c r="H68" s="5">
        <f>SUM(H6:H67)</f>
        <v>57636.420000000013</v>
      </c>
    </row>
    <row r="69" spans="1:10">
      <c r="A69" s="10">
        <v>73</v>
      </c>
      <c r="J69"/>
    </row>
    <row r="70" spans="1:10">
      <c r="A70" s="10">
        <v>74</v>
      </c>
    </row>
  </sheetData>
  <mergeCells count="3">
    <mergeCell ref="B1:E1"/>
    <mergeCell ref="F1:H1"/>
    <mergeCell ref="B4:E4"/>
  </mergeCells>
  <phoneticPr fontId="9" type="noConversion"/>
  <pageMargins left="0.7" right="0.7" top="0.75" bottom="0.75" header="0.3" footer="0.3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Ausland</dc:creator>
  <cp:lastModifiedBy>Tore Ausland</cp:lastModifiedBy>
  <cp:lastPrinted>2023-04-14T09:39:53Z</cp:lastPrinted>
  <dcterms:created xsi:type="dcterms:W3CDTF">2022-05-09T12:20:16Z</dcterms:created>
  <dcterms:modified xsi:type="dcterms:W3CDTF">2023-04-14T09:41:17Z</dcterms:modified>
</cp:coreProperties>
</file>