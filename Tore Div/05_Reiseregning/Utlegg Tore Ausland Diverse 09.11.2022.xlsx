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35" documentId="8_{E61CF7B3-57F8-4E84-9AEB-34F9FD18C2FB}" xr6:coauthVersionLast="47" xr6:coauthVersionMax="47" xr10:uidLastSave="{A12A92E5-F14C-444F-BF7F-C86A67328209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8" i="2" l="1"/>
  <c r="J24" i="1" s="1"/>
  <c r="M21" i="1" l="1"/>
  <c r="M20" i="1" l="1"/>
  <c r="M22" i="1" l="1"/>
  <c r="M23" i="1"/>
  <c r="M24" i="1"/>
  <c r="M45" i="1" s="1"/>
  <c r="M25" i="1"/>
  <c r="M26" i="1"/>
  <c r="M29" i="1"/>
  <c r="M30" i="1"/>
</calcChain>
</file>

<file path=xl/sharedStrings.xml><?xml version="1.0" encoding="utf-8"?>
<sst xmlns="http://schemas.openxmlformats.org/spreadsheetml/2006/main" count="184" uniqueCount="98">
  <si>
    <t>Fødselsnummer</t>
  </si>
  <si>
    <t>Navn (Etternavn, fornavn)</t>
  </si>
  <si>
    <t>Ansatt nr.</t>
  </si>
  <si>
    <t>Adresse</t>
  </si>
  <si>
    <t>Lønn og godtgjørelse</t>
  </si>
  <si>
    <t>Avreise</t>
  </si>
  <si>
    <t>Ankomst</t>
  </si>
  <si>
    <t>Passasjerens navn</t>
  </si>
  <si>
    <t>Skyss-middel</t>
  </si>
  <si>
    <t>Navn/adr. Overnattingssted</t>
  </si>
  <si>
    <t>IKKE SKATTEPLIKTIG</t>
  </si>
  <si>
    <t>LTA</t>
  </si>
  <si>
    <t>Antall</t>
  </si>
  <si>
    <t>Sats eller beløp</t>
  </si>
  <si>
    <t xml:space="preserve"> </t>
  </si>
  <si>
    <t>Utregnet beløp</t>
  </si>
  <si>
    <t>Bruk av egen bil</t>
  </si>
  <si>
    <t>Km-godtgjørelse</t>
  </si>
  <si>
    <t>Pass.tillegg</t>
  </si>
  <si>
    <t>Diverse utgifter</t>
  </si>
  <si>
    <t>6-12 timer</t>
  </si>
  <si>
    <t>Over 12 timer</t>
  </si>
  <si>
    <t>Fratrekk måltid</t>
  </si>
  <si>
    <t>Kost godtgjørelse uten overnatting</t>
  </si>
  <si>
    <t>Reise utland</t>
  </si>
  <si>
    <t>Kostgodtgj.</t>
  </si>
  <si>
    <t>SKATTEPLIKTIG</t>
  </si>
  <si>
    <t>Møtegodtgjørelse</t>
  </si>
  <si>
    <t>Lønn og honorar</t>
  </si>
  <si>
    <t>Netto sum</t>
  </si>
  <si>
    <t>Dato</t>
  </si>
  <si>
    <t>Kl.</t>
  </si>
  <si>
    <t>Postnr.</t>
  </si>
  <si>
    <t>Poststed</t>
  </si>
  <si>
    <t>Km-godt. El bil</t>
  </si>
  <si>
    <t>--</t>
  </si>
  <si>
    <t>Bankkonto</t>
  </si>
  <si>
    <t>UNDERSKRIFT</t>
  </si>
  <si>
    <t>ATTESTERT</t>
  </si>
  <si>
    <t>ANVIST</t>
  </si>
  <si>
    <t>Signatur</t>
  </si>
  <si>
    <t>Tapt arb.fortjeneste, legitimert</t>
  </si>
  <si>
    <t>Tapt arb.fortjeneste, ulegitimert</t>
  </si>
  <si>
    <t>Spesifikkasjon av regningen</t>
  </si>
  <si>
    <t>Nattilegg</t>
  </si>
  <si>
    <t>fjern</t>
  </si>
  <si>
    <t>E-postadresse:</t>
  </si>
  <si>
    <t>Frokost</t>
  </si>
  <si>
    <t>Lunsj</t>
  </si>
  <si>
    <t>Middag</t>
  </si>
  <si>
    <r>
      <t>Spesifikasjon av reisen</t>
    </r>
    <r>
      <rPr>
        <sz val="8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NB!  Må fylles ut</t>
    </r>
  </si>
  <si>
    <t>Nattillegg v/privat overnatting</t>
  </si>
  <si>
    <r>
      <t>Reisen gjelder</t>
    </r>
    <r>
      <rPr>
        <b/>
        <sz val="9"/>
        <color rgb="FFFF0000"/>
        <rFont val="Arial"/>
        <family val="2"/>
      </rPr>
      <t xml:space="preserve"> (MÅ FYLLES UT)</t>
    </r>
  </si>
  <si>
    <t>Kost godtgjørelse med overnatting</t>
  </si>
  <si>
    <t>Reiserute (gateadresse v/taxi og bilgodtgj)</t>
  </si>
  <si>
    <t>Prosjekt/koststed</t>
  </si>
  <si>
    <t>Reiseregning 2022</t>
  </si>
  <si>
    <t>Ausland Tore</t>
  </si>
  <si>
    <t>GOT</t>
  </si>
  <si>
    <t>Havnegata 5</t>
  </si>
  <si>
    <t>Son</t>
  </si>
  <si>
    <t>1135 10 33438</t>
  </si>
  <si>
    <t>ta@vikenklynge.no</t>
  </si>
  <si>
    <t>Pål Teien</t>
  </si>
  <si>
    <t>BIL</t>
  </si>
  <si>
    <t>Parkering</t>
  </si>
  <si>
    <t>Tore</t>
  </si>
  <si>
    <t>Resultat dette søk</t>
  </si>
  <si>
    <t>Kortnummer 541306******2050</t>
  </si>
  <si>
    <t>Kjøp/uttak</t>
  </si>
  <si>
    <t>Bokført</t>
  </si>
  <si>
    <t>Spesifikasjon</t>
  </si>
  <si>
    <t>Sted</t>
  </si>
  <si>
    <t xml:space="preserve">Valuta_x000D_
</t>
  </si>
  <si>
    <t>Utl. beløp</t>
  </si>
  <si>
    <t>Kvitteringer</t>
  </si>
  <si>
    <t>Forklaring</t>
  </si>
  <si>
    <t>Firmakort</t>
  </si>
  <si>
    <t>Privatkort</t>
  </si>
  <si>
    <t>Totalt beløp</t>
  </si>
  <si>
    <t>Thon Hotel Brussel</t>
  </si>
  <si>
    <t xml:space="preserve">Vedlegg </t>
  </si>
  <si>
    <t>NOK</t>
  </si>
  <si>
    <t>JA</t>
  </si>
  <si>
    <t>EUR</t>
  </si>
  <si>
    <t>Beløp NOK</t>
  </si>
  <si>
    <t>x</t>
  </si>
  <si>
    <t xml:space="preserve">Reisekostnader for Tore Ausland </t>
  </si>
  <si>
    <t>SHUTTERSTOCK IRELAND L</t>
  </si>
  <si>
    <t>Tilgang til Bilder</t>
  </si>
  <si>
    <t>NOVA SPEKTRUM AS</t>
  </si>
  <si>
    <t>Messe i Lillestrøm med Pål T</t>
  </si>
  <si>
    <t>Superbruker I E</t>
  </si>
  <si>
    <t>Nok</t>
  </si>
  <si>
    <t>Excel kurs</t>
  </si>
  <si>
    <t>UTLEGG og Reise TORE, Bilder, Messe Nor Ship + div</t>
  </si>
  <si>
    <t>Son-Lillestrøm-Son</t>
  </si>
  <si>
    <t>DUBLIN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</si>
</sst>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kr&quot;\ * #,##0.00_ ;_ &quot;kr&quot;\ * \-#,##0.00_ ;_ &quot;kr&quot;\ * &quot;-&quot;??_ ;_ @_ "/>
    <numFmt numFmtId="165" formatCode="d/m/yy;@"/>
    <numFmt numFmtId="166" formatCode="hh:mm;@"/>
    <numFmt numFmtId="167" formatCode="dd\.mm\.yyyy\ hh:mm:ss"/>
    <numFmt numFmtId="168" formatCode="dd\-mm"/>
    <numFmt numFmtId="169" formatCode="dd/mm/yyyy;@"/>
  </numFmts>
  <fonts count="2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color rgb="FF006100"/>
      <name val="Arial"/>
      <family val="2"/>
    </font>
    <font>
      <b/>
      <sz val="18"/>
      <color theme="3"/>
      <name val="Cambria"/>
      <family val="2"/>
      <scheme val="major"/>
    </font>
    <font>
      <b/>
      <sz val="9"/>
      <color rgb="FF006100"/>
      <name val="Arial"/>
      <family val="2"/>
    </font>
    <font>
      <b/>
      <sz val="36"/>
      <color theme="3"/>
      <name val="Cambria"/>
      <family val="2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sz val="8"/>
      <color rgb="FF6D8838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8"/>
      <color rgb="FF333333"/>
      <name val="Akkurat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8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38">
    <xf numFmtId="0" fontId="0" fillId="0" borderId="0" xfId="0"/>
    <xf numFmtId="0" fontId="0" fillId="3" borderId="0" xfId="0" applyFill="1" applyProtection="1">
      <protection locked="0"/>
    </xf>
    <xf numFmtId="0" fontId="7" fillId="3" borderId="0" xfId="0" applyFont="1" applyFill="1" applyProtection="1">
      <protection locked="0"/>
    </xf>
    <xf numFmtId="0" fontId="0" fillId="0" borderId="0" xfId="0" applyProtection="1">
      <protection locked="0"/>
    </xf>
    <xf numFmtId="0" fontId="8" fillId="3" borderId="0" xfId="0" applyFont="1" applyFill="1" applyProtection="1">
      <protection locked="0"/>
    </xf>
    <xf numFmtId="0" fontId="9" fillId="3" borderId="0" xfId="2" applyFont="1" applyFill="1" applyBorder="1" applyAlignment="1" applyProtection="1">
      <protection locked="0"/>
    </xf>
    <xf numFmtId="0" fontId="2" fillId="3" borderId="0" xfId="0" applyFont="1" applyFill="1" applyProtection="1">
      <protection locked="0"/>
    </xf>
    <xf numFmtId="0" fontId="9" fillId="3" borderId="19" xfId="2" applyFont="1" applyFill="1" applyBorder="1" applyAlignme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3" borderId="15" xfId="0" applyFont="1" applyFill="1" applyBorder="1" applyProtection="1">
      <protection locked="0"/>
    </xf>
    <xf numFmtId="0" fontId="2" fillId="3" borderId="51" xfId="0" applyFont="1" applyFill="1" applyBorder="1" applyProtection="1">
      <protection locked="0"/>
    </xf>
    <xf numFmtId="0" fontId="5" fillId="4" borderId="12" xfId="1" applyFont="1" applyFill="1" applyBorder="1" applyAlignment="1" applyProtection="1">
      <alignment vertical="center" wrapText="1"/>
      <protection locked="0"/>
    </xf>
    <xf numFmtId="0" fontId="5" fillId="4" borderId="23" xfId="1" applyFont="1" applyFill="1" applyBorder="1" applyAlignment="1" applyProtection="1">
      <protection locked="0"/>
    </xf>
    <xf numFmtId="0" fontId="5" fillId="4" borderId="44" xfId="1" applyFont="1" applyFill="1" applyBorder="1" applyProtection="1">
      <protection locked="0"/>
    </xf>
    <xf numFmtId="0" fontId="11" fillId="0" borderId="0" xfId="0" applyFont="1" applyProtection="1">
      <protection locked="0"/>
    </xf>
    <xf numFmtId="0" fontId="0" fillId="3" borderId="15" xfId="0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0" borderId="19" xfId="0" applyFont="1" applyBorder="1" applyProtection="1">
      <protection locked="0"/>
    </xf>
    <xf numFmtId="164" fontId="1" fillId="2" borderId="7" xfId="1" applyNumberFormat="1" applyBorder="1" applyProtection="1">
      <protection locked="0" hidden="1"/>
    </xf>
    <xf numFmtId="164" fontId="12" fillId="4" borderId="9" xfId="0" applyNumberFormat="1" applyFont="1" applyFill="1" applyBorder="1" applyProtection="1">
      <protection locked="0" hidden="1"/>
    </xf>
    <xf numFmtId="0" fontId="1" fillId="2" borderId="8" xfId="1" applyBorder="1" applyProtection="1">
      <protection locked="0" hidden="1"/>
    </xf>
    <xf numFmtId="0" fontId="1" fillId="2" borderId="34" xfId="1" applyBorder="1" applyProtection="1">
      <protection locked="0" hidden="1"/>
    </xf>
    <xf numFmtId="0" fontId="1" fillId="2" borderId="50" xfId="1" applyBorder="1" applyProtection="1">
      <protection locked="0" hidden="1"/>
    </xf>
    <xf numFmtId="0" fontId="5" fillId="4" borderId="25" xfId="1" applyFont="1" applyFill="1" applyBorder="1" applyAlignment="1" applyProtection="1">
      <alignment horizontal="left" vertical="center"/>
    </xf>
    <xf numFmtId="0" fontId="5" fillId="4" borderId="14" xfId="1" applyFont="1" applyFill="1" applyBorder="1" applyProtection="1"/>
    <xf numFmtId="0" fontId="5" fillId="4" borderId="36" xfId="1" applyFont="1" applyFill="1" applyBorder="1" applyAlignment="1" applyProtection="1">
      <alignment vertical="center" wrapText="1"/>
    </xf>
    <xf numFmtId="0" fontId="5" fillId="4" borderId="37" xfId="1" applyFont="1" applyFill="1" applyBorder="1" applyAlignment="1" applyProtection="1">
      <alignment vertical="center" wrapText="1"/>
    </xf>
    <xf numFmtId="0" fontId="3" fillId="4" borderId="10" xfId="1" applyFont="1" applyFill="1" applyBorder="1" applyProtection="1"/>
    <xf numFmtId="0" fontId="3" fillId="4" borderId="2" xfId="1" applyFont="1" applyFill="1" applyBorder="1" applyProtection="1"/>
    <xf numFmtId="0" fontId="5" fillId="4" borderId="12" xfId="1" applyFont="1" applyFill="1" applyBorder="1" applyAlignment="1" applyProtection="1">
      <alignment horizontal="center"/>
    </xf>
    <xf numFmtId="0" fontId="5" fillId="4" borderId="12" xfId="1" applyFont="1" applyFill="1" applyBorder="1" applyProtection="1"/>
    <xf numFmtId="0" fontId="5" fillId="4" borderId="45" xfId="1" applyFont="1" applyFill="1" applyBorder="1" applyAlignment="1" applyProtection="1"/>
    <xf numFmtId="0" fontId="5" fillId="4" borderId="40" xfId="1" applyFont="1" applyFill="1" applyBorder="1" applyProtection="1"/>
    <xf numFmtId="0" fontId="5" fillId="4" borderId="2" xfId="1" applyFont="1" applyFill="1" applyBorder="1" applyAlignment="1" applyProtection="1">
      <alignment horizontal="center" vertical="center"/>
    </xf>
    <xf numFmtId="0" fontId="5" fillId="4" borderId="2" xfId="1" quotePrefix="1" applyFont="1" applyFill="1" applyBorder="1" applyAlignment="1" applyProtection="1">
      <alignment horizontal="center" vertical="center"/>
    </xf>
    <xf numFmtId="0" fontId="5" fillId="4" borderId="2" xfId="1" applyFont="1" applyFill="1" applyBorder="1" applyAlignment="1" applyProtection="1">
      <alignment horizontal="center"/>
    </xf>
    <xf numFmtId="165" fontId="13" fillId="0" borderId="10" xfId="0" applyNumberFormat="1" applyFont="1" applyBorder="1" applyProtection="1">
      <protection locked="0"/>
    </xf>
    <xf numFmtId="166" fontId="13" fillId="0" borderId="2" xfId="0" applyNumberFormat="1" applyFont="1" applyBorder="1" applyProtection="1">
      <protection locked="0"/>
    </xf>
    <xf numFmtId="165" fontId="13" fillId="0" borderId="2" xfId="0" applyNumberFormat="1" applyFont="1" applyBorder="1" applyProtection="1">
      <protection locked="0"/>
    </xf>
    <xf numFmtId="0" fontId="13" fillId="0" borderId="2" xfId="0" applyFont="1" applyBorder="1" applyProtection="1">
      <protection locked="0"/>
    </xf>
    <xf numFmtId="0" fontId="13" fillId="0" borderId="31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165" fontId="13" fillId="0" borderId="24" xfId="0" applyNumberFormat="1" applyFont="1" applyBorder="1" applyProtection="1">
      <protection locked="0"/>
    </xf>
    <xf numFmtId="166" fontId="13" fillId="0" borderId="18" xfId="0" applyNumberFormat="1" applyFont="1" applyBorder="1" applyProtection="1">
      <protection locked="0"/>
    </xf>
    <xf numFmtId="165" fontId="13" fillId="0" borderId="18" xfId="0" applyNumberFormat="1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Protection="1">
      <protection locked="0"/>
    </xf>
    <xf numFmtId="0" fontId="13" fillId="3" borderId="50" xfId="0" applyFont="1" applyFill="1" applyBorder="1" applyProtection="1">
      <protection locked="0"/>
    </xf>
    <xf numFmtId="0" fontId="13" fillId="3" borderId="34" xfId="0" applyFont="1" applyFill="1" applyBorder="1" applyProtection="1">
      <protection locked="0"/>
    </xf>
    <xf numFmtId="0" fontId="5" fillId="4" borderId="23" xfId="1" applyFont="1" applyFill="1" applyBorder="1" applyAlignment="1" applyProtection="1">
      <alignment horizontal="center"/>
    </xf>
    <xf numFmtId="0" fontId="2" fillId="3" borderId="19" xfId="0" applyFont="1" applyFill="1" applyBorder="1" applyProtection="1">
      <protection locked="0"/>
    </xf>
    <xf numFmtId="0" fontId="2" fillId="0" borderId="20" xfId="0" applyFont="1" applyBorder="1" applyProtection="1">
      <protection locked="0"/>
    </xf>
    <xf numFmtId="0" fontId="5" fillId="4" borderId="44" xfId="1" applyFont="1" applyFill="1" applyBorder="1" applyAlignment="1" applyProtection="1"/>
    <xf numFmtId="0" fontId="11" fillId="4" borderId="44" xfId="0" applyFont="1" applyFill="1" applyBorder="1"/>
    <xf numFmtId="0" fontId="5" fillId="4" borderId="12" xfId="1" applyFont="1" applyFill="1" applyBorder="1" applyProtection="1">
      <protection locked="0"/>
    </xf>
    <xf numFmtId="49" fontId="2" fillId="3" borderId="2" xfId="0" applyNumberFormat="1" applyFont="1" applyFill="1" applyBorder="1" applyProtection="1"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0" fontId="0" fillId="0" borderId="33" xfId="0" applyBorder="1" applyProtection="1">
      <protection locked="0"/>
    </xf>
    <xf numFmtId="0" fontId="11" fillId="0" borderId="2" xfId="0" applyFont="1" applyBorder="1"/>
    <xf numFmtId="0" fontId="1" fillId="2" borderId="34" xfId="1" applyBorder="1" applyProtection="1">
      <protection hidden="1"/>
    </xf>
    <xf numFmtId="0" fontId="5" fillId="4" borderId="45" xfId="1" applyFont="1" applyFill="1" applyBorder="1" applyProtection="1"/>
    <xf numFmtId="0" fontId="15" fillId="2" borderId="48" xfId="1" applyFont="1" applyBorder="1" applyProtection="1">
      <protection locked="0"/>
    </xf>
    <xf numFmtId="0" fontId="5" fillId="4" borderId="35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 applyProtection="1">
      <protection locked="0"/>
    </xf>
    <xf numFmtId="0" fontId="1" fillId="0" borderId="34" xfId="1" applyFill="1" applyBorder="1" applyProtection="1">
      <protection locked="0" hidden="1"/>
    </xf>
    <xf numFmtId="164" fontId="1" fillId="3" borderId="31" xfId="1" applyNumberFormat="1" applyFill="1" applyBorder="1" applyProtection="1">
      <protection locked="0" hidden="1"/>
    </xf>
    <xf numFmtId="164" fontId="1" fillId="3" borderId="10" xfId="1" applyNumberFormat="1" applyFill="1" applyBorder="1" applyProtection="1">
      <protection locked="0" hidden="1"/>
    </xf>
    <xf numFmtId="0" fontId="1" fillId="3" borderId="50" xfId="1" applyFill="1" applyBorder="1" applyProtection="1">
      <protection locked="0" hidden="1"/>
    </xf>
    <xf numFmtId="0" fontId="1" fillId="3" borderId="34" xfId="1" applyFill="1" applyBorder="1" applyProtection="1">
      <protection locked="0" hidden="1"/>
    </xf>
    <xf numFmtId="0" fontId="11" fillId="3" borderId="0" xfId="0" applyFont="1" applyFill="1"/>
    <xf numFmtId="0" fontId="11" fillId="3" borderId="53" xfId="0" applyFont="1" applyFill="1" applyBorder="1" applyAlignment="1">
      <alignment horizontal="center"/>
    </xf>
    <xf numFmtId="0" fontId="13" fillId="3" borderId="3" xfId="0" applyFont="1" applyFill="1" applyBorder="1" applyAlignment="1" applyProtection="1">
      <alignment horizontal="center"/>
      <protection locked="0"/>
    </xf>
    <xf numFmtId="0" fontId="11" fillId="3" borderId="52" xfId="0" applyFont="1" applyFill="1" applyBorder="1" applyAlignment="1" applyProtection="1">
      <alignment horizontal="center"/>
      <protection locked="0"/>
    </xf>
    <xf numFmtId="0" fontId="11" fillId="3" borderId="54" xfId="0" applyFont="1" applyFill="1" applyBorder="1"/>
    <xf numFmtId="0" fontId="11" fillId="3" borderId="47" xfId="0" applyFont="1" applyFill="1" applyBorder="1" applyAlignment="1">
      <alignment horizontal="center"/>
    </xf>
    <xf numFmtId="165" fontId="13" fillId="3" borderId="21" xfId="0" applyNumberFormat="1" applyFont="1" applyFill="1" applyBorder="1" applyProtection="1">
      <protection locked="0"/>
    </xf>
    <xf numFmtId="165" fontId="13" fillId="3" borderId="22" xfId="0" applyNumberFormat="1" applyFont="1" applyFill="1" applyBorder="1" applyProtection="1">
      <protection locked="0"/>
    </xf>
    <xf numFmtId="0" fontId="0" fillId="3" borderId="0" xfId="0" applyFill="1"/>
    <xf numFmtId="0" fontId="11" fillId="3" borderId="50" xfId="0" applyFont="1" applyFill="1" applyBorder="1"/>
    <xf numFmtId="0" fontId="11" fillId="3" borderId="50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/>
    </xf>
    <xf numFmtId="0" fontId="5" fillId="0" borderId="32" xfId="1" applyFont="1" applyFill="1" applyBorder="1" applyAlignment="1" applyProtection="1">
      <alignment horizontal="center"/>
    </xf>
    <xf numFmtId="0" fontId="11" fillId="3" borderId="10" xfId="0" applyFont="1" applyFill="1" applyBorder="1" applyAlignment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" xfId="0" applyFont="1" applyBorder="1" applyAlignment="1" applyProtection="1">
      <alignment wrapText="1"/>
      <protection locked="0"/>
    </xf>
    <xf numFmtId="0" fontId="13" fillId="0" borderId="33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38" xfId="0" applyFont="1" applyBorder="1" applyAlignment="1" applyProtection="1">
      <alignment wrapText="1"/>
      <protection locked="0"/>
    </xf>
    <xf numFmtId="0" fontId="5" fillId="4" borderId="12" xfId="1" applyFont="1" applyFill="1" applyBorder="1" applyAlignment="1" applyProtection="1">
      <alignment vertical="center" wrapText="1"/>
    </xf>
    <xf numFmtId="14" fontId="0" fillId="3" borderId="21" xfId="0" applyNumberFormat="1" applyFill="1" applyBorder="1" applyProtection="1">
      <protection locked="0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5" borderId="0" xfId="0" applyFont="1" applyFill="1"/>
    <xf numFmtId="0" fontId="22" fillId="5" borderId="0" xfId="0" applyFont="1" applyFill="1" applyAlignment="1">
      <alignment horizontal="center"/>
    </xf>
    <xf numFmtId="168" fontId="0" fillId="0" borderId="0" xfId="0" applyNumberFormat="1" applyAlignment="1">
      <alignment horizontal="left"/>
    </xf>
    <xf numFmtId="4" fontId="0" fillId="0" borderId="0" xfId="0" applyNumberFormat="1"/>
    <xf numFmtId="0" fontId="23" fillId="0" borderId="0" xfId="0" applyFont="1" applyAlignment="1">
      <alignment horizontal="center"/>
    </xf>
    <xf numFmtId="4" fontId="21" fillId="0" borderId="0" xfId="0" applyNumberFormat="1" applyFont="1" applyAlignment="1">
      <alignment horizontal="right"/>
    </xf>
    <xf numFmtId="2" fontId="0" fillId="0" borderId="0" xfId="0" applyNumberFormat="1"/>
    <xf numFmtId="169" fontId="0" fillId="0" borderId="0" xfId="0" applyNumberFormat="1" applyAlignment="1">
      <alignment horizontal="left"/>
    </xf>
    <xf numFmtId="169" fontId="0" fillId="0" borderId="0" xfId="0" applyNumberFormat="1"/>
    <xf numFmtId="0" fontId="24" fillId="0" borderId="0" xfId="0" applyFont="1"/>
    <xf numFmtId="0" fontId="0" fillId="0" borderId="0" xfId="0" applyAlignment="1">
      <alignment horizontal="left"/>
    </xf>
    <xf numFmtId="0" fontId="20" fillId="0" borderId="0" xfId="0" applyFont="1"/>
    <xf numFmtId="14" fontId="0" fillId="0" borderId="0" xfId="0" applyNumberFormat="1" applyAlignment="1">
      <alignment horizontal="left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16" xfId="0" applyFill="1" applyBorder="1" applyAlignment="1" applyProtection="1">
      <alignment horizontal="center"/>
      <protection locked="0"/>
    </xf>
    <xf numFmtId="0" fontId="0" fillId="3" borderId="30" xfId="0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/>
      <protection locked="0"/>
    </xf>
    <xf numFmtId="0" fontId="0" fillId="3" borderId="20" xfId="0" applyFill="1" applyBorder="1" applyAlignment="1" applyProtection="1">
      <alignment horizontal="center"/>
      <protection locked="0"/>
    </xf>
    <xf numFmtId="0" fontId="13" fillId="3" borderId="5" xfId="0" applyFont="1" applyFill="1" applyBorder="1" applyAlignment="1" applyProtection="1">
      <alignment horizontal="center"/>
      <protection locked="0"/>
    </xf>
    <xf numFmtId="0" fontId="13" fillId="3" borderId="16" xfId="0" applyFont="1" applyFill="1" applyBorder="1" applyAlignment="1" applyProtection="1">
      <alignment horizontal="center"/>
      <protection locked="0"/>
    </xf>
    <xf numFmtId="0" fontId="13" fillId="3" borderId="30" xfId="0" applyFont="1" applyFill="1" applyBorder="1" applyAlignment="1" applyProtection="1">
      <alignment horizontal="center"/>
      <protection locked="0"/>
    </xf>
    <xf numFmtId="0" fontId="13" fillId="3" borderId="20" xfId="0" applyFont="1" applyFill="1" applyBorder="1" applyAlignment="1" applyProtection="1">
      <alignment horizontal="center"/>
      <protection locked="0"/>
    </xf>
    <xf numFmtId="0" fontId="5" fillId="4" borderId="11" xfId="1" applyFont="1" applyFill="1" applyBorder="1" applyAlignment="1" applyProtection="1">
      <alignment horizontal="left"/>
    </xf>
    <xf numFmtId="0" fontId="5" fillId="4" borderId="13" xfId="1" applyFont="1" applyFill="1" applyBorder="1" applyAlignment="1" applyProtection="1">
      <alignment horizontal="left"/>
    </xf>
    <xf numFmtId="0" fontId="5" fillId="4" borderId="14" xfId="1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10" xfId="0" applyFont="1" applyBorder="1" applyAlignment="1" applyProtection="1">
      <alignment wrapText="1"/>
      <protection locked="0"/>
    </xf>
    <xf numFmtId="0" fontId="5" fillId="4" borderId="45" xfId="1" applyFont="1" applyFill="1" applyBorder="1" applyAlignment="1" applyProtection="1">
      <alignment horizontal="center" vertical="center"/>
    </xf>
    <xf numFmtId="0" fontId="5" fillId="4" borderId="23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5" fillId="4" borderId="45" xfId="1" applyFont="1" applyFill="1" applyBorder="1" applyAlignment="1" applyProtection="1">
      <alignment horizontal="left"/>
    </xf>
    <xf numFmtId="0" fontId="5" fillId="4" borderId="44" xfId="1" applyFont="1" applyFill="1" applyBorder="1" applyAlignment="1" applyProtection="1">
      <alignment horizontal="left"/>
    </xf>
    <xf numFmtId="0" fontId="5" fillId="0" borderId="44" xfId="1" applyFont="1" applyFill="1" applyBorder="1" applyAlignment="1" applyProtection="1">
      <alignment horizontal="center"/>
      <protection locked="0"/>
    </xf>
    <xf numFmtId="0" fontId="5" fillId="0" borderId="23" xfId="1" applyFont="1" applyFill="1" applyBorder="1" applyAlignment="1" applyProtection="1">
      <alignment horizontal="center"/>
      <protection locked="0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1" fontId="13" fillId="0" borderId="19" xfId="0" applyNumberFormat="1" applyFont="1" applyBorder="1" applyAlignment="1" applyProtection="1">
      <alignment horizontal="center" vertical="center"/>
      <protection locked="0"/>
    </xf>
    <xf numFmtId="1" fontId="13" fillId="0" borderId="20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center" vertical="center"/>
      <protection locked="0"/>
    </xf>
    <xf numFmtId="0" fontId="11" fillId="0" borderId="2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0" xfId="2" applyFont="1" applyFill="1" applyBorder="1" applyAlignment="1" applyProtection="1">
      <alignment vertical="center"/>
      <protection locked="0"/>
    </xf>
    <xf numFmtId="0" fontId="6" fillId="3" borderId="19" xfId="2" applyFont="1" applyFill="1" applyBorder="1" applyAlignment="1" applyProtection="1">
      <alignment vertical="center"/>
      <protection locked="0"/>
    </xf>
    <xf numFmtId="0" fontId="11" fillId="3" borderId="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1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3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31" xfId="0" applyFont="1" applyBorder="1"/>
    <xf numFmtId="0" fontId="11" fillId="0" borderId="10" xfId="0" applyFont="1" applyBorder="1"/>
    <xf numFmtId="164" fontId="14" fillId="3" borderId="31" xfId="0" applyNumberFormat="1" applyFont="1" applyFill="1" applyBorder="1" applyProtection="1">
      <protection locked="0"/>
    </xf>
    <xf numFmtId="164" fontId="14" fillId="3" borderId="10" xfId="0" applyNumberFormat="1" applyFont="1" applyFill="1" applyBorder="1" applyProtection="1">
      <protection locked="0"/>
    </xf>
    <xf numFmtId="164" fontId="1" fillId="2" borderId="31" xfId="1" applyNumberFormat="1" applyBorder="1" applyProtection="1">
      <protection hidden="1"/>
    </xf>
    <xf numFmtId="164" fontId="1" fillId="2" borderId="10" xfId="1" applyNumberFormat="1" applyBorder="1" applyProtection="1">
      <protection hidden="1"/>
    </xf>
    <xf numFmtId="0" fontId="13" fillId="3" borderId="31" xfId="0" applyFont="1" applyFill="1" applyBorder="1" applyProtection="1">
      <protection locked="0"/>
    </xf>
    <xf numFmtId="0" fontId="13" fillId="3" borderId="10" xfId="0" applyFont="1" applyFill="1" applyBorder="1" applyProtection="1">
      <protection locked="0"/>
    </xf>
    <xf numFmtId="0" fontId="11" fillId="0" borderId="39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53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6" fillId="3" borderId="0" xfId="2" applyFont="1" applyFill="1" applyBorder="1" applyAlignment="1" applyProtection="1">
      <alignment horizontal="center"/>
      <protection locked="0"/>
    </xf>
    <xf numFmtId="0" fontId="6" fillId="3" borderId="19" xfId="2" applyFont="1" applyFill="1" applyBorder="1" applyAlignment="1" applyProtection="1">
      <alignment horizontal="center"/>
      <protection locked="0"/>
    </xf>
    <xf numFmtId="0" fontId="9" fillId="3" borderId="0" xfId="2" applyFont="1" applyFill="1" applyBorder="1" applyAlignment="1" applyProtection="1">
      <alignment horizontal="center" vertical="center"/>
    </xf>
    <xf numFmtId="0" fontId="9" fillId="3" borderId="16" xfId="2" applyFont="1" applyFill="1" applyBorder="1" applyAlignment="1" applyProtection="1">
      <alignment horizontal="center" vertical="center"/>
    </xf>
    <xf numFmtId="0" fontId="9" fillId="3" borderId="19" xfId="2" applyFont="1" applyFill="1" applyBorder="1" applyAlignment="1" applyProtection="1">
      <alignment horizontal="center" vertical="center"/>
    </xf>
    <xf numFmtId="0" fontId="9" fillId="3" borderId="20" xfId="2" applyFont="1" applyFill="1" applyBorder="1" applyAlignment="1" applyProtection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17" xfId="0" applyFont="1" applyBorder="1" applyAlignment="1" applyProtection="1">
      <alignment horizontal="center"/>
      <protection locked="0"/>
    </xf>
    <xf numFmtId="0" fontId="13" fillId="0" borderId="20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49" fontId="19" fillId="0" borderId="17" xfId="3" applyNumberFormat="1" applyBorder="1" applyAlignment="1" applyProtection="1">
      <alignment horizontal="left"/>
      <protection locked="0"/>
    </xf>
    <xf numFmtId="49" fontId="13" fillId="0" borderId="19" xfId="0" applyNumberFormat="1" applyFont="1" applyBorder="1" applyAlignment="1" applyProtection="1">
      <alignment horizontal="left"/>
      <protection locked="0"/>
    </xf>
    <xf numFmtId="49" fontId="13" fillId="0" borderId="20" xfId="0" applyNumberFormat="1" applyFont="1" applyBorder="1" applyAlignment="1" applyProtection="1">
      <alignment horizontal="left"/>
      <protection locked="0"/>
    </xf>
    <xf numFmtId="0" fontId="5" fillId="4" borderId="11" xfId="1" applyFont="1" applyFill="1" applyBorder="1" applyAlignment="1" applyProtection="1">
      <alignment horizontal="center"/>
    </xf>
    <xf numFmtId="0" fontId="5" fillId="4" borderId="14" xfId="1" applyFont="1" applyFill="1" applyBorder="1" applyAlignment="1" applyProtection="1">
      <alignment horizontal="center"/>
    </xf>
    <xf numFmtId="0" fontId="5" fillId="4" borderId="13" xfId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 wrapText="1"/>
      <protection locked="0"/>
    </xf>
    <xf numFmtId="0" fontId="5" fillId="3" borderId="16" xfId="1" applyFont="1" applyFill="1" applyBorder="1" applyAlignment="1" applyProtection="1">
      <alignment horizontal="center" wrapText="1"/>
      <protection locked="0"/>
    </xf>
    <xf numFmtId="0" fontId="5" fillId="3" borderId="19" xfId="1" applyFont="1" applyFill="1" applyBorder="1" applyAlignment="1" applyProtection="1">
      <alignment horizontal="center" wrapText="1"/>
      <protection locked="0"/>
    </xf>
    <xf numFmtId="0" fontId="5" fillId="3" borderId="20" xfId="1" applyFont="1" applyFill="1" applyBorder="1" applyAlignment="1" applyProtection="1">
      <alignment horizontal="center" wrapText="1"/>
      <protection locked="0"/>
    </xf>
    <xf numFmtId="0" fontId="19" fillId="3" borderId="57" xfId="3" applyFill="1" applyBorder="1" applyAlignment="1" applyProtection="1">
      <alignment horizontal="center"/>
      <protection locked="0"/>
    </xf>
    <xf numFmtId="0" fontId="5" fillId="3" borderId="3" xfId="1" applyFont="1" applyFill="1" applyBorder="1" applyAlignment="1" applyProtection="1">
      <alignment horizontal="center"/>
      <protection locked="0"/>
    </xf>
    <xf numFmtId="0" fontId="5" fillId="3" borderId="17" xfId="1" applyFont="1" applyFill="1" applyBorder="1" applyAlignment="1" applyProtection="1">
      <alignment horizontal="center"/>
      <protection locked="0"/>
    </xf>
    <xf numFmtId="0" fontId="5" fillId="3" borderId="19" xfId="1" applyFont="1" applyFill="1" applyBorder="1" applyAlignment="1" applyProtection="1">
      <alignment horizontal="center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4" xfId="0" applyFont="1" applyBorder="1" applyAlignment="1" applyProtection="1">
      <alignment wrapText="1"/>
      <protection locked="0"/>
    </xf>
    <xf numFmtId="0" fontId="5" fillId="4" borderId="36" xfId="1" applyFont="1" applyFill="1" applyBorder="1" applyAlignment="1" applyProtection="1">
      <alignment horizontal="left"/>
    </xf>
    <xf numFmtId="165" fontId="13" fillId="3" borderId="6" xfId="0" applyNumberFormat="1" applyFont="1" applyFill="1" applyBorder="1" applyAlignment="1" applyProtection="1">
      <alignment horizontal="center"/>
      <protection locked="0"/>
    </xf>
    <xf numFmtId="165" fontId="13" fillId="3" borderId="46" xfId="0" applyNumberFormat="1" applyFont="1" applyFill="1" applyBorder="1" applyAlignment="1" applyProtection="1">
      <alignment horizontal="center"/>
      <protection locked="0"/>
    </xf>
    <xf numFmtId="0" fontId="13" fillId="3" borderId="47" xfId="0" applyFont="1" applyFill="1" applyBorder="1" applyAlignment="1" applyProtection="1">
      <alignment horizontal="center"/>
      <protection locked="0"/>
    </xf>
    <xf numFmtId="0" fontId="13" fillId="3" borderId="48" xfId="0" applyFont="1" applyFill="1" applyBorder="1" applyAlignment="1" applyProtection="1">
      <alignment horizontal="center"/>
      <protection locked="0"/>
    </xf>
    <xf numFmtId="0" fontId="5" fillId="4" borderId="55" xfId="1" applyFont="1" applyFill="1" applyBorder="1" applyAlignment="1" applyProtection="1">
      <alignment horizontal="center"/>
    </xf>
    <xf numFmtId="0" fontId="5" fillId="4" borderId="8" xfId="1" applyFont="1" applyFill="1" applyBorder="1" applyAlignment="1" applyProtection="1">
      <alignment horizontal="center"/>
    </xf>
    <xf numFmtId="0" fontId="5" fillId="4" borderId="56" xfId="1" applyFont="1" applyFill="1" applyBorder="1" applyAlignment="1" applyProtection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50" xfId="0" applyFont="1" applyBorder="1"/>
    <xf numFmtId="0" fontId="13" fillId="0" borderId="0" xfId="0" applyFont="1" applyAlignment="1" applyProtection="1">
      <alignment horizontal="center"/>
      <protection locked="0"/>
    </xf>
    <xf numFmtId="165" fontId="13" fillId="3" borderId="15" xfId="0" applyNumberFormat="1" applyFont="1" applyFill="1" applyBorder="1" applyAlignment="1" applyProtection="1">
      <alignment horizontal="center"/>
      <protection locked="0"/>
    </xf>
    <xf numFmtId="165" fontId="13" fillId="3" borderId="17" xfId="0" applyNumberFormat="1" applyFont="1" applyFill="1" applyBorder="1" applyAlignment="1" applyProtection="1">
      <alignment horizontal="center"/>
      <protection locked="0"/>
    </xf>
    <xf numFmtId="0" fontId="5" fillId="4" borderId="15" xfId="1" applyFont="1" applyFill="1" applyBorder="1" applyAlignment="1" applyProtection="1">
      <alignment horizontal="center"/>
    </xf>
    <xf numFmtId="0" fontId="5" fillId="4" borderId="0" xfId="1" applyFont="1" applyFill="1" applyBorder="1" applyAlignment="1" applyProtection="1">
      <alignment horizontal="center"/>
    </xf>
    <xf numFmtId="0" fontId="5" fillId="4" borderId="16" xfId="1" applyFont="1" applyFill="1" applyBorder="1" applyAlignment="1" applyProtection="1">
      <alignment horizontal="center"/>
    </xf>
    <xf numFmtId="0" fontId="10" fillId="0" borderId="3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5" fillId="4" borderId="43" xfId="1" applyFont="1" applyFill="1" applyBorder="1" applyAlignment="1" applyProtection="1">
      <alignment horizontal="center"/>
    </xf>
    <xf numFmtId="0" fontId="5" fillId="4" borderId="44" xfId="1" applyFont="1" applyFill="1" applyBorder="1" applyAlignment="1" applyProtection="1">
      <alignment horizontal="center"/>
    </xf>
    <xf numFmtId="0" fontId="5" fillId="4" borderId="23" xfId="1" applyFont="1" applyFill="1" applyBorder="1" applyAlignment="1" applyProtection="1">
      <alignment horizontal="center"/>
    </xf>
    <xf numFmtId="0" fontId="21" fillId="0" borderId="0" xfId="0" applyFont="1"/>
    <xf numFmtId="0" fontId="0" fillId="0" borderId="0" xfId="0"/>
    <xf numFmtId="167" fontId="21" fillId="0" borderId="0" xfId="0" applyNumberFormat="1" applyFont="1"/>
    <xf numFmtId="16" fontId="0" fillId="0" borderId="0" xfId="0" applyNumberFormat="1"/>
    <xf numFmtId="0" fontId="25" fillId="0" borderId="0" xfId="4"/>
    <xf numFmtId="168" fontId="25" fillId="0" borderId="0" xfId="4" applyNumberFormat="1" applyAlignment="1">
      <alignment horizontal="left"/>
    </xf>
    <xf numFmtId="4" fontId="25" fillId="0" borderId="0" xfId="4" applyNumberFormat="1"/>
  </cellXfs>
  <cellStyles count="5">
    <cellStyle name="God" xfId="1" builtinId="26"/>
    <cellStyle name="Hyperkobling" xfId="3" builtinId="8"/>
    <cellStyle name="Normal" xfId="0" builtinId="0"/>
    <cellStyle name="Normal 2" xfId="4" xr:uid="{F0E3B1F4-4150-4460-8790-F5E904826C09}"/>
    <cellStyle name="Tittel" xfId="2" builtinId="15"/>
  </cellStyles>
  <dxfs count="0"/>
  <tableStyles count="0" defaultTableStyle="TableStyleMedium2" defaultPivotStyle="PivotStyleLight16"/>
  <colors>
    <mruColors>
      <color rgb="FFCCFFCC"/>
      <color rgb="FF6D8838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32658</xdr:colOff>
      <xdr:row>44</xdr:row>
      <xdr:rowOff>65316</xdr:rowOff>
    </xdr:from>
    <xdr:to>
      <xdr:col>11</xdr:col>
      <xdr:colOff>304802</xdr:colOff>
      <xdr:row>44</xdr:row>
      <xdr:rowOff>111035</xdr:rowOff>
    </xdr:to>
    <xdr:sp macro="" textlink="">
      <xdr:nvSpPr>
        <xdr:cNvPr id="3" name="Pil høy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86644" y="8632373"/>
          <a:ext cx="3211287" cy="45719"/>
        </a:xfrm>
        <a:prstGeom prst="rightArrow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0</xdr:colOff>
      <xdr:row>9</xdr:row>
      <xdr:rowOff>19050</xdr:rowOff>
    </xdr:from>
    <xdr:to>
      <xdr:col>6</xdr:col>
      <xdr:colOff>200025</xdr:colOff>
      <xdr:row>12</xdr:row>
      <xdr:rowOff>85725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A219DEE-052C-7E59-C772-A41ADDA8B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6</xdr:col>
      <xdr:colOff>171450</xdr:colOff>
      <xdr:row>2</xdr:row>
      <xdr:rowOff>174001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E6426DC8-DE32-8CC0-BD86-0E523D88D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3</xdr:row>
      <xdr:rowOff>9525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088207FE-CFCD-AF22-441C-2CB685AF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view="pageBreakPreview" topLeftCell="A13" zoomScaleNormal="100" zoomScaleSheetLayoutView="100" workbookViewId="0">
      <selection activeCell="M45" sqref="M45"/>
    </sheetView>
  </sheetViews>
  <sheetFormatPr baseColWidth="10" defaultColWidth="9.140625" defaultRowHeight="15"/>
  <cols>
    <col min="1" max="1" width="2" style="3" customWidth="1"/>
    <col min="2" max="2" width="1.140625" style="3" hidden="1" customWidth="1"/>
    <col min="3" max="3" width="10.5703125" style="3" customWidth="1"/>
    <col min="4" max="6" width="7.7109375" style="3" customWidth="1"/>
    <col min="7" max="7" width="7.28515625" style="3" customWidth="1"/>
    <col min="8" max="8" width="6.5703125" style="3" customWidth="1"/>
    <col min="9" max="9" width="7.28515625" style="3" customWidth="1"/>
    <col min="10" max="10" width="15.5703125" style="3" customWidth="1"/>
    <col min="11" max="11" width="7.28515625" style="3" hidden="1" customWidth="1"/>
    <col min="12" max="12" width="7.85546875" style="3" customWidth="1"/>
    <col min="13" max="13" width="15.42578125" style="3" customWidth="1"/>
    <col min="14" max="14" width="2" style="3" customWidth="1"/>
    <col min="15" max="15" width="36.85546875" style="3" customWidth="1"/>
    <col min="16" max="16" width="24.28515625" style="3" bestFit="1" customWidth="1"/>
    <col min="17" max="16384" width="9.140625" style="3"/>
  </cols>
  <sheetData>
    <row r="1" spans="1:14" ht="6.75" customHeight="1" thickBot="1">
      <c r="A1" s="1"/>
      <c r="B1" s="1"/>
      <c r="C1" s="1"/>
      <c r="D1" s="1"/>
      <c r="E1" s="2"/>
      <c r="F1" s="2"/>
      <c r="G1" s="2"/>
      <c r="H1" s="1"/>
      <c r="I1" s="1"/>
      <c r="J1" s="1"/>
      <c r="K1" s="1"/>
      <c r="L1" s="1"/>
      <c r="M1" s="1"/>
      <c r="N1" s="1"/>
    </row>
    <row r="2" spans="1:14" ht="15" customHeight="1">
      <c r="A2" s="1"/>
      <c r="B2" s="1"/>
      <c r="C2" s="146"/>
      <c r="D2" s="180"/>
      <c r="E2" s="4"/>
      <c r="G2" s="5"/>
      <c r="H2" s="182" t="s">
        <v>56</v>
      </c>
      <c r="I2" s="182"/>
      <c r="J2" s="182"/>
      <c r="K2" s="182"/>
      <c r="L2" s="183"/>
      <c r="M2" s="24" t="s">
        <v>2</v>
      </c>
      <c r="N2" s="6"/>
    </row>
    <row r="3" spans="1:14" ht="15.75" customHeight="1" thickBot="1">
      <c r="B3" s="1"/>
      <c r="C3" s="147"/>
      <c r="D3" s="181"/>
      <c r="E3" s="6"/>
      <c r="F3" s="7"/>
      <c r="G3" s="7"/>
      <c r="H3" s="184"/>
      <c r="I3" s="184"/>
      <c r="J3" s="184"/>
      <c r="K3" s="184"/>
      <c r="L3" s="185"/>
      <c r="M3" s="47"/>
      <c r="N3" s="6"/>
    </row>
    <row r="4" spans="1:14" ht="15.75" customHeight="1">
      <c r="A4" s="1"/>
      <c r="B4" s="1"/>
      <c r="C4" s="120" t="s">
        <v>0</v>
      </c>
      <c r="D4" s="121"/>
      <c r="E4" s="122"/>
      <c r="F4" s="120" t="s">
        <v>1</v>
      </c>
      <c r="G4" s="121"/>
      <c r="H4" s="121"/>
      <c r="I4" s="121"/>
      <c r="J4" s="121"/>
      <c r="K4" s="121"/>
      <c r="L4" s="122"/>
      <c r="M4" s="25" t="s">
        <v>55</v>
      </c>
      <c r="N4" s="6"/>
    </row>
    <row r="5" spans="1:14" ht="18.75" customHeight="1" thickBot="1">
      <c r="A5" s="1"/>
      <c r="B5" s="1"/>
      <c r="C5" s="132">
        <v>15046537561</v>
      </c>
      <c r="D5" s="133"/>
      <c r="E5" s="134"/>
      <c r="F5" s="135" t="s">
        <v>57</v>
      </c>
      <c r="G5" s="136"/>
      <c r="H5" s="136"/>
      <c r="I5" s="136"/>
      <c r="J5" s="136"/>
      <c r="K5" s="136"/>
      <c r="L5" s="137"/>
      <c r="M5" s="46" t="s">
        <v>58</v>
      </c>
      <c r="N5" s="6"/>
    </row>
    <row r="6" spans="1:14" ht="3" customHeight="1" thickBot="1">
      <c r="A6" s="1"/>
      <c r="B6" s="1"/>
      <c r="C6" s="8"/>
      <c r="D6" s="9"/>
      <c r="E6" s="9"/>
      <c r="F6" s="9"/>
      <c r="G6" s="9"/>
      <c r="H6" s="9"/>
      <c r="I6" s="9"/>
      <c r="J6" s="9"/>
      <c r="K6" s="9"/>
      <c r="L6" s="9"/>
      <c r="M6" s="8"/>
      <c r="N6" s="6"/>
    </row>
    <row r="7" spans="1:14">
      <c r="A7" s="1"/>
      <c r="B7" s="1"/>
      <c r="C7" s="120" t="s">
        <v>3</v>
      </c>
      <c r="D7" s="121"/>
      <c r="E7" s="121"/>
      <c r="F7" s="122"/>
      <c r="G7" s="194" t="s">
        <v>32</v>
      </c>
      <c r="H7" s="195"/>
      <c r="I7" s="194" t="s">
        <v>33</v>
      </c>
      <c r="J7" s="195"/>
      <c r="K7" s="196" t="s">
        <v>36</v>
      </c>
      <c r="L7" s="196"/>
      <c r="M7" s="195"/>
      <c r="N7" s="10"/>
    </row>
    <row r="8" spans="1:14" ht="17.25" customHeight="1" thickBot="1">
      <c r="A8" s="1"/>
      <c r="B8" s="1"/>
      <c r="C8" s="191" t="s">
        <v>59</v>
      </c>
      <c r="D8" s="192"/>
      <c r="E8" s="192"/>
      <c r="F8" s="193"/>
      <c r="G8" s="188">
        <v>1555</v>
      </c>
      <c r="H8" s="189"/>
      <c r="I8" s="188" t="s">
        <v>60</v>
      </c>
      <c r="J8" s="189"/>
      <c r="K8" s="190" t="s">
        <v>61</v>
      </c>
      <c r="L8" s="190"/>
      <c r="M8" s="189"/>
      <c r="N8" s="10"/>
    </row>
    <row r="9" spans="1:14">
      <c r="A9" s="1"/>
      <c r="B9" s="1"/>
      <c r="C9" s="128" t="s">
        <v>46</v>
      </c>
      <c r="D9" s="129"/>
      <c r="E9" s="130"/>
      <c r="F9" s="130"/>
      <c r="G9" s="130"/>
      <c r="H9" s="131"/>
      <c r="I9" s="207" t="s">
        <v>52</v>
      </c>
      <c r="J9" s="121"/>
      <c r="K9" s="121"/>
      <c r="L9" s="121"/>
      <c r="M9" s="122"/>
      <c r="N9" s="10"/>
    </row>
    <row r="10" spans="1:14">
      <c r="A10" s="1"/>
      <c r="B10" s="1"/>
      <c r="C10" s="201" t="s">
        <v>62</v>
      </c>
      <c r="D10" s="202"/>
      <c r="E10" s="202"/>
      <c r="F10" s="202"/>
      <c r="G10" s="197" t="s">
        <v>95</v>
      </c>
      <c r="H10" s="197"/>
      <c r="I10" s="197"/>
      <c r="J10" s="197"/>
      <c r="K10" s="197"/>
      <c r="L10" s="197"/>
      <c r="M10" s="198"/>
      <c r="N10" s="10"/>
    </row>
    <row r="11" spans="1:14" ht="12" customHeight="1" thickBot="1">
      <c r="A11" s="1"/>
      <c r="B11" s="1"/>
      <c r="C11" s="203"/>
      <c r="D11" s="204"/>
      <c r="E11" s="204"/>
      <c r="F11" s="204"/>
      <c r="G11" s="199"/>
      <c r="H11" s="199"/>
      <c r="I11" s="199"/>
      <c r="J11" s="199"/>
      <c r="K11" s="199"/>
      <c r="L11" s="199"/>
      <c r="M11" s="200"/>
      <c r="N11" s="10"/>
    </row>
    <row r="12" spans="1:14" ht="5.25" customHeight="1" thickBot="1">
      <c r="A12" s="1"/>
      <c r="B12" s="1"/>
      <c r="C12" s="6"/>
      <c r="D12" s="6"/>
      <c r="E12" s="6"/>
      <c r="F12" s="6"/>
      <c r="G12" s="6"/>
      <c r="H12" s="6"/>
      <c r="I12" s="6"/>
      <c r="J12" s="6"/>
      <c r="K12" s="6"/>
      <c r="L12" s="6"/>
      <c r="M12" s="11"/>
      <c r="N12" s="6"/>
    </row>
    <row r="13" spans="1:14" ht="35.25" customHeight="1">
      <c r="A13" s="1"/>
      <c r="B13" s="1"/>
      <c r="C13" s="171" t="s">
        <v>50</v>
      </c>
      <c r="D13" s="126" t="s">
        <v>5</v>
      </c>
      <c r="E13" s="127"/>
      <c r="F13" s="127" t="s">
        <v>6</v>
      </c>
      <c r="G13" s="127"/>
      <c r="H13" s="125" t="s">
        <v>7</v>
      </c>
      <c r="I13" s="126"/>
      <c r="J13" s="92" t="s">
        <v>54</v>
      </c>
      <c r="K13" s="12" t="s">
        <v>8</v>
      </c>
      <c r="L13" s="26" t="s">
        <v>8</v>
      </c>
      <c r="M13" s="27" t="s">
        <v>9</v>
      </c>
      <c r="N13" s="6"/>
    </row>
    <row r="14" spans="1:14">
      <c r="A14" s="1"/>
      <c r="B14" s="1"/>
      <c r="C14" s="172"/>
      <c r="D14" s="28" t="s">
        <v>30</v>
      </c>
      <c r="E14" s="29" t="s">
        <v>31</v>
      </c>
      <c r="F14" s="29" t="s">
        <v>30</v>
      </c>
      <c r="G14" s="29" t="s">
        <v>31</v>
      </c>
      <c r="H14" s="123"/>
      <c r="I14" s="124"/>
      <c r="J14" s="88"/>
      <c r="K14" s="88"/>
      <c r="L14" s="86"/>
      <c r="M14" s="89"/>
      <c r="N14" s="6"/>
    </row>
    <row r="15" spans="1:14" ht="24.75">
      <c r="A15" s="1"/>
      <c r="B15" s="1"/>
      <c r="C15" s="172"/>
      <c r="D15" s="37">
        <v>44655</v>
      </c>
      <c r="E15" s="38">
        <v>730.375</v>
      </c>
      <c r="F15" s="39">
        <v>44655</v>
      </c>
      <c r="G15" s="38">
        <v>0.64583333333333337</v>
      </c>
      <c r="H15" s="123" t="s">
        <v>63</v>
      </c>
      <c r="I15" s="124"/>
      <c r="J15" s="88" t="s">
        <v>96</v>
      </c>
      <c r="K15" s="88"/>
      <c r="L15" s="86" t="s">
        <v>64</v>
      </c>
      <c r="M15" s="89" t="s">
        <v>80</v>
      </c>
      <c r="N15" s="6"/>
    </row>
    <row r="16" spans="1:14">
      <c r="A16" s="1"/>
      <c r="B16" s="1"/>
      <c r="C16" s="172"/>
      <c r="D16" s="37"/>
      <c r="E16" s="38"/>
      <c r="F16" s="39"/>
      <c r="G16" s="38"/>
      <c r="H16" s="123"/>
      <c r="I16" s="124"/>
      <c r="J16" s="88"/>
      <c r="K16" s="88"/>
      <c r="L16" s="86"/>
      <c r="M16" s="89"/>
      <c r="N16" s="6"/>
    </row>
    <row r="17" spans="1:14" ht="15.75" thickBot="1">
      <c r="A17" s="1"/>
      <c r="B17" s="1"/>
      <c r="C17" s="173"/>
      <c r="D17" s="43"/>
      <c r="E17" s="44"/>
      <c r="F17" s="45"/>
      <c r="G17" s="44"/>
      <c r="H17" s="205"/>
      <c r="I17" s="206"/>
      <c r="J17" s="90"/>
      <c r="K17" s="90"/>
      <c r="L17" s="87"/>
      <c r="M17" s="91"/>
      <c r="N17" s="6"/>
    </row>
    <row r="18" spans="1:14" ht="3" customHeight="1" thickBot="1">
      <c r="A18" s="1"/>
      <c r="B18" s="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1"/>
      <c r="B19" s="1"/>
      <c r="C19" s="224" t="s">
        <v>43</v>
      </c>
      <c r="D19" s="228" t="s">
        <v>10</v>
      </c>
      <c r="E19" s="229"/>
      <c r="F19" s="229"/>
      <c r="G19" s="230"/>
      <c r="H19" s="30" t="s">
        <v>11</v>
      </c>
      <c r="I19" s="31" t="s">
        <v>12</v>
      </c>
      <c r="J19" s="32" t="s">
        <v>13</v>
      </c>
      <c r="K19" s="13"/>
      <c r="L19" s="14"/>
      <c r="M19" s="33" t="s">
        <v>15</v>
      </c>
      <c r="N19" s="6"/>
    </row>
    <row r="20" spans="1:14" hidden="1">
      <c r="A20" s="1"/>
      <c r="B20" s="1"/>
      <c r="C20" s="225"/>
      <c r="D20" s="138" t="s">
        <v>16</v>
      </c>
      <c r="E20" s="152"/>
      <c r="F20" s="156" t="s">
        <v>34</v>
      </c>
      <c r="G20" s="157"/>
      <c r="H20" s="64">
        <v>5040</v>
      </c>
      <c r="I20" s="48"/>
      <c r="J20" s="19">
        <v>4.2</v>
      </c>
      <c r="K20" s="20"/>
      <c r="L20" s="21" t="s">
        <v>45</v>
      </c>
      <c r="M20" s="22" t="str">
        <f>IF(J20*I20=0,"",J20*I20)</f>
        <v/>
      </c>
      <c r="N20" s="6"/>
    </row>
    <row r="21" spans="1:14">
      <c r="A21" s="1"/>
      <c r="B21" s="1"/>
      <c r="C21" s="225"/>
      <c r="D21" s="153"/>
      <c r="E21" s="154"/>
      <c r="F21" s="158" t="s">
        <v>17</v>
      </c>
      <c r="G21" s="159"/>
      <c r="H21" s="34">
        <v>460</v>
      </c>
      <c r="I21" s="40">
        <v>136</v>
      </c>
      <c r="J21" s="164">
        <v>4.03</v>
      </c>
      <c r="K21" s="165"/>
      <c r="L21" s="23"/>
      <c r="M21" s="61">
        <f t="shared" ref="M21:M30" si="0">IF(J21*I21=0,"",J21*I21)</f>
        <v>548.08000000000004</v>
      </c>
      <c r="N21" s="6"/>
    </row>
    <row r="22" spans="1:14">
      <c r="A22" s="1"/>
      <c r="B22" s="1"/>
      <c r="C22" s="225"/>
      <c r="D22" s="140"/>
      <c r="E22" s="155"/>
      <c r="F22" s="160" t="s">
        <v>18</v>
      </c>
      <c r="G22" s="161"/>
      <c r="H22" s="34">
        <v>463</v>
      </c>
      <c r="I22" s="40">
        <v>136</v>
      </c>
      <c r="J22" s="164">
        <v>1</v>
      </c>
      <c r="K22" s="165"/>
      <c r="L22" s="23"/>
      <c r="M22" s="61">
        <f t="shared" si="0"/>
        <v>136</v>
      </c>
      <c r="N22" s="6"/>
    </row>
    <row r="23" spans="1:14">
      <c r="A23" s="1"/>
      <c r="B23" s="1"/>
      <c r="C23" s="225"/>
      <c r="D23" s="138" t="s">
        <v>19</v>
      </c>
      <c r="E23" s="139"/>
      <c r="F23" s="160" t="s">
        <v>65</v>
      </c>
      <c r="G23" s="161"/>
      <c r="H23" s="34">
        <v>490</v>
      </c>
      <c r="I23" s="40">
        <v>1</v>
      </c>
      <c r="J23" s="162">
        <v>0</v>
      </c>
      <c r="K23" s="163"/>
      <c r="L23" s="49"/>
      <c r="M23" s="50" t="str">
        <f t="shared" si="0"/>
        <v/>
      </c>
      <c r="N23" s="6"/>
    </row>
    <row r="24" spans="1:14">
      <c r="A24" s="1"/>
      <c r="B24" s="1"/>
      <c r="C24" s="225"/>
      <c r="D24" s="140"/>
      <c r="E24" s="141"/>
      <c r="F24" s="160" t="s">
        <v>81</v>
      </c>
      <c r="G24" s="161"/>
      <c r="H24" s="34"/>
      <c r="I24" s="40">
        <v>1</v>
      </c>
      <c r="J24" s="162">
        <f>SUM(Sheet2!H58)</f>
        <v>6258.6200000000008</v>
      </c>
      <c r="K24" s="163"/>
      <c r="L24" s="49"/>
      <c r="M24" s="50">
        <f t="shared" si="0"/>
        <v>6258.6200000000008</v>
      </c>
      <c r="N24" s="6"/>
    </row>
    <row r="25" spans="1:14">
      <c r="A25" s="1"/>
      <c r="B25" s="1"/>
      <c r="C25" s="225"/>
      <c r="D25" s="142" t="s">
        <v>23</v>
      </c>
      <c r="E25" s="143"/>
      <c r="F25" s="160" t="s">
        <v>20</v>
      </c>
      <c r="G25" s="161"/>
      <c r="H25" s="34">
        <v>466</v>
      </c>
      <c r="I25" s="40">
        <v>1</v>
      </c>
      <c r="J25" s="164">
        <v>324</v>
      </c>
      <c r="K25" s="165"/>
      <c r="L25" s="23"/>
      <c r="M25" s="61">
        <f t="shared" si="0"/>
        <v>324</v>
      </c>
      <c r="N25" s="6"/>
    </row>
    <row r="26" spans="1:14">
      <c r="A26" s="1"/>
      <c r="B26" s="1"/>
      <c r="C26" s="225"/>
      <c r="D26" s="142"/>
      <c r="E26" s="143"/>
      <c r="F26" s="160" t="s">
        <v>21</v>
      </c>
      <c r="G26" s="161"/>
      <c r="H26" s="34">
        <v>467</v>
      </c>
      <c r="I26" s="40"/>
      <c r="J26" s="164">
        <v>603</v>
      </c>
      <c r="K26" s="165"/>
      <c r="L26" s="23"/>
      <c r="M26" s="61" t="str">
        <f t="shared" si="0"/>
        <v/>
      </c>
      <c r="N26" s="6"/>
    </row>
    <row r="27" spans="1:14">
      <c r="A27" s="1"/>
      <c r="B27" s="1"/>
      <c r="C27" s="225"/>
      <c r="D27" s="142"/>
      <c r="E27" s="143"/>
      <c r="F27" s="177" t="s">
        <v>22</v>
      </c>
      <c r="G27" s="60" t="s">
        <v>47</v>
      </c>
      <c r="H27" s="35" t="s">
        <v>35</v>
      </c>
      <c r="I27" s="40"/>
      <c r="J27" s="67"/>
      <c r="K27" s="68"/>
      <c r="L27" s="69"/>
      <c r="M27" s="70"/>
      <c r="N27" s="6"/>
    </row>
    <row r="28" spans="1:14">
      <c r="A28" s="1"/>
      <c r="B28" s="1"/>
      <c r="C28" s="225"/>
      <c r="D28" s="142"/>
      <c r="E28" s="143"/>
      <c r="F28" s="178"/>
      <c r="G28" s="60" t="s">
        <v>48</v>
      </c>
      <c r="H28" s="35" t="s">
        <v>35</v>
      </c>
      <c r="I28" s="40"/>
      <c r="J28" s="67"/>
      <c r="K28" s="68"/>
      <c r="L28" s="69"/>
      <c r="M28" s="70"/>
      <c r="N28" s="6"/>
    </row>
    <row r="29" spans="1:14">
      <c r="A29" s="1"/>
      <c r="B29" s="1"/>
      <c r="C29" s="225"/>
      <c r="D29" s="144"/>
      <c r="E29" s="145"/>
      <c r="F29" s="179"/>
      <c r="G29" s="60" t="s">
        <v>49</v>
      </c>
      <c r="H29" s="35" t="s">
        <v>35</v>
      </c>
      <c r="I29" s="40"/>
      <c r="J29" s="162"/>
      <c r="K29" s="163"/>
      <c r="L29" s="49"/>
      <c r="M29" s="50" t="str">
        <f t="shared" si="0"/>
        <v/>
      </c>
      <c r="N29" s="6"/>
    </row>
    <row r="30" spans="1:14" ht="17.25" customHeight="1">
      <c r="A30" s="1"/>
      <c r="B30" s="1"/>
      <c r="C30" s="225"/>
      <c r="D30" s="186" t="s">
        <v>53</v>
      </c>
      <c r="E30" s="187"/>
      <c r="F30" s="160" t="s">
        <v>21</v>
      </c>
      <c r="G30" s="161"/>
      <c r="H30" s="34">
        <v>468</v>
      </c>
      <c r="I30" s="40"/>
      <c r="J30" s="164">
        <v>825</v>
      </c>
      <c r="K30" s="165"/>
      <c r="L30" s="23"/>
      <c r="M30" s="61" t="str">
        <f t="shared" si="0"/>
        <v/>
      </c>
      <c r="N30" s="6"/>
    </row>
    <row r="31" spans="1:14" ht="16.5" customHeight="1">
      <c r="A31" s="1"/>
      <c r="B31" s="1"/>
      <c r="C31" s="225"/>
      <c r="D31" s="142"/>
      <c r="E31" s="143"/>
      <c r="F31" s="177" t="s">
        <v>22</v>
      </c>
      <c r="G31" s="60" t="s">
        <v>47</v>
      </c>
      <c r="H31" s="35" t="s">
        <v>35</v>
      </c>
      <c r="I31" s="40"/>
      <c r="J31" s="67"/>
      <c r="K31" s="68"/>
      <c r="L31" s="69"/>
      <c r="M31" s="66"/>
      <c r="N31" s="6"/>
    </row>
    <row r="32" spans="1:14" ht="15.75" customHeight="1">
      <c r="A32" s="1"/>
      <c r="B32" s="1"/>
      <c r="C32" s="225"/>
      <c r="D32" s="142"/>
      <c r="E32" s="143"/>
      <c r="F32" s="178"/>
      <c r="G32" s="60" t="s">
        <v>48</v>
      </c>
      <c r="H32" s="35" t="s">
        <v>35</v>
      </c>
      <c r="I32" s="40"/>
      <c r="J32" s="67"/>
      <c r="K32" s="68"/>
      <c r="L32" s="69"/>
      <c r="M32" s="66"/>
      <c r="N32" s="6"/>
    </row>
    <row r="33" spans="1:14">
      <c r="A33" s="1"/>
      <c r="B33" s="1"/>
      <c r="C33" s="225"/>
      <c r="D33" s="144"/>
      <c r="E33" s="145"/>
      <c r="F33" s="179"/>
      <c r="G33" s="60" t="s">
        <v>49</v>
      </c>
      <c r="H33" s="35" t="s">
        <v>35</v>
      </c>
      <c r="I33" s="40"/>
      <c r="J33" s="166"/>
      <c r="K33" s="167"/>
      <c r="L33" s="49"/>
      <c r="M33" s="42"/>
      <c r="N33" s="6"/>
    </row>
    <row r="34" spans="1:14" ht="24" customHeight="1">
      <c r="A34" s="1"/>
      <c r="B34" s="1"/>
      <c r="C34" s="225"/>
      <c r="D34" s="174" t="s">
        <v>51</v>
      </c>
      <c r="E34" s="175"/>
      <c r="F34" s="215" t="s">
        <v>44</v>
      </c>
      <c r="G34" s="216"/>
      <c r="H34" s="35">
        <v>469</v>
      </c>
      <c r="I34" s="40"/>
      <c r="J34" s="166"/>
      <c r="K34" s="167"/>
      <c r="L34" s="49"/>
      <c r="M34" s="42"/>
      <c r="N34" s="6"/>
    </row>
    <row r="35" spans="1:14" ht="15" customHeight="1">
      <c r="A35" s="1"/>
      <c r="B35" s="1"/>
      <c r="C35" s="226"/>
      <c r="D35" s="138" t="s">
        <v>24</v>
      </c>
      <c r="E35" s="139"/>
      <c r="F35" s="217" t="s">
        <v>25</v>
      </c>
      <c r="G35" s="161"/>
      <c r="H35" s="35">
        <v>475</v>
      </c>
      <c r="I35" s="40"/>
      <c r="J35" s="166"/>
      <c r="K35" s="167"/>
      <c r="L35" s="49"/>
      <c r="M35" s="42"/>
      <c r="N35" s="6"/>
    </row>
    <row r="36" spans="1:14">
      <c r="A36" s="1"/>
      <c r="B36" s="1"/>
      <c r="C36" s="226"/>
      <c r="D36" s="153"/>
      <c r="E36" s="176"/>
      <c r="F36" s="177" t="s">
        <v>22</v>
      </c>
      <c r="G36" s="60" t="s">
        <v>47</v>
      </c>
      <c r="H36" s="35" t="s">
        <v>35</v>
      </c>
      <c r="I36" s="40"/>
      <c r="J36" s="67"/>
      <c r="K36" s="68"/>
      <c r="L36" s="69"/>
      <c r="M36" s="66"/>
      <c r="N36" s="6"/>
    </row>
    <row r="37" spans="1:14" ht="15" customHeight="1">
      <c r="A37" s="1"/>
      <c r="B37" s="1"/>
      <c r="C37" s="226"/>
      <c r="D37" s="153"/>
      <c r="E37" s="176"/>
      <c r="F37" s="178"/>
      <c r="G37" s="60" t="s">
        <v>48</v>
      </c>
      <c r="H37" s="35" t="s">
        <v>35</v>
      </c>
      <c r="I37" s="40"/>
      <c r="J37" s="67"/>
      <c r="K37" s="68"/>
      <c r="L37" s="69"/>
      <c r="M37" s="66"/>
      <c r="N37" s="6"/>
    </row>
    <row r="38" spans="1:14" ht="15.75" thickBot="1">
      <c r="A38" s="1"/>
      <c r="B38" s="1"/>
      <c r="C38" s="227"/>
      <c r="D38" s="140"/>
      <c r="E38" s="141"/>
      <c r="F38" s="179"/>
      <c r="G38" s="60" t="s">
        <v>49</v>
      </c>
      <c r="H38" s="35" t="s">
        <v>35</v>
      </c>
      <c r="I38" s="40"/>
      <c r="J38" s="166"/>
      <c r="K38" s="167"/>
      <c r="L38" s="49"/>
      <c r="M38" s="42"/>
      <c r="N38" s="6"/>
    </row>
    <row r="39" spans="1:14" ht="3" customHeight="1" thickBot="1">
      <c r="A39" s="1"/>
      <c r="B39" s="1"/>
      <c r="C39" s="6"/>
      <c r="E39" s="65"/>
      <c r="F39" s="8"/>
      <c r="G39" s="8"/>
      <c r="H39" s="8"/>
      <c r="I39" s="8"/>
      <c r="J39" s="8"/>
      <c r="K39" s="8"/>
      <c r="L39" s="8"/>
      <c r="M39" s="8"/>
      <c r="N39" s="6"/>
    </row>
    <row r="40" spans="1:14">
      <c r="A40" s="1"/>
      <c r="B40" s="1"/>
      <c r="C40" s="168" t="s">
        <v>4</v>
      </c>
      <c r="D40" s="54" t="s">
        <v>26</v>
      </c>
      <c r="E40" s="55"/>
      <c r="F40" s="54"/>
      <c r="G40" s="51"/>
      <c r="H40" s="30" t="s">
        <v>11</v>
      </c>
      <c r="I40" s="31" t="s">
        <v>12</v>
      </c>
      <c r="J40" s="31" t="s">
        <v>13</v>
      </c>
      <c r="K40" s="56" t="s">
        <v>14</v>
      </c>
      <c r="L40" s="62"/>
      <c r="M40" s="33" t="s">
        <v>15</v>
      </c>
      <c r="N40" s="6"/>
    </row>
    <row r="41" spans="1:14">
      <c r="A41" s="1"/>
      <c r="B41" s="1"/>
      <c r="C41" s="169"/>
      <c r="D41" s="80" t="s">
        <v>27</v>
      </c>
      <c r="E41" s="79"/>
      <c r="F41" s="79"/>
      <c r="G41" s="79"/>
      <c r="H41" s="36">
        <v>255</v>
      </c>
      <c r="I41" s="40"/>
      <c r="J41" s="40"/>
      <c r="K41" s="40"/>
      <c r="L41" s="41"/>
      <c r="M41" s="42"/>
      <c r="N41" s="6"/>
    </row>
    <row r="42" spans="1:14">
      <c r="A42" s="1"/>
      <c r="B42" s="1"/>
      <c r="C42" s="169"/>
      <c r="D42" s="81" t="s">
        <v>41</v>
      </c>
      <c r="E42" s="81"/>
      <c r="F42" s="81"/>
      <c r="G42" s="85"/>
      <c r="H42" s="36">
        <v>257</v>
      </c>
      <c r="I42" s="40"/>
      <c r="J42" s="40"/>
      <c r="K42" s="40"/>
      <c r="L42" s="41"/>
      <c r="M42" s="42"/>
      <c r="N42" s="6"/>
    </row>
    <row r="43" spans="1:14">
      <c r="A43" s="1"/>
      <c r="B43" s="1"/>
      <c r="C43" s="169"/>
      <c r="D43" s="81" t="s">
        <v>42</v>
      </c>
      <c r="E43" s="79"/>
      <c r="F43" s="81"/>
      <c r="G43" s="85"/>
      <c r="H43" s="36">
        <v>257</v>
      </c>
      <c r="I43" s="40"/>
      <c r="J43" s="40"/>
      <c r="K43" s="40"/>
      <c r="L43" s="41"/>
      <c r="M43" s="42"/>
      <c r="N43" s="6"/>
    </row>
    <row r="44" spans="1:14">
      <c r="A44" s="1"/>
      <c r="B44" s="1"/>
      <c r="C44" s="169"/>
      <c r="D44" s="81" t="s">
        <v>28</v>
      </c>
      <c r="E44" s="83"/>
      <c r="F44" s="81"/>
      <c r="G44" s="85"/>
      <c r="H44" s="36">
        <v>494</v>
      </c>
      <c r="I44" s="57"/>
      <c r="J44" s="57"/>
      <c r="K44" s="57"/>
      <c r="L44" s="58"/>
      <c r="M44" s="59"/>
      <c r="N44" s="6"/>
    </row>
    <row r="45" spans="1:14" ht="15.75" thickBot="1">
      <c r="A45" s="1"/>
      <c r="B45" s="1"/>
      <c r="C45" s="170"/>
      <c r="D45" s="82" t="s">
        <v>29</v>
      </c>
      <c r="E45" s="84"/>
      <c r="F45" s="52"/>
      <c r="G45" s="52"/>
      <c r="H45" s="52"/>
      <c r="I45" s="52"/>
      <c r="J45" s="52"/>
      <c r="K45" s="52"/>
      <c r="L45" s="52"/>
      <c r="M45" s="63">
        <f>M21+M22+M24+M25</f>
        <v>7266.7000000000007</v>
      </c>
      <c r="N45" s="6"/>
    </row>
    <row r="46" spans="1:14" ht="15.75" customHeight="1">
      <c r="A46" s="1"/>
      <c r="B46" s="1"/>
      <c r="C46" s="221" t="s">
        <v>37</v>
      </c>
      <c r="D46" s="222"/>
      <c r="E46" s="222"/>
      <c r="F46" s="223"/>
      <c r="G46" s="212" t="s">
        <v>38</v>
      </c>
      <c r="H46" s="213"/>
      <c r="I46" s="213"/>
      <c r="J46" s="214"/>
      <c r="K46" s="212" t="s">
        <v>39</v>
      </c>
      <c r="L46" s="213"/>
      <c r="M46" s="214"/>
      <c r="N46" s="6"/>
    </row>
    <row r="47" spans="1:14" ht="12" customHeight="1">
      <c r="A47" s="1"/>
      <c r="B47" s="1"/>
      <c r="C47" s="75" t="s">
        <v>30</v>
      </c>
      <c r="D47" s="72" t="s">
        <v>40</v>
      </c>
      <c r="E47" s="73"/>
      <c r="F47" s="74"/>
      <c r="G47" s="150" t="s">
        <v>30</v>
      </c>
      <c r="H47" s="151"/>
      <c r="I47" s="148" t="s">
        <v>40</v>
      </c>
      <c r="J47" s="149"/>
      <c r="K47" s="15" t="s">
        <v>30</v>
      </c>
      <c r="L47" s="71" t="s">
        <v>30</v>
      </c>
      <c r="M47" s="76" t="s">
        <v>40</v>
      </c>
      <c r="N47" s="6"/>
    </row>
    <row r="48" spans="1:14" ht="12" customHeight="1">
      <c r="A48" s="1"/>
      <c r="B48" s="1"/>
      <c r="C48" s="93">
        <v>44865</v>
      </c>
      <c r="D48" s="110" t="s">
        <v>66</v>
      </c>
      <c r="E48" s="111"/>
      <c r="F48" s="112"/>
      <c r="G48" s="219"/>
      <c r="H48" s="208"/>
      <c r="I48" s="116"/>
      <c r="J48" s="117"/>
      <c r="K48" s="218"/>
      <c r="L48" s="208"/>
      <c r="M48" s="210"/>
      <c r="N48" s="6"/>
    </row>
    <row r="49" spans="1:14" ht="12.75" customHeight="1" thickBot="1">
      <c r="A49" s="1"/>
      <c r="B49" s="1"/>
      <c r="C49" s="77"/>
      <c r="D49" s="113"/>
      <c r="E49" s="114"/>
      <c r="F49" s="115"/>
      <c r="G49" s="220"/>
      <c r="H49" s="209"/>
      <c r="I49" s="118"/>
      <c r="J49" s="119"/>
      <c r="K49" s="190"/>
      <c r="L49" s="209"/>
      <c r="M49" s="211"/>
      <c r="N49" s="6"/>
    </row>
    <row r="50" spans="1:14" ht="15.75" hidden="1" customHeight="1" thickBot="1">
      <c r="A50" s="1"/>
      <c r="B50" s="16"/>
      <c r="C50" s="78"/>
      <c r="D50" s="52"/>
      <c r="E50" s="52"/>
      <c r="F50" s="18"/>
      <c r="G50" s="18"/>
      <c r="H50" s="18"/>
      <c r="I50" s="18"/>
      <c r="J50" s="18"/>
      <c r="K50" s="18"/>
      <c r="L50" s="18"/>
      <c r="M50" s="53"/>
      <c r="N50" s="17"/>
    </row>
    <row r="51" spans="1:14" ht="1.5" customHeight="1" thickBot="1">
      <c r="A51" s="1"/>
      <c r="B51" s="1"/>
      <c r="C51" s="18"/>
      <c r="F51" s="6"/>
      <c r="G51" s="6"/>
      <c r="H51" s="6"/>
      <c r="I51" s="6"/>
      <c r="J51" s="6"/>
      <c r="K51" s="6"/>
      <c r="L51" s="6"/>
      <c r="M51" s="6"/>
      <c r="N51" s="17"/>
    </row>
    <row r="52" spans="1:14">
      <c r="A52" s="1"/>
      <c r="B52" s="1"/>
      <c r="C52" s="6"/>
      <c r="N52" s="6"/>
    </row>
  </sheetData>
  <mergeCells count="73">
    <mergeCell ref="H17:I17"/>
    <mergeCell ref="F27:F29"/>
    <mergeCell ref="J24:K24"/>
    <mergeCell ref="I9:M9"/>
    <mergeCell ref="L48:L49"/>
    <mergeCell ref="J34:K34"/>
    <mergeCell ref="M48:M49"/>
    <mergeCell ref="G46:J46"/>
    <mergeCell ref="K46:M46"/>
    <mergeCell ref="F34:G34"/>
    <mergeCell ref="F35:G35"/>
    <mergeCell ref="K48:K49"/>
    <mergeCell ref="G48:H49"/>
    <mergeCell ref="C46:F46"/>
    <mergeCell ref="C19:C38"/>
    <mergeCell ref="D19:G19"/>
    <mergeCell ref="D2:D3"/>
    <mergeCell ref="H2:L3"/>
    <mergeCell ref="D30:E33"/>
    <mergeCell ref="F24:G24"/>
    <mergeCell ref="F25:G25"/>
    <mergeCell ref="I8:J8"/>
    <mergeCell ref="K8:M8"/>
    <mergeCell ref="G8:H8"/>
    <mergeCell ref="C8:F8"/>
    <mergeCell ref="G7:H7"/>
    <mergeCell ref="I7:J7"/>
    <mergeCell ref="K7:M7"/>
    <mergeCell ref="C7:F7"/>
    <mergeCell ref="G10:M11"/>
    <mergeCell ref="C10:F11"/>
    <mergeCell ref="F31:F33"/>
    <mergeCell ref="F30:G30"/>
    <mergeCell ref="J22:K22"/>
    <mergeCell ref="D34:E34"/>
    <mergeCell ref="D35:E38"/>
    <mergeCell ref="F36:F38"/>
    <mergeCell ref="J38:K38"/>
    <mergeCell ref="J23:K23"/>
    <mergeCell ref="J25:K25"/>
    <mergeCell ref="J26:K26"/>
    <mergeCell ref="C2:C3"/>
    <mergeCell ref="I47:J47"/>
    <mergeCell ref="G47:H47"/>
    <mergeCell ref="D20:E22"/>
    <mergeCell ref="F20:G20"/>
    <mergeCell ref="F21:G21"/>
    <mergeCell ref="F22:G22"/>
    <mergeCell ref="F23:G23"/>
    <mergeCell ref="J29:K29"/>
    <mergeCell ref="J30:K30"/>
    <mergeCell ref="J33:K33"/>
    <mergeCell ref="F26:G26"/>
    <mergeCell ref="J35:K35"/>
    <mergeCell ref="J21:K21"/>
    <mergeCell ref="C40:C45"/>
    <mergeCell ref="C13:C17"/>
    <mergeCell ref="D48:F49"/>
    <mergeCell ref="I48:J49"/>
    <mergeCell ref="C4:E4"/>
    <mergeCell ref="F4:L4"/>
    <mergeCell ref="H14:I14"/>
    <mergeCell ref="H15:I15"/>
    <mergeCell ref="H16:I16"/>
    <mergeCell ref="H13:I13"/>
    <mergeCell ref="D13:E13"/>
    <mergeCell ref="F13:G13"/>
    <mergeCell ref="C9:D9"/>
    <mergeCell ref="E9:H9"/>
    <mergeCell ref="C5:E5"/>
    <mergeCell ref="F5:L5"/>
    <mergeCell ref="D23:E24"/>
    <mergeCell ref="D25:E29"/>
  </mergeCells>
  <hyperlinks>
    <hyperlink ref="C10" r:id="rId1" xr:uid="{3A43A8EC-420A-4975-9E96-763ED690CB4B}"/>
  </hyperlinks>
  <pageMargins left="0.23622047244094491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tabSelected="1" workbookViewId="0">
      <selection activeCell="B6" sqref="B6:L18"/>
    </sheetView>
  </sheetViews>
  <sheetFormatPr baseColWidth="10" defaultRowHeight="15"/>
  <cols>
    <col min="1" max="1" width="11.42578125" style="94"/>
    <col min="2" max="2" width="11.7109375" customWidth="1"/>
    <col min="3" max="3" width="10.5703125" customWidth="1"/>
    <col min="4" max="4" width="29.42578125" customWidth="1"/>
    <col min="5" max="5" width="9" customWidth="1"/>
    <col min="6" max="6" width="7.85546875" customWidth="1"/>
    <col min="7" max="7" width="8.85546875" customWidth="1"/>
    <col min="8" max="8" width="10.28515625" customWidth="1"/>
    <col min="9" max="9" width="11" style="95" customWidth="1"/>
    <col min="10" max="10" width="30.140625" style="95" customWidth="1"/>
    <col min="11" max="12" width="9.140625" style="95" customWidth="1"/>
  </cols>
  <sheetData>
    <row r="1" spans="1:13">
      <c r="A1" s="94">
        <v>1</v>
      </c>
      <c r="B1" s="231" t="s">
        <v>67</v>
      </c>
      <c r="C1" s="232"/>
      <c r="D1" s="232"/>
      <c r="E1" s="232"/>
      <c r="F1" s="233">
        <v>44690.544053854166</v>
      </c>
      <c r="G1" s="232"/>
      <c r="H1" s="232"/>
    </row>
    <row r="2" spans="1:13">
      <c r="A2" s="94">
        <v>2</v>
      </c>
    </row>
    <row r="3" spans="1:13">
      <c r="A3" s="94">
        <v>3</v>
      </c>
      <c r="B3" s="96" t="s">
        <v>68</v>
      </c>
      <c r="D3" s="96"/>
      <c r="E3" s="108" t="s">
        <v>87</v>
      </c>
    </row>
    <row r="4" spans="1:13">
      <c r="A4" s="94">
        <v>4</v>
      </c>
      <c r="B4" s="231" t="s">
        <v>69</v>
      </c>
      <c r="C4" s="232"/>
      <c r="D4" s="232"/>
      <c r="E4" s="232"/>
    </row>
    <row r="5" spans="1:13">
      <c r="A5" s="94">
        <v>5</v>
      </c>
      <c r="B5" s="97" t="s">
        <v>30</v>
      </c>
      <c r="C5" s="97" t="s">
        <v>70</v>
      </c>
      <c r="D5" s="97" t="s">
        <v>71</v>
      </c>
      <c r="E5" s="97" t="s">
        <v>72</v>
      </c>
      <c r="F5" s="97" t="s">
        <v>73</v>
      </c>
      <c r="G5" s="97" t="s">
        <v>74</v>
      </c>
      <c r="H5" s="97" t="s">
        <v>85</v>
      </c>
      <c r="I5" s="98" t="s">
        <v>75</v>
      </c>
      <c r="J5" s="98" t="s">
        <v>76</v>
      </c>
      <c r="K5" s="98" t="s">
        <v>77</v>
      </c>
      <c r="L5" s="98" t="s">
        <v>78</v>
      </c>
    </row>
    <row r="6" spans="1:13">
      <c r="A6" s="94">
        <v>6</v>
      </c>
      <c r="B6" s="104">
        <v>44575</v>
      </c>
      <c r="C6" s="104">
        <v>44576</v>
      </c>
      <c r="D6" s="106" t="s">
        <v>88</v>
      </c>
      <c r="F6" t="s">
        <v>84</v>
      </c>
      <c r="G6" s="100">
        <v>31.17</v>
      </c>
      <c r="H6" s="100">
        <v>317.08</v>
      </c>
      <c r="I6" s="95" t="s">
        <v>83</v>
      </c>
      <c r="J6" s="95" t="s">
        <v>89</v>
      </c>
      <c r="L6" s="95" t="s">
        <v>86</v>
      </c>
    </row>
    <row r="7" spans="1:13">
      <c r="A7" s="94">
        <v>7</v>
      </c>
      <c r="B7" s="104">
        <v>44606</v>
      </c>
      <c r="C7" s="104">
        <v>44607</v>
      </c>
      <c r="D7" s="106" t="s">
        <v>88</v>
      </c>
      <c r="F7" t="s">
        <v>84</v>
      </c>
      <c r="G7">
        <v>30.91</v>
      </c>
      <c r="H7">
        <v>319.04000000000002</v>
      </c>
      <c r="I7" s="95" t="s">
        <v>83</v>
      </c>
      <c r="J7" s="95" t="s">
        <v>89</v>
      </c>
      <c r="L7" s="95" t="s">
        <v>86</v>
      </c>
    </row>
    <row r="8" spans="1:13">
      <c r="A8" s="94">
        <v>8</v>
      </c>
      <c r="B8" s="104">
        <v>44634</v>
      </c>
      <c r="C8" s="104">
        <v>44635</v>
      </c>
      <c r="D8" s="106" t="s">
        <v>88</v>
      </c>
      <c r="F8" t="s">
        <v>84</v>
      </c>
      <c r="G8" s="100">
        <v>31.57</v>
      </c>
      <c r="H8" s="100">
        <v>318.39</v>
      </c>
      <c r="I8" s="95" t="s">
        <v>83</v>
      </c>
      <c r="J8" s="95" t="s">
        <v>89</v>
      </c>
      <c r="K8" s="101"/>
      <c r="L8" s="95" t="s">
        <v>86</v>
      </c>
    </row>
    <row r="9" spans="1:13">
      <c r="A9" s="94">
        <v>9</v>
      </c>
      <c r="B9" s="104">
        <v>44665</v>
      </c>
      <c r="C9" s="104">
        <v>44666</v>
      </c>
      <c r="D9" s="106" t="s">
        <v>88</v>
      </c>
      <c r="F9" t="s">
        <v>84</v>
      </c>
      <c r="G9">
        <v>32.659999999999997</v>
      </c>
      <c r="H9">
        <v>320.47000000000003</v>
      </c>
      <c r="I9" s="95" t="s">
        <v>83</v>
      </c>
      <c r="J9" s="95" t="s">
        <v>89</v>
      </c>
      <c r="L9" s="95" t="s">
        <v>86</v>
      </c>
    </row>
    <row r="10" spans="1:13">
      <c r="A10" s="94">
        <v>10</v>
      </c>
      <c r="B10" s="104">
        <v>44695</v>
      </c>
      <c r="C10" s="104">
        <v>44696</v>
      </c>
      <c r="D10" s="106" t="s">
        <v>88</v>
      </c>
      <c r="F10" t="s">
        <v>84</v>
      </c>
      <c r="G10" s="100">
        <v>30.5</v>
      </c>
      <c r="H10" s="100">
        <v>320.36</v>
      </c>
      <c r="I10" s="95" t="s">
        <v>83</v>
      </c>
      <c r="J10" s="95" t="s">
        <v>89</v>
      </c>
      <c r="K10" s="101"/>
      <c r="L10" s="95" t="s">
        <v>86</v>
      </c>
    </row>
    <row r="11" spans="1:13">
      <c r="A11" s="94">
        <v>11</v>
      </c>
      <c r="B11" s="104">
        <v>44726</v>
      </c>
      <c r="C11" s="104">
        <v>44727</v>
      </c>
      <c r="D11" s="106" t="s">
        <v>88</v>
      </c>
      <c r="F11" t="s">
        <v>84</v>
      </c>
      <c r="G11" s="100">
        <v>29.94</v>
      </c>
      <c r="H11" s="100">
        <v>316.49</v>
      </c>
      <c r="I11" s="95" t="s">
        <v>83</v>
      </c>
      <c r="J11" s="95" t="s">
        <v>89</v>
      </c>
      <c r="L11" s="95" t="s">
        <v>86</v>
      </c>
      <c r="M11" s="95"/>
    </row>
    <row r="12" spans="1:13">
      <c r="A12" s="94">
        <v>12</v>
      </c>
      <c r="B12" s="109">
        <v>44756</v>
      </c>
      <c r="C12" s="109">
        <v>44757</v>
      </c>
      <c r="D12" s="106" t="s">
        <v>88</v>
      </c>
      <c r="F12" t="s">
        <v>84</v>
      </c>
      <c r="G12" s="100">
        <v>30.39</v>
      </c>
      <c r="H12" s="100">
        <v>320.47000000000003</v>
      </c>
      <c r="I12" s="95" t="s">
        <v>83</v>
      </c>
      <c r="J12" s="95" t="s">
        <v>89</v>
      </c>
      <c r="K12" s="101"/>
      <c r="L12" s="95" t="s">
        <v>86</v>
      </c>
    </row>
    <row r="13" spans="1:13">
      <c r="A13" s="94">
        <v>13</v>
      </c>
      <c r="B13" s="104">
        <v>44787</v>
      </c>
      <c r="C13" s="104">
        <v>44788</v>
      </c>
      <c r="D13" s="106" t="s">
        <v>88</v>
      </c>
      <c r="F13" t="s">
        <v>84</v>
      </c>
      <c r="G13" s="100">
        <v>31.72</v>
      </c>
      <c r="H13" s="100">
        <v>319.66000000000003</v>
      </c>
      <c r="I13" s="95" t="s">
        <v>83</v>
      </c>
      <c r="J13" s="95" t="s">
        <v>89</v>
      </c>
      <c r="L13" s="95" t="s">
        <v>86</v>
      </c>
    </row>
    <row r="14" spans="1:13">
      <c r="A14" s="94">
        <v>14</v>
      </c>
      <c r="B14" s="104">
        <v>44818</v>
      </c>
      <c r="C14" s="104">
        <v>44819</v>
      </c>
      <c r="D14" s="106" t="s">
        <v>88</v>
      </c>
      <c r="F14" t="s">
        <v>84</v>
      </c>
      <c r="G14" s="100">
        <v>30.78</v>
      </c>
      <c r="H14" s="100">
        <v>317.22000000000003</v>
      </c>
      <c r="I14" s="95" t="s">
        <v>83</v>
      </c>
      <c r="J14" s="95" t="s">
        <v>89</v>
      </c>
      <c r="K14" s="101"/>
      <c r="L14" s="95" t="s">
        <v>86</v>
      </c>
    </row>
    <row r="15" spans="1:13">
      <c r="A15" s="94">
        <v>15</v>
      </c>
      <c r="B15" s="109">
        <v>44848</v>
      </c>
      <c r="C15" s="109">
        <v>44849</v>
      </c>
      <c r="D15" s="106" t="s">
        <v>88</v>
      </c>
      <c r="F15" t="s">
        <v>84</v>
      </c>
      <c r="G15" s="100">
        <v>30.12</v>
      </c>
      <c r="H15" s="100">
        <v>320.86</v>
      </c>
      <c r="I15" s="95" t="s">
        <v>83</v>
      </c>
      <c r="J15" s="95" t="s">
        <v>89</v>
      </c>
      <c r="L15" s="95" t="s">
        <v>86</v>
      </c>
    </row>
    <row r="16" spans="1:13">
      <c r="A16" s="94">
        <v>16</v>
      </c>
      <c r="B16" s="104">
        <v>44808</v>
      </c>
      <c r="C16" s="104">
        <v>44809</v>
      </c>
      <c r="D16" t="s">
        <v>92</v>
      </c>
      <c r="F16" t="s">
        <v>93</v>
      </c>
      <c r="H16">
        <v>1499</v>
      </c>
      <c r="I16" s="95" t="s">
        <v>83</v>
      </c>
      <c r="J16" s="95" t="s">
        <v>94</v>
      </c>
      <c r="L16" s="95" t="s">
        <v>86</v>
      </c>
    </row>
    <row r="17" spans="1:12">
      <c r="A17" s="94">
        <v>17</v>
      </c>
      <c r="B17" s="104">
        <v>44655</v>
      </c>
      <c r="C17" s="104">
        <v>44656</v>
      </c>
      <c r="D17" s="106" t="s">
        <v>90</v>
      </c>
      <c r="F17" t="s">
        <v>82</v>
      </c>
      <c r="H17">
        <v>1250</v>
      </c>
      <c r="I17" s="95" t="s">
        <v>83</v>
      </c>
      <c r="J17" s="95" t="s">
        <v>91</v>
      </c>
      <c r="K17" s="101"/>
      <c r="L17" s="95" t="s">
        <v>86</v>
      </c>
    </row>
    <row r="18" spans="1:12">
      <c r="A18" s="94">
        <v>18</v>
      </c>
      <c r="B18" s="234">
        <v>44881</v>
      </c>
      <c r="C18" s="234">
        <v>45246</v>
      </c>
      <c r="D18" t="s">
        <v>88</v>
      </c>
      <c r="E18" t="s">
        <v>97</v>
      </c>
      <c r="F18" t="s">
        <v>84</v>
      </c>
      <c r="G18">
        <v>30.05</v>
      </c>
      <c r="H18">
        <v>319.58</v>
      </c>
      <c r="I18" s="95" t="s">
        <v>83</v>
      </c>
      <c r="J18" s="95" t="s">
        <v>89</v>
      </c>
      <c r="L18" s="95" t="s">
        <v>86</v>
      </c>
    </row>
    <row r="19" spans="1:12">
      <c r="A19" s="94">
        <v>19</v>
      </c>
      <c r="B19" s="236"/>
      <c r="C19" s="236"/>
      <c r="D19" s="235"/>
      <c r="E19" s="235"/>
      <c r="F19" s="235"/>
      <c r="G19" s="237"/>
      <c r="H19" s="237"/>
    </row>
    <row r="20" spans="1:12">
      <c r="A20" s="94">
        <v>20</v>
      </c>
      <c r="B20" s="236"/>
      <c r="C20" s="236"/>
      <c r="D20" s="235"/>
      <c r="E20" s="235"/>
      <c r="F20" s="235"/>
      <c r="G20" s="237"/>
      <c r="H20" s="237"/>
    </row>
    <row r="21" spans="1:12">
      <c r="A21" s="94">
        <v>21</v>
      </c>
      <c r="B21" s="235"/>
      <c r="C21" s="235"/>
      <c r="D21" s="235"/>
      <c r="E21" s="235"/>
      <c r="F21" s="235"/>
      <c r="G21" s="235"/>
      <c r="H21" s="235"/>
    </row>
    <row r="22" spans="1:12">
      <c r="A22" s="94">
        <v>22</v>
      </c>
      <c r="B22" s="236"/>
      <c r="C22" s="236"/>
      <c r="D22" s="235"/>
      <c r="E22" s="235"/>
      <c r="F22" s="235"/>
      <c r="G22" s="237"/>
      <c r="H22" s="237"/>
    </row>
    <row r="23" spans="1:12">
      <c r="A23" s="94">
        <v>23</v>
      </c>
      <c r="B23" s="235"/>
      <c r="C23" s="235"/>
      <c r="D23" s="235"/>
      <c r="E23" s="235"/>
      <c r="F23" s="235"/>
      <c r="G23" s="235"/>
      <c r="H23" s="235"/>
    </row>
    <row r="24" spans="1:12">
      <c r="A24" s="94">
        <v>24</v>
      </c>
      <c r="B24" s="236"/>
      <c r="C24" s="236"/>
      <c r="D24" s="235"/>
      <c r="E24" s="235"/>
      <c r="F24" s="235"/>
      <c r="G24" s="237"/>
      <c r="H24" s="237"/>
      <c r="J24" s="101"/>
      <c r="K24" s="101"/>
    </row>
    <row r="25" spans="1:12">
      <c r="A25" s="94">
        <v>25</v>
      </c>
      <c r="B25" s="235"/>
      <c r="C25" s="235"/>
      <c r="D25" s="235"/>
      <c r="E25" s="235"/>
      <c r="F25" s="235"/>
      <c r="G25" s="235"/>
      <c r="H25" s="235"/>
    </row>
    <row r="26" spans="1:12">
      <c r="A26" s="94">
        <v>26</v>
      </c>
    </row>
    <row r="27" spans="1:12">
      <c r="A27" s="94">
        <v>27</v>
      </c>
      <c r="B27" s="104"/>
      <c r="C27" s="104"/>
    </row>
    <row r="28" spans="1:12">
      <c r="A28" s="94">
        <v>28</v>
      </c>
      <c r="B28" s="104"/>
      <c r="C28" s="104"/>
      <c r="G28" s="100"/>
      <c r="H28" s="100"/>
    </row>
    <row r="29" spans="1:12">
      <c r="A29" s="94">
        <v>29</v>
      </c>
      <c r="B29" s="104"/>
      <c r="C29" s="104"/>
    </row>
    <row r="30" spans="1:12">
      <c r="A30" s="94">
        <v>30</v>
      </c>
      <c r="B30" s="104"/>
      <c r="C30" s="104"/>
      <c r="G30" s="100"/>
      <c r="H30" s="100"/>
    </row>
    <row r="31" spans="1:12">
      <c r="A31" s="94">
        <v>31</v>
      </c>
      <c r="B31" s="104"/>
      <c r="C31" s="104"/>
    </row>
    <row r="32" spans="1:12">
      <c r="A32" s="94">
        <v>32</v>
      </c>
      <c r="B32" s="104"/>
      <c r="C32" s="104"/>
      <c r="G32" s="100"/>
      <c r="H32" s="100"/>
      <c r="I32" s="95" t="s">
        <v>83</v>
      </c>
      <c r="J32" s="101"/>
      <c r="K32" s="101"/>
    </row>
    <row r="33" spans="1:11">
      <c r="A33" s="94">
        <v>33</v>
      </c>
      <c r="B33" s="104"/>
      <c r="C33" s="104"/>
    </row>
    <row r="34" spans="1:11">
      <c r="A34" s="94">
        <v>34</v>
      </c>
      <c r="B34" s="104"/>
      <c r="C34" s="104"/>
      <c r="G34" s="100"/>
      <c r="H34" s="100"/>
      <c r="I34" s="101"/>
      <c r="J34" s="101"/>
      <c r="K34" s="101"/>
    </row>
    <row r="35" spans="1:11">
      <c r="A35" s="94">
        <v>35</v>
      </c>
      <c r="B35" s="104"/>
      <c r="C35" s="104"/>
    </row>
    <row r="36" spans="1:11">
      <c r="A36" s="94">
        <v>36</v>
      </c>
      <c r="B36" s="104"/>
      <c r="C36" s="104"/>
      <c r="G36" s="100"/>
      <c r="H36" s="100"/>
      <c r="I36" s="101"/>
      <c r="J36" s="101"/>
      <c r="K36" s="101"/>
    </row>
    <row r="37" spans="1:11">
      <c r="A37" s="94">
        <v>37</v>
      </c>
      <c r="B37" s="104"/>
      <c r="C37" s="104"/>
      <c r="G37" s="100"/>
      <c r="H37" s="100"/>
    </row>
    <row r="38" spans="1:11">
      <c r="A38" s="94">
        <v>38</v>
      </c>
      <c r="B38" s="104"/>
      <c r="C38" s="104"/>
      <c r="G38" s="100"/>
      <c r="H38" s="100"/>
    </row>
    <row r="39" spans="1:11">
      <c r="A39" s="94">
        <v>39</v>
      </c>
      <c r="B39" s="107"/>
      <c r="C39" s="104"/>
    </row>
    <row r="40" spans="1:11">
      <c r="A40" s="94">
        <v>40</v>
      </c>
      <c r="B40" s="99"/>
      <c r="C40" s="104"/>
      <c r="G40" s="100"/>
      <c r="H40" s="100"/>
      <c r="I40" s="101"/>
      <c r="J40" s="101"/>
      <c r="K40" s="101"/>
    </row>
    <row r="41" spans="1:11">
      <c r="A41" s="94">
        <v>41</v>
      </c>
      <c r="B41" s="107"/>
      <c r="C41" s="104"/>
    </row>
    <row r="42" spans="1:11">
      <c r="A42" s="94">
        <v>42</v>
      </c>
      <c r="B42" s="99"/>
      <c r="C42" s="104"/>
      <c r="G42" s="100"/>
      <c r="H42" s="100"/>
      <c r="I42" s="101"/>
      <c r="J42" s="101"/>
      <c r="K42" s="101"/>
    </row>
    <row r="43" spans="1:11">
      <c r="A43" s="94">
        <v>43</v>
      </c>
      <c r="B43" s="107"/>
      <c r="C43" s="105"/>
    </row>
    <row r="44" spans="1:11">
      <c r="A44" s="94">
        <v>44</v>
      </c>
      <c r="B44" s="99"/>
      <c r="C44" s="104"/>
      <c r="G44" s="100"/>
      <c r="H44" s="100"/>
      <c r="I44" s="101"/>
      <c r="J44" s="101"/>
      <c r="K44" s="101"/>
    </row>
    <row r="45" spans="1:11">
      <c r="A45" s="94">
        <v>45</v>
      </c>
      <c r="B45" s="107"/>
      <c r="C45" s="105"/>
    </row>
    <row r="46" spans="1:11">
      <c r="A46" s="94">
        <v>46</v>
      </c>
      <c r="B46" s="99"/>
      <c r="C46" s="104"/>
      <c r="G46" s="100"/>
      <c r="H46" s="100"/>
      <c r="I46" s="101"/>
      <c r="J46" s="101"/>
      <c r="K46" s="101"/>
    </row>
    <row r="47" spans="1:11">
      <c r="A47" s="94">
        <v>47</v>
      </c>
      <c r="B47" s="107"/>
      <c r="C47" s="105"/>
    </row>
    <row r="48" spans="1:11">
      <c r="A48" s="94">
        <v>48</v>
      </c>
      <c r="B48" s="99"/>
      <c r="C48" s="104"/>
      <c r="G48" s="100"/>
      <c r="H48" s="100"/>
      <c r="I48" s="101"/>
      <c r="J48" s="101"/>
      <c r="K48" s="101"/>
    </row>
    <row r="49" spans="1:12">
      <c r="A49" s="94">
        <v>49</v>
      </c>
      <c r="C49" s="105"/>
    </row>
    <row r="50" spans="1:12">
      <c r="A50" s="94">
        <v>50</v>
      </c>
      <c r="B50" s="99"/>
      <c r="C50" s="104"/>
      <c r="G50" s="100"/>
      <c r="H50" s="100"/>
      <c r="I50" s="101"/>
      <c r="J50" s="101"/>
      <c r="K50" s="101"/>
    </row>
    <row r="51" spans="1:12">
      <c r="A51" s="94">
        <v>51</v>
      </c>
      <c r="B51" s="99"/>
      <c r="C51" s="104"/>
      <c r="G51" s="100"/>
      <c r="H51" s="100"/>
      <c r="I51" s="101"/>
      <c r="J51" s="101"/>
      <c r="K51" s="101"/>
    </row>
    <row r="52" spans="1:12">
      <c r="A52" s="94">
        <v>52</v>
      </c>
      <c r="C52" s="105"/>
    </row>
    <row r="53" spans="1:12">
      <c r="A53" s="94">
        <v>53</v>
      </c>
      <c r="B53" s="99"/>
      <c r="C53" s="104"/>
      <c r="G53" s="100"/>
      <c r="H53" s="100"/>
      <c r="I53" s="101"/>
      <c r="J53" s="101"/>
      <c r="K53" s="101"/>
    </row>
    <row r="54" spans="1:12">
      <c r="A54" s="94">
        <v>54</v>
      </c>
    </row>
    <row r="55" spans="1:12">
      <c r="A55" s="94">
        <v>55</v>
      </c>
      <c r="B55" s="99"/>
      <c r="C55" s="99"/>
      <c r="G55" s="100"/>
      <c r="H55" s="100"/>
      <c r="I55" s="101"/>
      <c r="J55" s="101"/>
      <c r="K55" s="101"/>
    </row>
    <row r="56" spans="1:12">
      <c r="A56" s="94">
        <v>56</v>
      </c>
    </row>
    <row r="57" spans="1:12">
      <c r="A57" s="94">
        <v>57</v>
      </c>
      <c r="B57" s="96" t="s">
        <v>79</v>
      </c>
      <c r="H57" s="102"/>
    </row>
    <row r="58" spans="1:12">
      <c r="A58" s="94">
        <v>58</v>
      </c>
      <c r="H58" s="100">
        <f>SUM(H6:H57)</f>
        <v>6258.6200000000008</v>
      </c>
    </row>
    <row r="59" spans="1:12">
      <c r="A59" s="94">
        <v>59</v>
      </c>
    </row>
    <row r="60" spans="1:12">
      <c r="A60" s="94">
        <v>60</v>
      </c>
    </row>
    <row r="61" spans="1:12">
      <c r="A61" s="94">
        <v>61</v>
      </c>
      <c r="G61" s="103"/>
      <c r="L61" s="101"/>
    </row>
  </sheetData>
  <mergeCells count="3">
    <mergeCell ref="B1:E1"/>
    <mergeCell ref="F1:H1"/>
    <mergeCell ref="B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Sheet1!Utskriftsområde</vt:lpstr>
    </vt:vector>
  </TitlesOfParts>
  <Company>Telenor ASA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3268em</dc:creator>
  <cp:lastModifiedBy>Tore Ausland</cp:lastModifiedBy>
  <cp:lastPrinted>2022-11-02T08:38:25Z</cp:lastPrinted>
  <dcterms:created xsi:type="dcterms:W3CDTF">2015-01-24T21:27:45Z</dcterms:created>
  <dcterms:modified xsi:type="dcterms:W3CDTF">2023-04-02T17:30:34Z</dcterms:modified>
</cp:coreProperties>
</file>