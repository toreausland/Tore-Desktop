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FO/"/>
    </mc:Choice>
  </mc:AlternateContent>
  <xr:revisionPtr revIDLastSave="7" documentId="8_{39A33348-CD1B-45FA-9E87-2BE67AA63FB8}" xr6:coauthVersionLast="47" xr6:coauthVersionMax="47" xr10:uidLastSave="{C3FEC2B5-CD3E-4C81-BED3-01D97A3FD303}"/>
  <bookViews>
    <workbookView xWindow="28680" yWindow="-120" windowWidth="29040" windowHeight="15720" xr2:uid="{56B03E08-6909-4F90-A4FC-C4E962DE94C5}"/>
  </bookViews>
  <sheets>
    <sheet name="Summary Monthly fw  JUN-DEC 23 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9" i="3" l="1"/>
  <c r="N29" i="3"/>
  <c r="O29" i="3" s="1"/>
  <c r="P29" i="3" s="1"/>
  <c r="Q29" i="3" s="1"/>
  <c r="R29" i="3" s="1"/>
  <c r="S29" i="3" s="1"/>
  <c r="T29" i="3" s="1"/>
  <c r="U29" i="3" s="1"/>
  <c r="V29" i="3" s="1"/>
  <c r="W29" i="3" s="1"/>
  <c r="O31" i="3"/>
  <c r="P31" i="3" s="1"/>
  <c r="Q31" i="3" s="1"/>
  <c r="R31" i="3" s="1"/>
  <c r="S31" i="3" s="1"/>
  <c r="L39" i="3" l="1"/>
  <c r="L49" i="3" s="1"/>
  <c r="E33" i="3"/>
  <c r="J38" i="3"/>
  <c r="J15" i="3"/>
  <c r="S32" i="3" l="1"/>
  <c r="R32" i="3"/>
  <c r="Q5" i="3"/>
  <c r="R5" i="3" s="1"/>
  <c r="Q32" i="3"/>
  <c r="X37" i="3"/>
  <c r="X48" i="3"/>
  <c r="X23" i="3"/>
  <c r="P10" i="3"/>
  <c r="U25" i="3"/>
  <c r="P25" i="3" l="1"/>
  <c r="P27" i="3" s="1"/>
  <c r="T25" i="3"/>
  <c r="R10" i="3"/>
  <c r="S5" i="3"/>
  <c r="T5" i="3" s="1"/>
  <c r="S25" i="3"/>
  <c r="Q25" i="3"/>
  <c r="R25" i="3"/>
  <c r="Q10" i="3"/>
  <c r="T31" i="3"/>
  <c r="U31" i="3" s="1"/>
  <c r="V31" i="3" s="1"/>
  <c r="W31" i="3" s="1"/>
  <c r="U32" i="3"/>
  <c r="V32" i="3" s="1"/>
  <c r="W32" i="3" s="1"/>
  <c r="W25" i="3"/>
  <c r="V25" i="3"/>
  <c r="R27" i="3" l="1"/>
  <c r="S10" i="3"/>
  <c r="S27" i="3" s="1"/>
  <c r="Q27" i="3"/>
  <c r="U5" i="3"/>
  <c r="T10" i="3"/>
  <c r="T27" i="3" s="1"/>
  <c r="V5" i="3" l="1"/>
  <c r="U10" i="3"/>
  <c r="U27" i="3" s="1"/>
  <c r="W5" i="3" l="1"/>
  <c r="V10" i="3"/>
  <c r="V27" i="3" s="1"/>
  <c r="W10" i="3" l="1"/>
  <c r="W27" i="3" s="1"/>
  <c r="N36" i="3" l="1"/>
  <c r="L10" i="3"/>
  <c r="N10" i="3"/>
  <c r="O10" i="3"/>
  <c r="X54" i="3"/>
  <c r="M35" i="3" l="1"/>
  <c r="P36" i="3"/>
  <c r="M25" i="3"/>
  <c r="O25" i="3"/>
  <c r="O27" i="3" s="1"/>
  <c r="L25" i="3"/>
  <c r="L27" i="3" s="1"/>
  <c r="N25" i="3"/>
  <c r="N27" i="3" s="1"/>
  <c r="M10" i="3"/>
  <c r="X55" i="3"/>
  <c r="X53" i="3"/>
  <c r="X47" i="3"/>
  <c r="X43" i="3"/>
  <c r="X42" i="3"/>
  <c r="X41" i="3"/>
  <c r="X38" i="3"/>
  <c r="X16" i="3"/>
  <c r="X15" i="3"/>
  <c r="X8" i="3"/>
  <c r="X9" i="3" l="1"/>
  <c r="J49" i="3"/>
  <c r="X20" i="3"/>
  <c r="X18" i="3"/>
  <c r="X14" i="3"/>
  <c r="X24" i="3"/>
  <c r="X30" i="3"/>
  <c r="X21" i="3"/>
  <c r="X17" i="3"/>
  <c r="X31" i="3"/>
  <c r="X44" i="3"/>
  <c r="X22" i="3"/>
  <c r="K49" i="3"/>
  <c r="X5" i="3"/>
  <c r="X32" i="3"/>
  <c r="X45" i="3"/>
  <c r="N35" i="3"/>
  <c r="O35" i="3" s="1"/>
  <c r="M49" i="3"/>
  <c r="X4" i="3"/>
  <c r="X6" i="3"/>
  <c r="X7" i="3"/>
  <c r="X19" i="3"/>
  <c r="X46" i="3"/>
  <c r="R36" i="3"/>
  <c r="M27" i="3"/>
  <c r="L33" i="3"/>
  <c r="L51" i="3" s="1"/>
  <c r="N49" i="3"/>
  <c r="F33" i="3"/>
  <c r="J10" i="3"/>
  <c r="I33" i="3"/>
  <c r="K10" i="3"/>
  <c r="I10" i="3"/>
  <c r="H10" i="3"/>
  <c r="G10" i="3"/>
  <c r="F10" i="3"/>
  <c r="K33" i="3"/>
  <c r="K25" i="3"/>
  <c r="J33" i="3"/>
  <c r="J25" i="3"/>
  <c r="I49" i="3"/>
  <c r="I25" i="3"/>
  <c r="H49" i="3"/>
  <c r="H33" i="3"/>
  <c r="H25" i="3"/>
  <c r="G49" i="3"/>
  <c r="G33" i="3"/>
  <c r="G25" i="3"/>
  <c r="F49" i="3"/>
  <c r="F25" i="3"/>
  <c r="E25" i="3"/>
  <c r="S36" i="3" l="1"/>
  <c r="T36" i="3" s="1"/>
  <c r="U36" i="3" s="1"/>
  <c r="V36" i="3" s="1"/>
  <c r="W36" i="3" s="1"/>
  <c r="X36" i="3"/>
  <c r="O49" i="3"/>
  <c r="P35" i="3"/>
  <c r="M33" i="3"/>
  <c r="M51" i="3" s="1"/>
  <c r="G27" i="3"/>
  <c r="G51" i="3" s="1"/>
  <c r="J27" i="3"/>
  <c r="J51" i="3" s="1"/>
  <c r="H27" i="3"/>
  <c r="H51" i="3" s="1"/>
  <c r="H56" i="3" s="1"/>
  <c r="X10" i="3"/>
  <c r="X25" i="3"/>
  <c r="K27" i="3"/>
  <c r="K51" i="3" s="1"/>
  <c r="I27" i="3"/>
  <c r="I51" i="3" s="1"/>
  <c r="I56" i="3" s="1"/>
  <c r="F27" i="3"/>
  <c r="F51" i="3" s="1"/>
  <c r="E27" i="3"/>
  <c r="J56" i="3" l="1"/>
  <c r="K56" i="3" s="1"/>
  <c r="L56" i="3" s="1"/>
  <c r="X27" i="3"/>
  <c r="Y27" i="3" s="1"/>
  <c r="Q35" i="3"/>
  <c r="P49" i="3"/>
  <c r="N33" i="3"/>
  <c r="N51" i="3" s="1"/>
  <c r="O33" i="3" l="1"/>
  <c r="O51" i="3" s="1"/>
  <c r="R35" i="3"/>
  <c r="Q49" i="3"/>
  <c r="R49" i="3" l="1"/>
  <c r="S35" i="3"/>
  <c r="P33" i="3"/>
  <c r="P51" i="3" s="1"/>
  <c r="X39" i="3"/>
  <c r="X40" i="3"/>
  <c r="T35" i="3" l="1"/>
  <c r="S49" i="3"/>
  <c r="Q33" i="3"/>
  <c r="Q51" i="3" s="1"/>
  <c r="E49" i="3"/>
  <c r="E51" i="3" s="1"/>
  <c r="E56" i="3" s="1"/>
  <c r="F56" i="3" l="1"/>
  <c r="G56" i="3" s="1"/>
  <c r="R33" i="3"/>
  <c r="R51" i="3" s="1"/>
  <c r="T49" i="3"/>
  <c r="U35" i="3"/>
  <c r="V35" i="3" l="1"/>
  <c r="U49" i="3"/>
  <c r="S33" i="3"/>
  <c r="S51" i="3" s="1"/>
  <c r="M56" i="3" l="1"/>
  <c r="N56" i="3" s="1"/>
  <c r="O56" i="3" s="1"/>
  <c r="P56" i="3" s="1"/>
  <c r="Q56" i="3" s="1"/>
  <c r="R56" i="3" s="1"/>
  <c r="S56" i="3" s="1"/>
  <c r="T33" i="3"/>
  <c r="T51" i="3" s="1"/>
  <c r="W35" i="3"/>
  <c r="V49" i="3"/>
  <c r="W49" i="3" l="1"/>
  <c r="X35" i="3"/>
  <c r="X49" i="3" s="1"/>
  <c r="T56" i="3"/>
  <c r="U33" i="3"/>
  <c r="U51" i="3" s="1"/>
  <c r="U56" i="3" l="1"/>
  <c r="V33" i="3"/>
  <c r="V51" i="3" s="1"/>
  <c r="W33" i="3" l="1"/>
  <c r="W51" i="3" s="1"/>
  <c r="X29" i="3"/>
  <c r="X33" i="3" s="1"/>
  <c r="X51" i="3" s="1"/>
  <c r="V56" i="3"/>
  <c r="W56" i="3" l="1"/>
</calcChain>
</file>

<file path=xl/sharedStrings.xml><?xml version="1.0" encoding="utf-8"?>
<sst xmlns="http://schemas.openxmlformats.org/spreadsheetml/2006/main" count="73" uniqueCount="66">
  <si>
    <t>Month</t>
  </si>
  <si>
    <t>SUM</t>
  </si>
  <si>
    <t>Revenues:</t>
  </si>
  <si>
    <t>Sum Revenues:</t>
  </si>
  <si>
    <t>Cost of Sales:</t>
  </si>
  <si>
    <t>Dunlop Hiflex</t>
  </si>
  <si>
    <t>Trade Tech</t>
  </si>
  <si>
    <t>Ship &amp; Rig</t>
  </si>
  <si>
    <t>Ace Winches</t>
  </si>
  <si>
    <t>Norse offshore</t>
  </si>
  <si>
    <t>Sum Cost of sales</t>
  </si>
  <si>
    <t>Other Charges</t>
  </si>
  <si>
    <t>Leasing Cost DNB /3step it</t>
  </si>
  <si>
    <t>Sum Other Charges</t>
  </si>
  <si>
    <t>Overhead &amp; Ind. Overhead</t>
  </si>
  <si>
    <t>FO AS</t>
  </si>
  <si>
    <t>FOS AS -Salary &amp; Social Costs</t>
  </si>
  <si>
    <t>Office Rent</t>
  </si>
  <si>
    <t>Consultants</t>
  </si>
  <si>
    <t>Operation and Maintenance of Offices</t>
  </si>
  <si>
    <t>Audit and Accounting</t>
  </si>
  <si>
    <t>Travel Expense</t>
  </si>
  <si>
    <t>Sales and Marketing</t>
  </si>
  <si>
    <t>Insurance</t>
  </si>
  <si>
    <t>Shipping and Transportation</t>
  </si>
  <si>
    <t>Office and Administration</t>
  </si>
  <si>
    <t>Other Operating Expenses</t>
  </si>
  <si>
    <t>Sum Overheads</t>
  </si>
  <si>
    <t>EBITDA</t>
  </si>
  <si>
    <t>VAT /MVA tilbake /  VAT/ MVA Pay back</t>
  </si>
  <si>
    <t>PG Flow Solution</t>
  </si>
  <si>
    <t>Mobilization/Demob</t>
  </si>
  <si>
    <t>Others</t>
  </si>
  <si>
    <t>Cost of sales suppliers</t>
  </si>
  <si>
    <t>BANK BALANCE</t>
  </si>
  <si>
    <t xml:space="preserve">FOS AS 2023 </t>
  </si>
  <si>
    <t>Buffer</t>
  </si>
  <si>
    <t>Circular Services</t>
  </si>
  <si>
    <t>Operation Cost Askepott</t>
  </si>
  <si>
    <t>Equinor F-32 Operation &amp;Mob/demob</t>
  </si>
  <si>
    <t>Skattefunn,Innovation Norway grants, RFF vestland</t>
  </si>
  <si>
    <t>Mob Demob Askepott</t>
  </si>
  <si>
    <t>JUN</t>
  </si>
  <si>
    <t>JUL</t>
  </si>
  <si>
    <t>AUG</t>
  </si>
  <si>
    <t>SEP</t>
  </si>
  <si>
    <t>OKT</t>
  </si>
  <si>
    <t>NOV</t>
  </si>
  <si>
    <t>DES</t>
  </si>
  <si>
    <t>CASHLIQUIDITY</t>
  </si>
  <si>
    <t>Monthly Cash flow forecast</t>
  </si>
  <si>
    <t>Stamas</t>
  </si>
  <si>
    <t>CASHFLOW</t>
  </si>
  <si>
    <t>Cash from investors</t>
  </si>
  <si>
    <t>Gross profit</t>
  </si>
  <si>
    <t>JAN</t>
  </si>
  <si>
    <t>FEB</t>
  </si>
  <si>
    <t>MAR</t>
  </si>
  <si>
    <t>APR</t>
  </si>
  <si>
    <t>MAI</t>
  </si>
  <si>
    <t>Prosjekt 1024-Equinor - Askepott Baker 1001 Days</t>
  </si>
  <si>
    <t>Prosjekt F10-Equinor - Oseberg Sør</t>
  </si>
  <si>
    <t>Equinor Snorre A-B - Njord</t>
  </si>
  <si>
    <t>50 % Finance structure Process equipment</t>
  </si>
  <si>
    <t>Downpayment Creditline DNB (based on 3,5mnok credit)</t>
  </si>
  <si>
    <t>Cash from Guarantee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</si>
</sst>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7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3" borderId="0" xfId="0" applyFont="1" applyFill="1"/>
    <xf numFmtId="0" fontId="4" fillId="2" borderId="1" xfId="0" applyFont="1" applyFill="1" applyBorder="1"/>
    <xf numFmtId="0" fontId="3" fillId="2" borderId="0" xfId="0" applyFont="1" applyFill="1" applyAlignment="1">
      <alignment horizontal="right"/>
    </xf>
    <xf numFmtId="164" fontId="0" fillId="0" borderId="0" xfId="0" applyNumberFormat="1"/>
    <xf numFmtId="164" fontId="0" fillId="0" borderId="2" xfId="0" applyNumberFormat="1" applyBorder="1"/>
    <xf numFmtId="164" fontId="0" fillId="0" borderId="3" xfId="0" applyNumberFormat="1" applyBorder="1"/>
    <xf numFmtId="0" fontId="2" fillId="0" borderId="0" xfId="0" applyFont="1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164" fontId="0" fillId="0" borderId="5" xfId="0" applyNumberFormat="1" applyBorder="1"/>
    <xf numFmtId="0" fontId="2" fillId="0" borderId="0" xfId="0" applyFont="1" applyAlignment="1">
      <alignment horizontal="right"/>
    </xf>
    <xf numFmtId="0" fontId="2" fillId="0" borderId="6" xfId="0" applyFont="1" applyBorder="1"/>
    <xf numFmtId="164" fontId="2" fillId="0" borderId="6" xfId="0" applyNumberFormat="1" applyFont="1" applyBorder="1"/>
    <xf numFmtId="164" fontId="2" fillId="0" borderId="7" xfId="0" applyNumberFormat="1" applyFont="1" applyBorder="1"/>
    <xf numFmtId="0" fontId="0" fillId="0" borderId="6" xfId="0" applyBorder="1"/>
    <xf numFmtId="164" fontId="2" fillId="0" borderId="0" xfId="0" applyNumberFormat="1" applyFont="1"/>
    <xf numFmtId="0" fontId="0" fillId="0" borderId="8" xfId="0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3" borderId="10" xfId="0" applyFont="1" applyFill="1" applyBorder="1" applyAlignment="1">
      <alignment horizontal="right"/>
    </xf>
    <xf numFmtId="0" fontId="6" fillId="3" borderId="11" xfId="0" applyFont="1" applyFill="1" applyBorder="1"/>
    <xf numFmtId="0" fontId="0" fillId="4" borderId="0" xfId="0" applyFill="1"/>
    <xf numFmtId="0" fontId="6" fillId="0" borderId="10" xfId="0" applyFont="1" applyBorder="1" applyAlignment="1">
      <alignment horizontal="right"/>
    </xf>
    <xf numFmtId="0" fontId="6" fillId="0" borderId="11" xfId="0" applyFont="1" applyBorder="1"/>
    <xf numFmtId="164" fontId="6" fillId="0" borderId="11" xfId="0" applyNumberFormat="1" applyFont="1" applyBorder="1"/>
    <xf numFmtId="164" fontId="2" fillId="0" borderId="2" xfId="0" applyNumberFormat="1" applyFont="1" applyBorder="1"/>
    <xf numFmtId="164" fontId="0" fillId="0" borderId="13" xfId="0" applyNumberFormat="1" applyBorder="1"/>
    <xf numFmtId="0" fontId="0" fillId="0" borderId="2" xfId="0" applyBorder="1"/>
    <xf numFmtId="164" fontId="6" fillId="0" borderId="14" xfId="0" applyNumberFormat="1" applyFont="1" applyBorder="1"/>
    <xf numFmtId="0" fontId="0" fillId="0" borderId="7" xfId="0" applyBorder="1"/>
    <xf numFmtId="0" fontId="0" fillId="0" borderId="9" xfId="0" applyBorder="1"/>
    <xf numFmtId="0" fontId="0" fillId="0" borderId="15" xfId="0" applyBorder="1"/>
    <xf numFmtId="0" fontId="6" fillId="0" borderId="14" xfId="0" applyFont="1" applyBorder="1"/>
    <xf numFmtId="0" fontId="2" fillId="0" borderId="7" xfId="0" applyFont="1" applyBorder="1"/>
    <xf numFmtId="164" fontId="7" fillId="0" borderId="6" xfId="0" applyNumberFormat="1" applyFont="1" applyBorder="1"/>
    <xf numFmtId="164" fontId="7" fillId="0" borderId="7" xfId="0" applyNumberFormat="1" applyFont="1" applyBorder="1"/>
    <xf numFmtId="164" fontId="7" fillId="0" borderId="9" xfId="0" applyNumberFormat="1" applyFont="1" applyBorder="1"/>
    <xf numFmtId="164" fontId="7" fillId="0" borderId="2" xfId="0" applyNumberFormat="1" applyFont="1" applyBorder="1"/>
    <xf numFmtId="0" fontId="5" fillId="3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64" fontId="7" fillId="0" borderId="0" xfId="0" applyNumberFormat="1" applyFont="1"/>
    <xf numFmtId="0" fontId="6" fillId="0" borderId="0" xfId="0" applyFont="1"/>
    <xf numFmtId="0" fontId="10" fillId="0" borderId="0" xfId="0" applyFont="1" applyAlignment="1">
      <alignment horizontal="right"/>
    </xf>
    <xf numFmtId="0" fontId="1" fillId="2" borderId="0" xfId="0" applyFont="1" applyFill="1"/>
    <xf numFmtId="0" fontId="6" fillId="3" borderId="0" xfId="0" applyFont="1" applyFill="1"/>
    <xf numFmtId="0" fontId="6" fillId="3" borderId="14" xfId="0" applyFont="1" applyFill="1" applyBorder="1"/>
    <xf numFmtId="0" fontId="0" fillId="0" borderId="5" xfId="0" applyBorder="1"/>
    <xf numFmtId="0" fontId="0" fillId="0" borderId="3" xfId="0" applyBorder="1"/>
    <xf numFmtId="16" fontId="0" fillId="0" borderId="2" xfId="0" applyNumberFormat="1" applyBorder="1"/>
    <xf numFmtId="3" fontId="0" fillId="0" borderId="2" xfId="0" applyNumberFormat="1" applyBorder="1"/>
    <xf numFmtId="3" fontId="2" fillId="0" borderId="2" xfId="0" applyNumberFormat="1" applyFont="1" applyBorder="1"/>
    <xf numFmtId="164" fontId="2" fillId="0" borderId="14" xfId="0" applyNumberFormat="1" applyFont="1" applyBorder="1"/>
    <xf numFmtId="10" fontId="12" fillId="0" borderId="2" xfId="1" applyNumberFormat="1" applyFont="1" applyFill="1" applyBorder="1"/>
    <xf numFmtId="164" fontId="2" fillId="0" borderId="11" xfId="0" applyNumberFormat="1" applyFont="1" applyBorder="1"/>
    <xf numFmtId="164" fontId="7" fillId="0" borderId="3" xfId="0" applyNumberFormat="1" applyFont="1" applyBorder="1"/>
    <xf numFmtId="0" fontId="7" fillId="0" borderId="0" xfId="0" applyFont="1" applyAlignment="1">
      <alignment horizontal="right"/>
    </xf>
    <xf numFmtId="164" fontId="14" fillId="0" borderId="0" xfId="0" applyNumberFormat="1" applyFont="1"/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5" borderId="0" xfId="0" applyFill="1"/>
    <xf numFmtId="0" fontId="0" fillId="0" borderId="1" xfId="0" applyBorder="1"/>
    <xf numFmtId="0" fontId="0" fillId="0" borderId="16" xfId="0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4" fontId="0" fillId="3" borderId="0" xfId="0" applyNumberFormat="1" applyFill="1"/>
    <xf numFmtId="164" fontId="0" fillId="6" borderId="2" xfId="0" applyNumberFormat="1" applyFill="1" applyBorder="1"/>
  </cellXfs>
  <cellStyles count="2">
    <cellStyle name="Normal" xfId="0" builtinId="0"/>
    <cellStyle name="Pros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CC20-2577-44B4-B69C-1261BE8B5EEB}">
  <dimension ref="A1:Z60"/>
  <sheetViews>
    <sheetView tabSelected="1" zoomScale="70" zoomScaleNormal="70" workbookViewId="0">
      <pane xSplit="2" ySplit="2" topLeftCell="F14" activePane="bottomRight" state="frozen"/>
      <selection pane="topRight" activeCell="C1" sqref="C1"/>
      <selection pane="bottomLeft" activeCell="A3" sqref="A3"/>
      <selection pane="bottomRight" activeCell="M52" sqref="M52"/>
    </sheetView>
  </sheetViews>
  <sheetFormatPr baseColWidth="10" defaultRowHeight="15" x14ac:dyDescent="0.25"/>
  <cols>
    <col min="1" max="1" width="37.42578125" customWidth="1"/>
    <col min="2" max="2" width="61.7109375" customWidth="1"/>
    <col min="3" max="3" width="14.28515625" customWidth="1"/>
    <col min="4" max="4" width="10.28515625" customWidth="1"/>
    <col min="5" max="23" width="18.42578125" customWidth="1"/>
    <col min="24" max="24" width="18.28515625" customWidth="1"/>
    <col min="26" max="26" width="4" customWidth="1"/>
  </cols>
  <sheetData>
    <row r="1" spans="1:26" ht="18.75" x14ac:dyDescent="0.3">
      <c r="A1" s="1" t="s">
        <v>35</v>
      </c>
      <c r="B1" s="1" t="s">
        <v>50</v>
      </c>
      <c r="C1" s="2"/>
      <c r="D1" s="1"/>
      <c r="E1" s="63">
        <v>2023</v>
      </c>
      <c r="F1" s="64">
        <v>2023</v>
      </c>
      <c r="G1" s="64">
        <v>2023</v>
      </c>
      <c r="H1" s="69">
        <v>2023</v>
      </c>
      <c r="I1" s="63">
        <v>2023</v>
      </c>
      <c r="J1" s="64">
        <v>2023</v>
      </c>
      <c r="K1" s="64">
        <v>2023</v>
      </c>
      <c r="L1" s="68">
        <v>2024</v>
      </c>
      <c r="M1" s="68">
        <v>2024</v>
      </c>
      <c r="N1" s="68">
        <v>2024</v>
      </c>
      <c r="O1" s="68">
        <v>2024</v>
      </c>
      <c r="P1" s="68">
        <v>2024</v>
      </c>
      <c r="Q1" s="68">
        <v>2024</v>
      </c>
      <c r="R1" s="68">
        <v>2024</v>
      </c>
      <c r="S1" s="68">
        <v>2024</v>
      </c>
      <c r="T1" s="68">
        <v>2024</v>
      </c>
      <c r="U1" s="68">
        <v>2024</v>
      </c>
      <c r="V1" s="68">
        <v>2024</v>
      </c>
      <c r="W1" s="68">
        <v>2024</v>
      </c>
      <c r="X1" s="3">
        <v>24</v>
      </c>
    </row>
    <row r="2" spans="1:26" ht="18.75" x14ac:dyDescent="0.3">
      <c r="A2" s="4"/>
      <c r="B2" s="4"/>
      <c r="C2" s="1"/>
      <c r="D2" s="1" t="s">
        <v>0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49" t="s">
        <v>55</v>
      </c>
      <c r="M2" s="49" t="s">
        <v>56</v>
      </c>
      <c r="N2" s="49" t="s">
        <v>57</v>
      </c>
      <c r="O2" s="49" t="s">
        <v>58</v>
      </c>
      <c r="P2" s="49" t="s">
        <v>59</v>
      </c>
      <c r="Q2" s="49" t="s">
        <v>42</v>
      </c>
      <c r="R2" s="49" t="s">
        <v>43</v>
      </c>
      <c r="S2" s="49" t="s">
        <v>44</v>
      </c>
      <c r="T2" s="49" t="s">
        <v>45</v>
      </c>
      <c r="U2" s="49" t="s">
        <v>46</v>
      </c>
      <c r="V2" s="49" t="s">
        <v>47</v>
      </c>
      <c r="W2" s="49" t="s">
        <v>48</v>
      </c>
      <c r="X2" s="5" t="s">
        <v>1</v>
      </c>
    </row>
    <row r="3" spans="1:26" x14ac:dyDescent="0.25">
      <c r="A3" s="26"/>
      <c r="C3" s="53"/>
      <c r="D3" s="53"/>
      <c r="E3" s="6"/>
      <c r="F3" s="6"/>
      <c r="G3" s="6"/>
      <c r="H3" s="8"/>
      <c r="I3" s="6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32"/>
    </row>
    <row r="4" spans="1:26" ht="15.75" x14ac:dyDescent="0.25">
      <c r="A4" s="9" t="s">
        <v>2</v>
      </c>
      <c r="B4" s="10" t="s">
        <v>40</v>
      </c>
      <c r="C4" s="32"/>
      <c r="D4" s="32"/>
      <c r="E4" s="6">
        <v>0</v>
      </c>
      <c r="F4" s="6">
        <v>0</v>
      </c>
      <c r="G4" s="6">
        <v>0</v>
      </c>
      <c r="H4" s="7">
        <v>755000</v>
      </c>
      <c r="I4" s="6">
        <v>0</v>
      </c>
      <c r="J4" s="6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755000</v>
      </c>
      <c r="U4" s="7">
        <v>0</v>
      </c>
      <c r="V4" s="7">
        <v>0</v>
      </c>
      <c r="W4" s="7">
        <v>0</v>
      </c>
      <c r="X4" s="42">
        <f>SUM(E4:W4)</f>
        <v>1510000</v>
      </c>
      <c r="Z4" s="65"/>
    </row>
    <row r="5" spans="1:26" x14ac:dyDescent="0.25">
      <c r="B5" s="43" t="s">
        <v>62</v>
      </c>
      <c r="C5" s="32"/>
      <c r="D5" s="32"/>
      <c r="E5" s="6">
        <v>0</v>
      </c>
      <c r="F5" s="6">
        <v>0</v>
      </c>
      <c r="G5" s="6">
        <v>0</v>
      </c>
      <c r="H5" s="7">
        <v>0</v>
      </c>
      <c r="I5" s="6">
        <v>0</v>
      </c>
      <c r="J5" s="6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f>Q6</f>
        <v>0</v>
      </c>
      <c r="R5" s="7">
        <f t="shared" ref="R5:W5" si="0">Q5</f>
        <v>0</v>
      </c>
      <c r="S5" s="7">
        <f t="shared" si="0"/>
        <v>0</v>
      </c>
      <c r="T5" s="7">
        <f t="shared" si="0"/>
        <v>0</v>
      </c>
      <c r="U5" s="7">
        <f t="shared" si="0"/>
        <v>0</v>
      </c>
      <c r="V5" s="7">
        <f t="shared" si="0"/>
        <v>0</v>
      </c>
      <c r="W5" s="7">
        <f t="shared" si="0"/>
        <v>0</v>
      </c>
      <c r="X5" s="42">
        <f t="shared" ref="X5:X9" si="1">SUM(E5:W5)</f>
        <v>0</v>
      </c>
      <c r="Z5" s="65"/>
    </row>
    <row r="6" spans="1:26" x14ac:dyDescent="0.25">
      <c r="A6" s="61"/>
      <c r="B6" s="43" t="s">
        <v>60</v>
      </c>
      <c r="C6" s="32">
        <v>52863</v>
      </c>
      <c r="D6" s="32"/>
      <c r="E6" s="6">
        <v>0</v>
      </c>
      <c r="F6" s="6">
        <v>0</v>
      </c>
      <c r="G6" s="6">
        <v>461000</v>
      </c>
      <c r="H6" s="7">
        <v>0</v>
      </c>
      <c r="I6" s="6">
        <v>0</v>
      </c>
      <c r="J6" s="6">
        <v>0</v>
      </c>
      <c r="K6" s="7">
        <v>0</v>
      </c>
      <c r="L6" s="7"/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42">
        <f t="shared" si="1"/>
        <v>461000</v>
      </c>
      <c r="Z6" s="65"/>
    </row>
    <row r="7" spans="1:26" x14ac:dyDescent="0.25">
      <c r="A7" s="61"/>
      <c r="B7" s="43" t="s">
        <v>41</v>
      </c>
      <c r="C7" s="32">
        <v>145000</v>
      </c>
      <c r="D7" s="32"/>
      <c r="E7" s="6">
        <v>0</v>
      </c>
      <c r="F7" s="6">
        <v>0</v>
      </c>
      <c r="G7" s="6">
        <v>0</v>
      </c>
      <c r="H7" s="7">
        <v>0</v>
      </c>
      <c r="I7" s="6">
        <v>0</v>
      </c>
      <c r="J7" s="6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42">
        <f t="shared" si="1"/>
        <v>0</v>
      </c>
      <c r="Z7" s="65"/>
    </row>
    <row r="8" spans="1:26" x14ac:dyDescent="0.25">
      <c r="A8" s="48"/>
      <c r="B8" s="10" t="s">
        <v>39</v>
      </c>
      <c r="C8" s="32">
        <v>145000</v>
      </c>
      <c r="D8" s="32"/>
      <c r="E8" s="6">
        <v>0</v>
      </c>
      <c r="F8" s="6">
        <v>0</v>
      </c>
      <c r="G8" s="6">
        <v>0</v>
      </c>
      <c r="H8" s="7">
        <v>0</v>
      </c>
      <c r="I8" s="6">
        <v>0</v>
      </c>
      <c r="J8" s="6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42">
        <f t="shared" si="1"/>
        <v>0</v>
      </c>
      <c r="Z8" s="65"/>
    </row>
    <row r="9" spans="1:26" x14ac:dyDescent="0.25">
      <c r="A9" s="48"/>
      <c r="B9" s="11" t="s">
        <v>61</v>
      </c>
      <c r="C9" s="52">
        <v>145000</v>
      </c>
      <c r="D9" s="52"/>
      <c r="E9" s="6">
        <v>0</v>
      </c>
      <c r="F9" s="6">
        <v>0</v>
      </c>
      <c r="G9" s="6">
        <v>0</v>
      </c>
      <c r="H9" s="7">
        <v>0</v>
      </c>
      <c r="I9" s="6">
        <v>0</v>
      </c>
      <c r="J9" s="6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42">
        <f t="shared" si="1"/>
        <v>0</v>
      </c>
      <c r="Z9" s="65"/>
    </row>
    <row r="10" spans="1:26" ht="15.75" x14ac:dyDescent="0.25">
      <c r="A10" s="13" t="s">
        <v>3</v>
      </c>
      <c r="B10" s="14"/>
      <c r="C10" s="38"/>
      <c r="D10" s="38"/>
      <c r="E10" s="15">
        <v>0</v>
      </c>
      <c r="F10" s="15">
        <f t="shared" ref="F10:O10" si="2">SUM(F4:F9)</f>
        <v>0</v>
      </c>
      <c r="G10" s="15">
        <f t="shared" si="2"/>
        <v>461000</v>
      </c>
      <c r="H10" s="16">
        <f t="shared" si="2"/>
        <v>755000</v>
      </c>
      <c r="I10" s="15">
        <f t="shared" si="2"/>
        <v>0</v>
      </c>
      <c r="J10" s="15">
        <f t="shared" si="2"/>
        <v>0</v>
      </c>
      <c r="K10" s="16">
        <f t="shared" si="2"/>
        <v>0</v>
      </c>
      <c r="L10" s="16">
        <f>SUM(L4:L9)</f>
        <v>0</v>
      </c>
      <c r="M10" s="16">
        <f>SUM(M4:M9)</f>
        <v>0</v>
      </c>
      <c r="N10" s="16">
        <f t="shared" si="2"/>
        <v>0</v>
      </c>
      <c r="O10" s="16">
        <f t="shared" si="2"/>
        <v>0</v>
      </c>
      <c r="P10" s="16">
        <f>SUM(P4:P9)</f>
        <v>0</v>
      </c>
      <c r="Q10" s="16">
        <f t="shared" ref="Q10:W10" si="3">SUM(Q4:Q9)</f>
        <v>0</v>
      </c>
      <c r="R10" s="16">
        <f t="shared" si="3"/>
        <v>0</v>
      </c>
      <c r="S10" s="16">
        <f t="shared" si="3"/>
        <v>0</v>
      </c>
      <c r="T10" s="16">
        <f t="shared" si="3"/>
        <v>755000</v>
      </c>
      <c r="U10" s="16">
        <f t="shared" si="3"/>
        <v>0</v>
      </c>
      <c r="V10" s="16">
        <f t="shared" si="3"/>
        <v>0</v>
      </c>
      <c r="W10" s="16">
        <f t="shared" si="3"/>
        <v>0</v>
      </c>
      <c r="X10" s="16">
        <f>SUM(X4:X9)</f>
        <v>1971000</v>
      </c>
    </row>
    <row r="11" spans="1:26" x14ac:dyDescent="0.25">
      <c r="C11" s="32"/>
      <c r="D11" s="53"/>
      <c r="E11" s="6"/>
      <c r="F11" s="6"/>
      <c r="G11" s="6"/>
      <c r="H11" s="7"/>
      <c r="I11" s="6"/>
      <c r="J11" s="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6" ht="15.75" x14ac:dyDescent="0.25">
      <c r="A12" s="9" t="s">
        <v>4</v>
      </c>
      <c r="C12" s="32"/>
      <c r="D12" s="32"/>
      <c r="E12" s="6"/>
      <c r="F12" s="6"/>
      <c r="G12" s="6"/>
      <c r="H12" s="7"/>
      <c r="I12" s="6"/>
      <c r="J12" s="6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Z12" s="65"/>
    </row>
    <row r="13" spans="1:26" x14ac:dyDescent="0.25">
      <c r="A13" s="10" t="s">
        <v>33</v>
      </c>
      <c r="B13" s="10"/>
      <c r="C13" s="32"/>
      <c r="D13" s="32"/>
      <c r="E13" s="6"/>
      <c r="F13" s="6"/>
      <c r="G13" s="6"/>
      <c r="H13" s="7"/>
      <c r="I13" s="6"/>
      <c r="J13" s="6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Z13" s="65"/>
    </row>
    <row r="14" spans="1:26" x14ac:dyDescent="0.25">
      <c r="B14" s="10" t="s">
        <v>5</v>
      </c>
      <c r="C14" s="32"/>
      <c r="D14" s="54"/>
      <c r="E14" s="6">
        <v>0</v>
      </c>
      <c r="F14" s="6">
        <v>0</v>
      </c>
      <c r="G14" s="6">
        <v>0</v>
      </c>
      <c r="H14" s="7">
        <v>0</v>
      </c>
      <c r="I14" s="6">
        <v>0</v>
      </c>
      <c r="J14" s="6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42">
        <f>SUM(E14:W14)</f>
        <v>0</v>
      </c>
      <c r="Z14" s="65"/>
    </row>
    <row r="15" spans="1:26" x14ac:dyDescent="0.25">
      <c r="B15" s="10" t="s">
        <v>6</v>
      </c>
      <c r="C15" s="32"/>
      <c r="D15" s="32"/>
      <c r="E15" s="6">
        <v>0</v>
      </c>
      <c r="F15" s="6">
        <v>0</v>
      </c>
      <c r="G15" s="6">
        <v>0</v>
      </c>
      <c r="H15" s="7">
        <v>0</v>
      </c>
      <c r="I15" s="6">
        <v>0</v>
      </c>
      <c r="J15" s="6">
        <f>92981+31547</f>
        <v>124528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42">
        <f t="shared" ref="X15:X24" si="4">SUM(E15:W15)</f>
        <v>124528</v>
      </c>
      <c r="Z15" s="65"/>
    </row>
    <row r="16" spans="1:26" x14ac:dyDescent="0.25">
      <c r="B16" s="10" t="s">
        <v>7</v>
      </c>
      <c r="C16" s="32"/>
      <c r="D16" s="54"/>
      <c r="E16" s="6">
        <v>0</v>
      </c>
      <c r="F16" s="6">
        <v>0</v>
      </c>
      <c r="G16" s="6">
        <v>0</v>
      </c>
      <c r="H16" s="7">
        <v>0</v>
      </c>
      <c r="I16" s="6">
        <v>0</v>
      </c>
      <c r="J16" s="6">
        <v>199909</v>
      </c>
      <c r="K16" s="7">
        <v>3500</v>
      </c>
      <c r="L16" s="7">
        <v>3500</v>
      </c>
      <c r="M16" s="7">
        <v>3500</v>
      </c>
      <c r="N16" s="7">
        <v>3500</v>
      </c>
      <c r="O16" s="7">
        <v>3500</v>
      </c>
      <c r="P16" s="7">
        <v>3500</v>
      </c>
      <c r="Q16" s="7">
        <v>3500</v>
      </c>
      <c r="R16" s="7">
        <v>3500</v>
      </c>
      <c r="S16" s="7">
        <v>3500</v>
      </c>
      <c r="T16" s="7">
        <v>3500</v>
      </c>
      <c r="U16" s="7">
        <v>3500</v>
      </c>
      <c r="V16" s="7">
        <v>3500</v>
      </c>
      <c r="W16" s="7">
        <v>3500</v>
      </c>
      <c r="X16" s="42">
        <f t="shared" si="4"/>
        <v>245409</v>
      </c>
      <c r="Z16" s="65"/>
    </row>
    <row r="17" spans="1:26" x14ac:dyDescent="0.25">
      <c r="B17" s="10" t="s">
        <v>8</v>
      </c>
      <c r="C17" s="32"/>
      <c r="D17" s="54"/>
      <c r="E17" s="6">
        <v>0</v>
      </c>
      <c r="F17" s="6">
        <v>0</v>
      </c>
      <c r="G17" s="6">
        <v>0</v>
      </c>
      <c r="H17" s="7">
        <v>0</v>
      </c>
      <c r="I17" s="6">
        <v>31068</v>
      </c>
      <c r="J17" s="6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42">
        <f t="shared" si="4"/>
        <v>31068</v>
      </c>
      <c r="Z17" s="65"/>
    </row>
    <row r="18" spans="1:26" x14ac:dyDescent="0.25">
      <c r="B18" s="10" t="s">
        <v>9</v>
      </c>
      <c r="C18" s="32"/>
      <c r="D18" s="32"/>
      <c r="E18" s="6">
        <v>0</v>
      </c>
      <c r="F18" s="6">
        <v>0</v>
      </c>
      <c r="G18" s="6">
        <v>0</v>
      </c>
      <c r="H18" s="7">
        <v>0</v>
      </c>
      <c r="I18" s="6">
        <v>0</v>
      </c>
      <c r="J18" s="6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42">
        <f t="shared" si="4"/>
        <v>0</v>
      </c>
      <c r="Z18" s="65"/>
    </row>
    <row r="19" spans="1:26" x14ac:dyDescent="0.25">
      <c r="B19" s="10" t="s">
        <v>37</v>
      </c>
      <c r="C19" s="32"/>
      <c r="D19" s="54"/>
      <c r="E19" s="6">
        <v>0</v>
      </c>
      <c r="F19" s="6">
        <v>0</v>
      </c>
      <c r="G19" s="6">
        <v>0</v>
      </c>
      <c r="H19" s="7">
        <v>0</v>
      </c>
      <c r="I19" s="6">
        <v>0</v>
      </c>
      <c r="J19" s="6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42">
        <f t="shared" si="4"/>
        <v>0</v>
      </c>
      <c r="Z19" s="65"/>
    </row>
    <row r="20" spans="1:26" x14ac:dyDescent="0.25">
      <c r="B20" s="10" t="s">
        <v>30</v>
      </c>
      <c r="C20" s="32"/>
      <c r="D20" s="32"/>
      <c r="E20" s="6">
        <v>0</v>
      </c>
      <c r="F20" s="6">
        <v>0</v>
      </c>
      <c r="G20" s="6">
        <v>0</v>
      </c>
      <c r="H20" s="7">
        <v>0</v>
      </c>
      <c r="I20" s="6">
        <v>0</v>
      </c>
      <c r="J20" s="6">
        <v>223881</v>
      </c>
      <c r="K20" s="7">
        <v>0</v>
      </c>
      <c r="L20" s="7"/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42">
        <f t="shared" si="4"/>
        <v>223881</v>
      </c>
      <c r="Z20" s="65"/>
    </row>
    <row r="21" spans="1:26" x14ac:dyDescent="0.25">
      <c r="A21" s="48"/>
      <c r="B21" s="10" t="s">
        <v>31</v>
      </c>
      <c r="C21" s="32"/>
      <c r="D21" s="32"/>
      <c r="E21" s="6">
        <v>0</v>
      </c>
      <c r="F21" s="6">
        <v>0</v>
      </c>
      <c r="G21" s="6">
        <v>0</v>
      </c>
      <c r="H21" s="7">
        <v>0</v>
      </c>
      <c r="I21" s="6">
        <v>0</v>
      </c>
      <c r="J21" s="6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42">
        <f t="shared" si="4"/>
        <v>0</v>
      </c>
      <c r="Z21" s="65"/>
    </row>
    <row r="22" spans="1:26" x14ac:dyDescent="0.25">
      <c r="A22" s="48"/>
      <c r="B22" s="48" t="s">
        <v>38</v>
      </c>
      <c r="C22" s="32"/>
      <c r="D22" s="32"/>
      <c r="E22" s="6"/>
      <c r="F22" s="6"/>
      <c r="G22" s="6">
        <v>0</v>
      </c>
      <c r="H22" s="7">
        <v>0</v>
      </c>
      <c r="I22" s="6">
        <v>0</v>
      </c>
      <c r="J22" s="6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42">
        <f t="shared" si="4"/>
        <v>0</v>
      </c>
      <c r="Z22" s="65"/>
    </row>
    <row r="23" spans="1:26" x14ac:dyDescent="0.25">
      <c r="A23" s="45"/>
      <c r="B23" s="44"/>
      <c r="C23" s="32"/>
      <c r="D23" s="32"/>
      <c r="E23" s="6"/>
      <c r="F23" s="6"/>
      <c r="G23" s="6"/>
      <c r="H23" s="7"/>
      <c r="I23" s="6"/>
      <c r="J23" s="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42">
        <f t="shared" si="4"/>
        <v>0</v>
      </c>
      <c r="Z23" s="65"/>
    </row>
    <row r="24" spans="1:26" x14ac:dyDescent="0.25">
      <c r="B24" s="11" t="s">
        <v>36</v>
      </c>
      <c r="C24" s="52"/>
      <c r="D24" s="52"/>
      <c r="E24" s="6">
        <v>0</v>
      </c>
      <c r="F24" s="6">
        <v>0</v>
      </c>
      <c r="G24" s="6">
        <v>0</v>
      </c>
      <c r="H24" s="7">
        <v>0</v>
      </c>
      <c r="I24" s="6">
        <v>0</v>
      </c>
      <c r="J24" s="6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42">
        <f t="shared" si="4"/>
        <v>0</v>
      </c>
      <c r="Z24" s="65"/>
    </row>
    <row r="25" spans="1:26" ht="15.75" x14ac:dyDescent="0.25">
      <c r="A25" s="13" t="s">
        <v>10</v>
      </c>
      <c r="B25" s="17"/>
      <c r="C25" s="34"/>
      <c r="D25" s="34"/>
      <c r="E25" s="15">
        <f>SUM(E14:E24)</f>
        <v>0</v>
      </c>
      <c r="F25" s="15">
        <f t="shared" ref="F25:K25" si="5">SUM(F14:F24)</f>
        <v>0</v>
      </c>
      <c r="G25" s="15">
        <f t="shared" si="5"/>
        <v>0</v>
      </c>
      <c r="H25" s="16">
        <f t="shared" si="5"/>
        <v>0</v>
      </c>
      <c r="I25" s="15">
        <f>SUM(I14:I24)</f>
        <v>31068</v>
      </c>
      <c r="J25" s="15">
        <f t="shared" si="5"/>
        <v>548318</v>
      </c>
      <c r="K25" s="16">
        <f t="shared" si="5"/>
        <v>3500</v>
      </c>
      <c r="L25" s="16">
        <f t="shared" ref="L25:O25" si="6">SUM(L14:L24)</f>
        <v>3500</v>
      </c>
      <c r="M25" s="16">
        <f t="shared" si="6"/>
        <v>3500</v>
      </c>
      <c r="N25" s="16">
        <f>SUM(N14:N24)</f>
        <v>3500</v>
      </c>
      <c r="O25" s="16">
        <f t="shared" si="6"/>
        <v>3500</v>
      </c>
      <c r="P25" s="16">
        <f t="shared" ref="P25:W25" si="7">SUM(P14:P24)</f>
        <v>3500</v>
      </c>
      <c r="Q25" s="16">
        <f t="shared" si="7"/>
        <v>3500</v>
      </c>
      <c r="R25" s="16">
        <f t="shared" si="7"/>
        <v>3500</v>
      </c>
      <c r="S25" s="16">
        <f t="shared" si="7"/>
        <v>3500</v>
      </c>
      <c r="T25" s="16">
        <f t="shared" si="7"/>
        <v>3500</v>
      </c>
      <c r="U25" s="16">
        <f t="shared" si="7"/>
        <v>3500</v>
      </c>
      <c r="V25" s="16">
        <f t="shared" si="7"/>
        <v>3500</v>
      </c>
      <c r="W25" s="16">
        <f t="shared" si="7"/>
        <v>3500</v>
      </c>
      <c r="X25" s="16">
        <f>SUM(X14:X24)</f>
        <v>624886</v>
      </c>
    </row>
    <row r="26" spans="1:26" ht="15.75" x14ac:dyDescent="0.25">
      <c r="A26" s="13"/>
      <c r="C26" s="32"/>
      <c r="D26" s="32"/>
      <c r="E26" s="18"/>
      <c r="F26" s="18"/>
      <c r="G26" s="18"/>
      <c r="H26" s="30"/>
      <c r="I26" s="18"/>
      <c r="J26" s="18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7"/>
    </row>
    <row r="27" spans="1:26" ht="16.5" thickBot="1" x14ac:dyDescent="0.3">
      <c r="A27" s="13" t="s">
        <v>54</v>
      </c>
      <c r="B27" s="19"/>
      <c r="C27" s="35"/>
      <c r="D27" s="35"/>
      <c r="E27" s="20">
        <f>E10-E25</f>
        <v>0</v>
      </c>
      <c r="F27" s="20">
        <f t="shared" ref="F27:K27" si="8">F10-F25</f>
        <v>0</v>
      </c>
      <c r="G27" s="20">
        <f t="shared" si="8"/>
        <v>461000</v>
      </c>
      <c r="H27" s="21">
        <f t="shared" si="8"/>
        <v>755000</v>
      </c>
      <c r="I27" s="20">
        <f>I10-I25</f>
        <v>-31068</v>
      </c>
      <c r="J27" s="20">
        <f t="shared" si="8"/>
        <v>-548318</v>
      </c>
      <c r="K27" s="21">
        <f t="shared" si="8"/>
        <v>-3500</v>
      </c>
      <c r="L27" s="21">
        <f t="shared" ref="L27:O27" si="9">L10-L25</f>
        <v>-3500</v>
      </c>
      <c r="M27" s="21">
        <f t="shared" si="9"/>
        <v>-3500</v>
      </c>
      <c r="N27" s="21">
        <f t="shared" si="9"/>
        <v>-3500</v>
      </c>
      <c r="O27" s="21">
        <f t="shared" si="9"/>
        <v>-3500</v>
      </c>
      <c r="P27" s="21">
        <f t="shared" ref="P27:V27" si="10">P10-P25</f>
        <v>-3500</v>
      </c>
      <c r="Q27" s="21">
        <f t="shared" si="10"/>
        <v>-3500</v>
      </c>
      <c r="R27" s="21">
        <f t="shared" si="10"/>
        <v>-3500</v>
      </c>
      <c r="S27" s="21">
        <f t="shared" si="10"/>
        <v>-3500</v>
      </c>
      <c r="T27" s="21">
        <f t="shared" si="10"/>
        <v>751500</v>
      </c>
      <c r="U27" s="21">
        <f t="shared" si="10"/>
        <v>-3500</v>
      </c>
      <c r="V27" s="21">
        <f t="shared" si="10"/>
        <v>-3500</v>
      </c>
      <c r="W27" s="21">
        <f>W10-W25</f>
        <v>-3500</v>
      </c>
      <c r="X27" s="21">
        <f>X10-X25</f>
        <v>1346114</v>
      </c>
      <c r="Y27" s="58">
        <f>X27/X10</f>
        <v>0.6829599188229325</v>
      </c>
    </row>
    <row r="28" spans="1:26" ht="15.75" thickTop="1" x14ac:dyDescent="0.25">
      <c r="C28" s="32"/>
      <c r="D28" s="36"/>
      <c r="E28" s="6"/>
      <c r="F28" s="6"/>
      <c r="G28" s="6"/>
      <c r="H28" s="7"/>
      <c r="I28" s="6"/>
      <c r="J28" s="6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6" ht="15.75" x14ac:dyDescent="0.25">
      <c r="A29" s="22" t="s">
        <v>11</v>
      </c>
      <c r="B29" s="10" t="s">
        <v>12</v>
      </c>
      <c r="C29" s="32"/>
      <c r="D29" s="32"/>
      <c r="E29" s="6">
        <v>0</v>
      </c>
      <c r="F29" s="6">
        <v>0</v>
      </c>
      <c r="G29" s="6">
        <v>0</v>
      </c>
      <c r="H29" s="7">
        <v>0</v>
      </c>
      <c r="I29" s="6">
        <v>0</v>
      </c>
      <c r="J29" s="6">
        <v>1130153</v>
      </c>
      <c r="K29" s="7">
        <v>0</v>
      </c>
      <c r="L29" s="7">
        <v>128548</v>
      </c>
      <c r="M29" s="7">
        <f>L29</f>
        <v>128548</v>
      </c>
      <c r="N29" s="7">
        <f>M29</f>
        <v>128548</v>
      </c>
      <c r="O29" s="7">
        <f>N29</f>
        <v>128548</v>
      </c>
      <c r="P29" s="7">
        <f t="shared" ref="P29:W29" si="11">O29</f>
        <v>128548</v>
      </c>
      <c r="Q29" s="7">
        <f t="shared" si="11"/>
        <v>128548</v>
      </c>
      <c r="R29" s="7">
        <f t="shared" si="11"/>
        <v>128548</v>
      </c>
      <c r="S29" s="7">
        <f t="shared" si="11"/>
        <v>128548</v>
      </c>
      <c r="T29" s="7">
        <f t="shared" si="11"/>
        <v>128548</v>
      </c>
      <c r="U29" s="7">
        <f t="shared" si="11"/>
        <v>128548</v>
      </c>
      <c r="V29" s="7">
        <f t="shared" si="11"/>
        <v>128548</v>
      </c>
      <c r="W29" s="7">
        <f t="shared" si="11"/>
        <v>128548</v>
      </c>
      <c r="X29" s="7">
        <f>SUM(E29:W29)</f>
        <v>2672729</v>
      </c>
      <c r="Z29" s="65"/>
    </row>
    <row r="30" spans="1:26" x14ac:dyDescent="0.25">
      <c r="B30" s="10" t="s">
        <v>51</v>
      </c>
      <c r="C30" s="32"/>
      <c r="D30" s="32"/>
      <c r="E30" s="6">
        <v>0</v>
      </c>
      <c r="F30" s="6">
        <v>0</v>
      </c>
      <c r="G30" s="6">
        <v>0</v>
      </c>
      <c r="H30" s="7">
        <v>0</v>
      </c>
      <c r="I30" s="6">
        <v>0</v>
      </c>
      <c r="J30" s="6">
        <v>67851</v>
      </c>
      <c r="K30" s="7">
        <v>50000</v>
      </c>
      <c r="L30" s="7">
        <v>50000</v>
      </c>
      <c r="M30" s="7">
        <v>50000</v>
      </c>
      <c r="N30" s="7">
        <v>50000</v>
      </c>
      <c r="O30" s="7">
        <v>50000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f t="shared" ref="X30:X32" si="12">SUM(E30:W30)</f>
        <v>317851</v>
      </c>
      <c r="Z30" s="65"/>
    </row>
    <row r="31" spans="1:26" x14ac:dyDescent="0.25">
      <c r="B31" s="10" t="s">
        <v>63</v>
      </c>
      <c r="C31" s="32"/>
      <c r="D31" s="32"/>
      <c r="E31" s="6">
        <v>0</v>
      </c>
      <c r="F31" s="6">
        <v>0</v>
      </c>
      <c r="G31" s="6">
        <v>0</v>
      </c>
      <c r="H31" s="7">
        <v>0</v>
      </c>
      <c r="I31" s="6">
        <v>0</v>
      </c>
      <c r="J31" s="6">
        <v>0</v>
      </c>
      <c r="K31" s="7">
        <v>0</v>
      </c>
      <c r="L31" s="7">
        <v>0</v>
      </c>
      <c r="M31" s="7">
        <v>0</v>
      </c>
      <c r="N31" s="7">
        <v>0</v>
      </c>
      <c r="O31" s="7">
        <f>N31</f>
        <v>0</v>
      </c>
      <c r="P31" s="7">
        <f t="shared" ref="P31:W31" si="13">O31</f>
        <v>0</v>
      </c>
      <c r="Q31" s="7">
        <f>P31*2</f>
        <v>0</v>
      </c>
      <c r="R31" s="7">
        <f t="shared" si="13"/>
        <v>0</v>
      </c>
      <c r="S31" s="7">
        <f t="shared" si="13"/>
        <v>0</v>
      </c>
      <c r="T31" s="7">
        <f t="shared" si="13"/>
        <v>0</v>
      </c>
      <c r="U31" s="7">
        <f t="shared" si="13"/>
        <v>0</v>
      </c>
      <c r="V31" s="7">
        <f t="shared" si="13"/>
        <v>0</v>
      </c>
      <c r="W31" s="7">
        <f t="shared" si="13"/>
        <v>0</v>
      </c>
      <c r="X31" s="7">
        <f t="shared" si="12"/>
        <v>0</v>
      </c>
      <c r="Z31" s="65"/>
    </row>
    <row r="32" spans="1:26" x14ac:dyDescent="0.25">
      <c r="B32" s="11" t="s">
        <v>32</v>
      </c>
      <c r="C32" s="52"/>
      <c r="D32" s="52"/>
      <c r="E32" s="6">
        <v>0</v>
      </c>
      <c r="F32" s="6">
        <v>0</v>
      </c>
      <c r="G32" s="6">
        <v>0</v>
      </c>
      <c r="H32" s="7">
        <v>0</v>
      </c>
      <c r="I32" s="6">
        <v>0</v>
      </c>
      <c r="J32" s="6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f>N32</f>
        <v>0</v>
      </c>
      <c r="R32" s="7">
        <f>O32</f>
        <v>0</v>
      </c>
      <c r="S32" s="7">
        <f>P32</f>
        <v>0</v>
      </c>
      <c r="T32" s="7">
        <v>0</v>
      </c>
      <c r="U32" s="7">
        <f>T32</f>
        <v>0</v>
      </c>
      <c r="V32" s="7">
        <f>U32</f>
        <v>0</v>
      </c>
      <c r="W32" s="7">
        <f>V32</f>
        <v>0</v>
      </c>
      <c r="X32" s="7">
        <f t="shared" si="12"/>
        <v>0</v>
      </c>
      <c r="Z32" s="65"/>
    </row>
    <row r="33" spans="1:26" ht="15.75" x14ac:dyDescent="0.25">
      <c r="A33" s="13" t="s">
        <v>13</v>
      </c>
      <c r="B33" s="17"/>
      <c r="C33" s="34"/>
      <c r="D33" s="34"/>
      <c r="E33" s="39">
        <f>SUM(E29:E32)</f>
        <v>0</v>
      </c>
      <c r="F33" s="39">
        <f>SUM(F29:F32)</f>
        <v>0</v>
      </c>
      <c r="G33" s="39">
        <f t="shared" ref="G33:K33" si="14">SUM(G29:G32)</f>
        <v>0</v>
      </c>
      <c r="H33" s="40">
        <f t="shared" si="14"/>
        <v>0</v>
      </c>
      <c r="I33" s="39">
        <f t="shared" si="14"/>
        <v>0</v>
      </c>
      <c r="J33" s="39">
        <f t="shared" si="14"/>
        <v>1198004</v>
      </c>
      <c r="K33" s="40">
        <f t="shared" si="14"/>
        <v>50000</v>
      </c>
      <c r="L33" s="40">
        <f t="shared" ref="L33:O33" si="15">SUM(L29:L32)</f>
        <v>178548</v>
      </c>
      <c r="M33" s="40">
        <f t="shared" si="15"/>
        <v>178548</v>
      </c>
      <c r="N33" s="40">
        <f t="shared" si="15"/>
        <v>178548</v>
      </c>
      <c r="O33" s="40">
        <f t="shared" si="15"/>
        <v>178548</v>
      </c>
      <c r="P33" s="40">
        <f t="shared" ref="P33:W33" si="16">SUM(P29:P32)</f>
        <v>128548</v>
      </c>
      <c r="Q33" s="40">
        <f t="shared" si="16"/>
        <v>128548</v>
      </c>
      <c r="R33" s="40">
        <f t="shared" si="16"/>
        <v>128548</v>
      </c>
      <c r="S33" s="40">
        <f t="shared" si="16"/>
        <v>128548</v>
      </c>
      <c r="T33" s="40">
        <f t="shared" si="16"/>
        <v>128548</v>
      </c>
      <c r="U33" s="40">
        <f t="shared" si="16"/>
        <v>128548</v>
      </c>
      <c r="V33" s="40">
        <f t="shared" si="16"/>
        <v>128548</v>
      </c>
      <c r="W33" s="40">
        <f t="shared" si="16"/>
        <v>128548</v>
      </c>
      <c r="X33" s="16">
        <f>SUM(X29:X32)</f>
        <v>2990580</v>
      </c>
    </row>
    <row r="34" spans="1:26" ht="15.75" x14ac:dyDescent="0.25">
      <c r="A34" s="13"/>
      <c r="C34" s="32"/>
      <c r="D34" s="32"/>
      <c r="E34" s="6"/>
      <c r="F34" s="6"/>
      <c r="G34" s="6"/>
      <c r="H34" s="7"/>
      <c r="I34" s="6"/>
      <c r="J34" s="6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6" ht="15.75" x14ac:dyDescent="0.25">
      <c r="A35" s="22" t="s">
        <v>14</v>
      </c>
      <c r="B35" s="10" t="s">
        <v>15</v>
      </c>
      <c r="C35" s="55"/>
      <c r="D35" s="32"/>
      <c r="E35" s="6">
        <v>0</v>
      </c>
      <c r="F35" s="6">
        <v>0</v>
      </c>
      <c r="G35" s="6">
        <v>1323000</v>
      </c>
      <c r="H35" s="7">
        <v>441000</v>
      </c>
      <c r="I35" s="6">
        <v>441000</v>
      </c>
      <c r="J35" s="6">
        <v>0</v>
      </c>
      <c r="K35" s="7">
        <v>240000</v>
      </c>
      <c r="L35" s="7">
        <v>0</v>
      </c>
      <c r="M35" s="7">
        <f>L35</f>
        <v>0</v>
      </c>
      <c r="N35" s="7">
        <f>M35</f>
        <v>0</v>
      </c>
      <c r="O35" s="7">
        <f>N35</f>
        <v>0</v>
      </c>
      <c r="P35" s="7">
        <f t="shared" ref="P35:W35" si="17">O35</f>
        <v>0</v>
      </c>
      <c r="Q35" s="7">
        <f t="shared" si="17"/>
        <v>0</v>
      </c>
      <c r="R35" s="7">
        <f t="shared" si="17"/>
        <v>0</v>
      </c>
      <c r="S35" s="7">
        <f t="shared" si="17"/>
        <v>0</v>
      </c>
      <c r="T35" s="7">
        <f t="shared" si="17"/>
        <v>0</v>
      </c>
      <c r="U35" s="7">
        <f t="shared" si="17"/>
        <v>0</v>
      </c>
      <c r="V35" s="7">
        <f t="shared" si="17"/>
        <v>0</v>
      </c>
      <c r="W35" s="7">
        <f t="shared" si="17"/>
        <v>0</v>
      </c>
      <c r="X35" s="7">
        <f>SUM(E35:W35)</f>
        <v>2445000</v>
      </c>
      <c r="Z35" s="65"/>
    </row>
    <row r="36" spans="1:26" x14ac:dyDescent="0.25">
      <c r="B36" s="10" t="s">
        <v>16</v>
      </c>
      <c r="C36" s="55"/>
      <c r="D36" s="32"/>
      <c r="E36" s="6">
        <v>97000</v>
      </c>
      <c r="F36" s="6">
        <v>97000</v>
      </c>
      <c r="G36" s="6">
        <v>97000</v>
      </c>
      <c r="H36" s="7">
        <v>49000</v>
      </c>
      <c r="I36" s="6">
        <v>0</v>
      </c>
      <c r="J36" s="6">
        <v>320000</v>
      </c>
      <c r="K36" s="7">
        <v>320000</v>
      </c>
      <c r="L36" s="7">
        <v>320000</v>
      </c>
      <c r="M36" s="7">
        <v>320000</v>
      </c>
      <c r="N36" s="7">
        <f>M36</f>
        <v>320000</v>
      </c>
      <c r="O36" s="7">
        <v>320000</v>
      </c>
      <c r="P36" s="7">
        <f t="shared" ref="P36:W36" si="18">O36</f>
        <v>320000</v>
      </c>
      <c r="Q36" s="7">
        <v>320000</v>
      </c>
      <c r="R36" s="7">
        <f t="shared" si="18"/>
        <v>320000</v>
      </c>
      <c r="S36" s="7">
        <f t="shared" si="18"/>
        <v>320000</v>
      </c>
      <c r="T36" s="7">
        <f t="shared" si="18"/>
        <v>320000</v>
      </c>
      <c r="U36" s="7">
        <f t="shared" si="18"/>
        <v>320000</v>
      </c>
      <c r="V36" s="7">
        <f t="shared" si="18"/>
        <v>320000</v>
      </c>
      <c r="W36" s="7">
        <f t="shared" si="18"/>
        <v>320000</v>
      </c>
      <c r="X36" s="7">
        <f t="shared" ref="X36:X48" si="19">SUM(E36:W36)</f>
        <v>4820000</v>
      </c>
      <c r="Z36" s="65"/>
    </row>
    <row r="37" spans="1:26" ht="15.75" x14ac:dyDescent="0.25">
      <c r="B37" s="10"/>
      <c r="C37" s="56"/>
      <c r="D37" s="32"/>
      <c r="E37" s="6"/>
      <c r="F37" s="6"/>
      <c r="G37" s="6"/>
      <c r="H37" s="7"/>
      <c r="I37" s="6"/>
      <c r="J37" s="6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>
        <f t="shared" si="19"/>
        <v>0</v>
      </c>
      <c r="Z37" s="65"/>
    </row>
    <row r="38" spans="1:26" x14ac:dyDescent="0.25">
      <c r="B38" s="23" t="s">
        <v>17</v>
      </c>
      <c r="C38" s="55"/>
      <c r="D38" s="32"/>
      <c r="E38" s="6">
        <v>0</v>
      </c>
      <c r="F38" s="6">
        <v>186544</v>
      </c>
      <c r="G38" s="6">
        <v>0</v>
      </c>
      <c r="H38" s="7">
        <v>0</v>
      </c>
      <c r="I38" s="6">
        <v>0</v>
      </c>
      <c r="J38" s="6">
        <f>186544-K38</f>
        <v>136544</v>
      </c>
      <c r="K38" s="7">
        <v>50000</v>
      </c>
      <c r="L38" s="7">
        <v>186544</v>
      </c>
      <c r="M38" s="7">
        <v>0</v>
      </c>
      <c r="N38" s="7">
        <v>0</v>
      </c>
      <c r="O38" s="7">
        <v>186544</v>
      </c>
      <c r="P38" s="7">
        <v>0</v>
      </c>
      <c r="Q38" s="7">
        <v>0</v>
      </c>
      <c r="R38" s="7">
        <v>186544</v>
      </c>
      <c r="S38" s="7">
        <v>0</v>
      </c>
      <c r="T38" s="7">
        <v>0</v>
      </c>
      <c r="U38" s="7">
        <v>186544</v>
      </c>
      <c r="V38" s="7">
        <v>0</v>
      </c>
      <c r="W38" s="7">
        <v>0</v>
      </c>
      <c r="X38" s="7">
        <f t="shared" si="19"/>
        <v>1119264</v>
      </c>
      <c r="Z38" s="65"/>
    </row>
    <row r="39" spans="1:26" x14ac:dyDescent="0.25">
      <c r="B39" s="23" t="s">
        <v>18</v>
      </c>
      <c r="C39" s="55"/>
      <c r="D39" s="32"/>
      <c r="E39" s="6">
        <v>0</v>
      </c>
      <c r="F39" s="6">
        <v>0</v>
      </c>
      <c r="G39" s="6">
        <v>0</v>
      </c>
      <c r="H39" s="7">
        <v>30000</v>
      </c>
      <c r="I39" s="6">
        <v>0</v>
      </c>
      <c r="J39" s="6">
        <v>0</v>
      </c>
      <c r="K39" s="7">
        <v>30000</v>
      </c>
      <c r="L39" s="7">
        <f>30000+120000</f>
        <v>150000</v>
      </c>
      <c r="M39" s="7">
        <v>30000</v>
      </c>
      <c r="N39" s="7">
        <v>60000</v>
      </c>
      <c r="O39" s="7">
        <v>30000</v>
      </c>
      <c r="P39" s="7">
        <v>30000</v>
      </c>
      <c r="Q39" s="7">
        <v>30000</v>
      </c>
      <c r="R39" s="7">
        <v>30000</v>
      </c>
      <c r="S39" s="7">
        <v>30000</v>
      </c>
      <c r="T39" s="7">
        <v>30000</v>
      </c>
      <c r="U39" s="7">
        <v>30000</v>
      </c>
      <c r="V39" s="7">
        <v>30000</v>
      </c>
      <c r="W39" s="7">
        <v>30000</v>
      </c>
      <c r="X39" s="7">
        <f t="shared" si="19"/>
        <v>570000</v>
      </c>
      <c r="Z39" s="65"/>
    </row>
    <row r="40" spans="1:26" x14ac:dyDescent="0.25">
      <c r="B40" s="23" t="s">
        <v>19</v>
      </c>
      <c r="C40" s="55"/>
      <c r="D40" s="32"/>
      <c r="E40" s="6">
        <v>10151</v>
      </c>
      <c r="F40" s="6">
        <v>5000</v>
      </c>
      <c r="G40" s="6">
        <v>5000</v>
      </c>
      <c r="H40" s="7">
        <v>5000</v>
      </c>
      <c r="I40" s="6">
        <v>5000</v>
      </c>
      <c r="J40" s="6">
        <v>5000</v>
      </c>
      <c r="K40" s="7">
        <v>0</v>
      </c>
      <c r="L40" s="7">
        <v>0</v>
      </c>
      <c r="M40" s="7">
        <v>5000</v>
      </c>
      <c r="N40" s="7">
        <v>5000</v>
      </c>
      <c r="O40" s="7">
        <v>5000</v>
      </c>
      <c r="P40" s="7">
        <v>5000</v>
      </c>
      <c r="Q40" s="7">
        <v>5000</v>
      </c>
      <c r="R40" s="7">
        <v>5000</v>
      </c>
      <c r="S40" s="7">
        <v>5000</v>
      </c>
      <c r="T40" s="7">
        <v>5000</v>
      </c>
      <c r="U40" s="7">
        <v>5000</v>
      </c>
      <c r="V40" s="7">
        <v>5000</v>
      </c>
      <c r="W40" s="7">
        <v>5000</v>
      </c>
      <c r="X40" s="7">
        <f t="shared" si="19"/>
        <v>90151</v>
      </c>
      <c r="Z40" s="65"/>
    </row>
    <row r="41" spans="1:26" x14ac:dyDescent="0.25">
      <c r="B41" s="23" t="s">
        <v>20</v>
      </c>
      <c r="C41" s="55"/>
      <c r="D41" s="32"/>
      <c r="E41" s="6">
        <v>38500</v>
      </c>
      <c r="F41" s="6">
        <v>20000</v>
      </c>
      <c r="G41" s="6">
        <v>25000</v>
      </c>
      <c r="H41" s="7">
        <v>20000</v>
      </c>
      <c r="I41" s="6">
        <v>20000</v>
      </c>
      <c r="J41" s="6">
        <v>75000</v>
      </c>
      <c r="K41" s="7">
        <v>20000</v>
      </c>
      <c r="L41" s="7">
        <v>20000</v>
      </c>
      <c r="M41" s="7">
        <v>20000</v>
      </c>
      <c r="N41" s="7">
        <v>20000</v>
      </c>
      <c r="O41" s="7">
        <v>20000</v>
      </c>
      <c r="P41" s="7">
        <v>20000</v>
      </c>
      <c r="Q41" s="7">
        <v>40000</v>
      </c>
      <c r="R41" s="7">
        <v>20000</v>
      </c>
      <c r="S41" s="7">
        <v>20000</v>
      </c>
      <c r="T41" s="7">
        <v>40000</v>
      </c>
      <c r="U41" s="7">
        <v>20000</v>
      </c>
      <c r="V41" s="7">
        <v>40000</v>
      </c>
      <c r="W41" s="7">
        <v>20000</v>
      </c>
      <c r="X41" s="7">
        <f t="shared" si="19"/>
        <v>518500</v>
      </c>
      <c r="Z41" s="65"/>
    </row>
    <row r="42" spans="1:26" x14ac:dyDescent="0.25">
      <c r="B42" s="23" t="s">
        <v>21</v>
      </c>
      <c r="C42" s="55"/>
      <c r="D42" s="32"/>
      <c r="E42" s="6">
        <v>20000</v>
      </c>
      <c r="F42" s="6">
        <v>0</v>
      </c>
      <c r="G42" s="6">
        <v>60000</v>
      </c>
      <c r="H42" s="7">
        <v>10000</v>
      </c>
      <c r="I42" s="6">
        <v>10000</v>
      </c>
      <c r="J42" s="6">
        <v>10000</v>
      </c>
      <c r="K42" s="7">
        <v>10000</v>
      </c>
      <c r="L42" s="7">
        <v>10000</v>
      </c>
      <c r="M42" s="7">
        <v>10000</v>
      </c>
      <c r="N42" s="7">
        <v>10000</v>
      </c>
      <c r="O42" s="7">
        <v>50000</v>
      </c>
      <c r="P42" s="7">
        <v>50000</v>
      </c>
      <c r="Q42" s="7">
        <v>50000</v>
      </c>
      <c r="R42" s="7">
        <v>50000</v>
      </c>
      <c r="S42" s="7">
        <v>50000</v>
      </c>
      <c r="T42" s="7">
        <v>50000</v>
      </c>
      <c r="U42" s="7">
        <v>50000</v>
      </c>
      <c r="V42" s="7">
        <v>50000</v>
      </c>
      <c r="W42" s="7">
        <v>50000</v>
      </c>
      <c r="X42" s="7">
        <f t="shared" si="19"/>
        <v>600000</v>
      </c>
      <c r="Z42" s="65"/>
    </row>
    <row r="43" spans="1:26" x14ac:dyDescent="0.25">
      <c r="B43" s="23" t="s">
        <v>22</v>
      </c>
      <c r="C43" s="55"/>
      <c r="D43" s="32"/>
      <c r="E43" s="6">
        <v>10000</v>
      </c>
      <c r="F43" s="6">
        <v>0</v>
      </c>
      <c r="G43" s="6">
        <v>15000</v>
      </c>
      <c r="H43" s="7">
        <v>20000</v>
      </c>
      <c r="I43" s="6">
        <v>0</v>
      </c>
      <c r="J43" s="6">
        <v>0</v>
      </c>
      <c r="K43" s="7">
        <v>0</v>
      </c>
      <c r="L43" s="7">
        <v>0</v>
      </c>
      <c r="M43" s="7">
        <v>30000</v>
      </c>
      <c r="N43" s="7">
        <v>30000</v>
      </c>
      <c r="O43" s="7">
        <v>30000</v>
      </c>
      <c r="P43" s="7">
        <v>30000</v>
      </c>
      <c r="Q43" s="7">
        <v>120000</v>
      </c>
      <c r="R43" s="7">
        <v>30000</v>
      </c>
      <c r="S43" s="7">
        <v>30000</v>
      </c>
      <c r="T43" s="7">
        <v>120000</v>
      </c>
      <c r="U43" s="7">
        <v>30000</v>
      </c>
      <c r="V43" s="7">
        <v>30000</v>
      </c>
      <c r="W43" s="7">
        <v>30000</v>
      </c>
      <c r="X43" s="7">
        <f t="shared" si="19"/>
        <v>555000</v>
      </c>
      <c r="Z43" s="65"/>
    </row>
    <row r="44" spans="1:26" x14ac:dyDescent="0.25">
      <c r="B44" s="23" t="s">
        <v>23</v>
      </c>
      <c r="C44" s="55"/>
      <c r="D44" s="32"/>
      <c r="E44" s="6">
        <v>7440</v>
      </c>
      <c r="F44" s="6">
        <v>12000</v>
      </c>
      <c r="G44" s="6">
        <v>15000</v>
      </c>
      <c r="H44" s="7">
        <v>12000</v>
      </c>
      <c r="I44" s="6">
        <v>12000</v>
      </c>
      <c r="J44" s="6">
        <v>15000</v>
      </c>
      <c r="K44" s="7">
        <v>12000</v>
      </c>
      <c r="L44" s="7">
        <v>12000</v>
      </c>
      <c r="M44" s="7">
        <v>12000</v>
      </c>
      <c r="N44" s="7">
        <v>12000</v>
      </c>
      <c r="O44" s="7">
        <v>12000</v>
      </c>
      <c r="P44" s="7">
        <v>50000</v>
      </c>
      <c r="Q44" s="7">
        <v>50000</v>
      </c>
      <c r="R44" s="7">
        <v>50000</v>
      </c>
      <c r="S44" s="7">
        <v>50000</v>
      </c>
      <c r="T44" s="7">
        <v>50000</v>
      </c>
      <c r="U44" s="7">
        <v>50000</v>
      </c>
      <c r="V44" s="7">
        <v>50000</v>
      </c>
      <c r="W44" s="7">
        <v>50000</v>
      </c>
      <c r="X44" s="7">
        <f t="shared" si="19"/>
        <v>533440</v>
      </c>
      <c r="Z44" s="65"/>
    </row>
    <row r="45" spans="1:26" x14ac:dyDescent="0.25">
      <c r="B45" s="23" t="s">
        <v>24</v>
      </c>
      <c r="C45" s="55"/>
      <c r="D45" s="32"/>
      <c r="E45" s="6">
        <v>0</v>
      </c>
      <c r="F45" s="6">
        <v>0</v>
      </c>
      <c r="G45" s="6">
        <v>0</v>
      </c>
      <c r="H45" s="7">
        <v>0</v>
      </c>
      <c r="I45" s="6">
        <v>0</v>
      </c>
      <c r="J45" s="6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f t="shared" si="19"/>
        <v>0</v>
      </c>
      <c r="Z45" s="65"/>
    </row>
    <row r="46" spans="1:26" x14ac:dyDescent="0.25">
      <c r="B46" s="23" t="s">
        <v>25</v>
      </c>
      <c r="C46" s="55"/>
      <c r="D46" s="32"/>
      <c r="E46" s="6">
        <v>22550</v>
      </c>
      <c r="F46" s="6">
        <v>40000</v>
      </c>
      <c r="G46" s="6">
        <v>50000</v>
      </c>
      <c r="H46" s="7">
        <v>40000</v>
      </c>
      <c r="I46" s="6">
        <v>40000</v>
      </c>
      <c r="J46" s="6">
        <v>50000</v>
      </c>
      <c r="K46" s="7">
        <v>25000</v>
      </c>
      <c r="L46" s="7">
        <v>25000</v>
      </c>
      <c r="M46" s="7">
        <v>30000</v>
      </c>
      <c r="N46" s="7">
        <v>30000</v>
      </c>
      <c r="O46" s="7">
        <v>30000</v>
      </c>
      <c r="P46" s="7">
        <v>30000</v>
      </c>
      <c r="Q46" s="7">
        <v>30000</v>
      </c>
      <c r="R46" s="7">
        <v>30000</v>
      </c>
      <c r="S46" s="7">
        <v>30000</v>
      </c>
      <c r="T46" s="7">
        <v>30000</v>
      </c>
      <c r="U46" s="7">
        <v>30000</v>
      </c>
      <c r="V46" s="7">
        <v>30000</v>
      </c>
      <c r="W46" s="7">
        <v>30000</v>
      </c>
      <c r="X46" s="7">
        <f t="shared" si="19"/>
        <v>622550</v>
      </c>
      <c r="Z46" s="65"/>
    </row>
    <row r="47" spans="1:26" x14ac:dyDescent="0.25">
      <c r="B47" s="23" t="s">
        <v>26</v>
      </c>
      <c r="C47" s="55"/>
      <c r="D47" s="32"/>
      <c r="E47" s="6">
        <v>14538</v>
      </c>
      <c r="F47" s="6">
        <v>25000</v>
      </c>
      <c r="G47" s="6">
        <v>31250</v>
      </c>
      <c r="H47" s="7">
        <v>25000</v>
      </c>
      <c r="I47" s="6">
        <v>25000</v>
      </c>
      <c r="J47" s="6">
        <v>31250</v>
      </c>
      <c r="K47" s="7">
        <v>25000</v>
      </c>
      <c r="L47" s="7">
        <v>25000</v>
      </c>
      <c r="M47" s="7">
        <v>25000</v>
      </c>
      <c r="N47" s="7">
        <v>25000</v>
      </c>
      <c r="O47" s="7">
        <v>25000</v>
      </c>
      <c r="P47" s="7">
        <v>150000</v>
      </c>
      <c r="Q47" s="7">
        <v>25000</v>
      </c>
      <c r="R47" s="7">
        <v>25000</v>
      </c>
      <c r="S47" s="7">
        <v>150000</v>
      </c>
      <c r="T47" s="7">
        <v>25000</v>
      </c>
      <c r="U47" s="7">
        <v>25000</v>
      </c>
      <c r="V47" s="7">
        <v>150000</v>
      </c>
      <c r="W47" s="7">
        <v>25000</v>
      </c>
      <c r="X47" s="7">
        <f t="shared" si="19"/>
        <v>852038</v>
      </c>
      <c r="Z47" s="65"/>
    </row>
    <row r="48" spans="1:26" x14ac:dyDescent="0.25">
      <c r="B48" s="23"/>
      <c r="C48" s="52"/>
      <c r="D48" s="52"/>
      <c r="E48" s="6"/>
      <c r="F48" s="6"/>
      <c r="G48" s="6"/>
      <c r="H48" s="12"/>
      <c r="I48" s="6"/>
      <c r="J48" s="6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>
        <f t="shared" si="19"/>
        <v>0</v>
      </c>
      <c r="Z48" s="65"/>
    </row>
    <row r="49" spans="1:26" ht="15.75" x14ac:dyDescent="0.25">
      <c r="A49" s="13" t="s">
        <v>27</v>
      </c>
      <c r="B49" s="17"/>
      <c r="C49" s="17"/>
      <c r="D49" s="66"/>
      <c r="E49" s="40">
        <f t="shared" ref="E49:X49" si="20">SUM(E35:E47)</f>
        <v>220179</v>
      </c>
      <c r="F49" s="40">
        <f t="shared" si="20"/>
        <v>385544</v>
      </c>
      <c r="G49" s="40">
        <f t="shared" si="20"/>
        <v>1621250</v>
      </c>
      <c r="H49" s="40">
        <f t="shared" si="20"/>
        <v>652000</v>
      </c>
      <c r="I49" s="40">
        <f t="shared" si="20"/>
        <v>553000</v>
      </c>
      <c r="J49" s="40">
        <f>SUM(J35:J47)</f>
        <v>642794</v>
      </c>
      <c r="K49" s="40">
        <f>SUM(K35:K47)</f>
        <v>732000</v>
      </c>
      <c r="L49" s="40">
        <f>SUM(L35:L47)</f>
        <v>748544</v>
      </c>
      <c r="M49" s="40">
        <f>SUM(M35:M47)</f>
        <v>482000</v>
      </c>
      <c r="N49" s="40">
        <f t="shared" ref="N49:O49" si="21">SUM(N35:N47)</f>
        <v>512000</v>
      </c>
      <c r="O49" s="40">
        <f t="shared" si="21"/>
        <v>708544</v>
      </c>
      <c r="P49" s="40">
        <f t="shared" ref="P49:W49" si="22">SUM(P35:P47)</f>
        <v>685000</v>
      </c>
      <c r="Q49" s="40">
        <f t="shared" si="22"/>
        <v>670000</v>
      </c>
      <c r="R49" s="40">
        <f t="shared" si="22"/>
        <v>746544</v>
      </c>
      <c r="S49" s="40">
        <f t="shared" si="22"/>
        <v>685000</v>
      </c>
      <c r="T49" s="40">
        <f t="shared" si="22"/>
        <v>670000</v>
      </c>
      <c r="U49" s="40">
        <f t="shared" si="22"/>
        <v>746544</v>
      </c>
      <c r="V49" s="40">
        <f t="shared" si="22"/>
        <v>705000</v>
      </c>
      <c r="W49" s="40">
        <f t="shared" si="22"/>
        <v>560000</v>
      </c>
      <c r="X49" s="16">
        <f t="shared" si="20"/>
        <v>12725943</v>
      </c>
    </row>
    <row r="50" spans="1:26" x14ac:dyDescent="0.25">
      <c r="D50" s="66"/>
      <c r="E50" s="6"/>
      <c r="F50" s="6"/>
      <c r="G50" s="6"/>
      <c r="H50" s="7"/>
      <c r="I50" s="6"/>
      <c r="J50" s="6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6" ht="16.5" thickBot="1" x14ac:dyDescent="0.3">
      <c r="A51" s="13" t="s">
        <v>28</v>
      </c>
      <c r="B51" s="19"/>
      <c r="C51" s="19"/>
      <c r="D51" s="67"/>
      <c r="E51" s="41">
        <f t="shared" ref="E51:K51" si="23">E27-E33-E49</f>
        <v>-220179</v>
      </c>
      <c r="F51" s="41">
        <f t="shared" si="23"/>
        <v>-385544</v>
      </c>
      <c r="G51" s="41">
        <f>G27-G33-G49</f>
        <v>-1160250</v>
      </c>
      <c r="H51" s="41">
        <f t="shared" si="23"/>
        <v>103000</v>
      </c>
      <c r="I51" s="41">
        <f t="shared" si="23"/>
        <v>-584068</v>
      </c>
      <c r="J51" s="41">
        <f t="shared" si="23"/>
        <v>-2389116</v>
      </c>
      <c r="K51" s="41">
        <f t="shared" si="23"/>
        <v>-785500</v>
      </c>
      <c r="L51" s="41">
        <f t="shared" ref="L51:O51" si="24">L27-L33-L49</f>
        <v>-930592</v>
      </c>
      <c r="M51" s="41">
        <f t="shared" si="24"/>
        <v>-664048</v>
      </c>
      <c r="N51" s="41">
        <f t="shared" si="24"/>
        <v>-694048</v>
      </c>
      <c r="O51" s="41">
        <f t="shared" si="24"/>
        <v>-890592</v>
      </c>
      <c r="P51" s="41">
        <f t="shared" ref="P51:W51" si="25">P27-P33-P49</f>
        <v>-817048</v>
      </c>
      <c r="Q51" s="41">
        <f t="shared" si="25"/>
        <v>-802048</v>
      </c>
      <c r="R51" s="41">
        <f t="shared" si="25"/>
        <v>-878592</v>
      </c>
      <c r="S51" s="41">
        <f t="shared" si="25"/>
        <v>-817048</v>
      </c>
      <c r="T51" s="41">
        <f t="shared" si="25"/>
        <v>-47048</v>
      </c>
      <c r="U51" s="41">
        <f t="shared" si="25"/>
        <v>-878592</v>
      </c>
      <c r="V51" s="41">
        <f t="shared" si="25"/>
        <v>-837048</v>
      </c>
      <c r="W51" s="41">
        <f t="shared" si="25"/>
        <v>-692048</v>
      </c>
      <c r="X51" s="21">
        <f>X27-X33-X49</f>
        <v>-14370409</v>
      </c>
    </row>
    <row r="52" spans="1:26" ht="16.5" thickTop="1" x14ac:dyDescent="0.25">
      <c r="A52" s="13"/>
      <c r="B52" s="9" t="s">
        <v>65</v>
      </c>
      <c r="D52" s="36"/>
      <c r="E52" s="6"/>
      <c r="F52" s="6"/>
      <c r="G52" s="6"/>
      <c r="H52" s="7"/>
      <c r="I52" s="6"/>
      <c r="J52" s="6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18"/>
    </row>
    <row r="53" spans="1:26" ht="15.75" x14ac:dyDescent="0.25">
      <c r="A53" s="13"/>
      <c r="B53" s="9" t="s">
        <v>53</v>
      </c>
      <c r="D53" s="32"/>
      <c r="E53" s="6">
        <v>0</v>
      </c>
      <c r="F53" s="6">
        <v>650000</v>
      </c>
      <c r="G53" s="6">
        <v>740000</v>
      </c>
      <c r="H53" s="7">
        <v>120000</v>
      </c>
      <c r="I53" s="6">
        <v>0</v>
      </c>
      <c r="J53" s="6">
        <v>2548000</v>
      </c>
      <c r="K53" s="7">
        <v>220000</v>
      </c>
      <c r="L53" s="71">
        <v>2000000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60">
        <f>SUM(E53:W53)</f>
        <v>6278000</v>
      </c>
    </row>
    <row r="54" spans="1:26" ht="15.75" x14ac:dyDescent="0.25">
      <c r="A54" s="13"/>
      <c r="B54" s="9" t="s">
        <v>64</v>
      </c>
      <c r="D54" s="32"/>
      <c r="E54" s="6">
        <v>0</v>
      </c>
      <c r="F54" s="46">
        <v>0</v>
      </c>
      <c r="G54" s="6">
        <v>0</v>
      </c>
      <c r="H54" s="7">
        <v>0</v>
      </c>
      <c r="I54" s="6">
        <v>0</v>
      </c>
      <c r="J54" s="70">
        <v>0</v>
      </c>
      <c r="K54" s="7">
        <v>-420000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60">
        <f>SUM(E54:W54)</f>
        <v>-420000</v>
      </c>
      <c r="Z54" s="65"/>
    </row>
    <row r="55" spans="1:26" ht="16.5" thickBot="1" x14ac:dyDescent="0.3">
      <c r="B55" s="9" t="s">
        <v>29</v>
      </c>
      <c r="D55" s="32"/>
      <c r="E55" s="6">
        <v>0</v>
      </c>
      <c r="F55" s="6">
        <v>0</v>
      </c>
      <c r="G55" s="6">
        <v>350000</v>
      </c>
      <c r="H55" s="7">
        <v>0</v>
      </c>
      <c r="I55" s="62">
        <v>350000</v>
      </c>
      <c r="J55" s="46">
        <v>0</v>
      </c>
      <c r="K55" s="31">
        <v>217548</v>
      </c>
      <c r="L55" s="31">
        <v>0</v>
      </c>
      <c r="M55" s="31">
        <v>350000</v>
      </c>
      <c r="N55" s="31">
        <v>0</v>
      </c>
      <c r="O55" s="31">
        <v>350000</v>
      </c>
      <c r="P55" s="31">
        <v>0</v>
      </c>
      <c r="Q55" s="31">
        <v>350000</v>
      </c>
      <c r="R55" s="31">
        <v>0</v>
      </c>
      <c r="S55" s="31">
        <v>650000</v>
      </c>
      <c r="T55" s="31">
        <v>0</v>
      </c>
      <c r="U55" s="31">
        <v>350000</v>
      </c>
      <c r="V55" s="31">
        <v>0</v>
      </c>
      <c r="W55" s="31">
        <v>350000</v>
      </c>
      <c r="X55" s="60">
        <f>SUM(E55:W55)</f>
        <v>3317548</v>
      </c>
    </row>
    <row r="56" spans="1:26" ht="19.5" thickBot="1" x14ac:dyDescent="0.35">
      <c r="B56" s="24" t="s">
        <v>52</v>
      </c>
      <c r="C56" s="25"/>
      <c r="D56" s="51"/>
      <c r="E56" s="29">
        <f>43534+E51+E55+E53-E54</f>
        <v>-176645</v>
      </c>
      <c r="F56" s="29">
        <f>E56+F51+F55+F53-F54</f>
        <v>87811</v>
      </c>
      <c r="G56" s="29">
        <f>F56+G51+G55+G53-G54</f>
        <v>17561</v>
      </c>
      <c r="H56" s="33">
        <f>650000+H51+H55+H53-H54-H59</f>
        <v>873000</v>
      </c>
      <c r="I56" s="33">
        <f>650000+I51+I55+I53-I54-I59</f>
        <v>415932</v>
      </c>
      <c r="J56" s="29">
        <f>I56+J51+J55+J53-J54</f>
        <v>574816</v>
      </c>
      <c r="K56" s="33">
        <f>J56+K51+K55+K53-K54+K52</f>
        <v>646864</v>
      </c>
      <c r="L56" s="33">
        <f>K56+L51+L55+L53-L54</f>
        <v>1716272</v>
      </c>
      <c r="M56" s="33">
        <f t="shared" ref="M56:W56" si="26">L56+M51+M55+M53-M54</f>
        <v>1402224</v>
      </c>
      <c r="N56" s="33">
        <f t="shared" si="26"/>
        <v>708176</v>
      </c>
      <c r="O56" s="33">
        <f t="shared" si="26"/>
        <v>167584</v>
      </c>
      <c r="P56" s="33">
        <f t="shared" si="26"/>
        <v>-649464</v>
      </c>
      <c r="Q56" s="33">
        <f t="shared" si="26"/>
        <v>-1101512</v>
      </c>
      <c r="R56" s="33">
        <f t="shared" si="26"/>
        <v>-1980104</v>
      </c>
      <c r="S56" s="33">
        <f t="shared" si="26"/>
        <v>-2147152</v>
      </c>
      <c r="T56" s="33">
        <f t="shared" si="26"/>
        <v>-2194200</v>
      </c>
      <c r="U56" s="33">
        <f t="shared" si="26"/>
        <v>-2722792</v>
      </c>
      <c r="V56" s="33">
        <f t="shared" si="26"/>
        <v>-3559840</v>
      </c>
      <c r="W56" s="33">
        <f t="shared" si="26"/>
        <v>-3901888</v>
      </c>
      <c r="X56" s="50"/>
    </row>
    <row r="57" spans="1:26" ht="19.5" thickBot="1" x14ac:dyDescent="0.35">
      <c r="B57" s="27" t="s">
        <v>49</v>
      </c>
      <c r="C57" s="28"/>
      <c r="D57" s="37"/>
      <c r="E57" s="29"/>
      <c r="F57" s="29"/>
      <c r="G57" s="29"/>
      <c r="H57" s="33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47"/>
      <c r="Z57" s="65"/>
    </row>
    <row r="58" spans="1:26" ht="19.5" thickBot="1" x14ac:dyDescent="0.35">
      <c r="B58" s="27" t="s">
        <v>34</v>
      </c>
      <c r="C58" s="28"/>
      <c r="D58" s="37"/>
      <c r="E58" s="59"/>
      <c r="F58" s="59"/>
      <c r="G58" s="59"/>
      <c r="H58" s="57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47"/>
      <c r="Z58" s="65"/>
    </row>
    <row r="59" spans="1:26" ht="15.75" x14ac:dyDescent="0.25">
      <c r="A59" s="13"/>
    </row>
    <row r="60" spans="1:26" x14ac:dyDescent="0.25">
      <c r="H60" s="6"/>
      <c r="I60" s="6"/>
    </row>
  </sheetData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Summary Monthly fw  JUN-DEC 23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Kvanli</dc:creator>
  <cp:lastModifiedBy>Tore Ausland</cp:lastModifiedBy>
  <cp:lastPrinted>2022-11-21T07:42:13Z</cp:lastPrinted>
  <dcterms:created xsi:type="dcterms:W3CDTF">2022-04-07T18:02:44Z</dcterms:created>
  <dcterms:modified xsi:type="dcterms:W3CDTF">2023-12-15T14:04:30Z</dcterms:modified>
</cp:coreProperties>
</file>