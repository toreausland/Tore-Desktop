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Tore Div/FO/Funding kalkulations/"/>
    </mc:Choice>
  </mc:AlternateContent>
  <xr:revisionPtr revIDLastSave="15" documentId="8_{18A40C74-CC6D-42C8-8E2F-83955B7A50DE}" xr6:coauthVersionLast="47" xr6:coauthVersionMax="47" xr10:uidLastSave="{240D1E7F-DE78-47D7-A82D-EEDF1AEAED43}"/>
  <bookViews>
    <workbookView minimized="1" xWindow="31380" yWindow="2835" windowWidth="21600" windowHeight="11295" tabRatio="844" firstSheet="2" activeTab="6" xr2:uid="{00000000-000D-0000-FFFF-FFFF00000000}"/>
  </bookViews>
  <sheets>
    <sheet name="Shareholder Book" sheetId="1" r:id="rId1"/>
    <sheet name="Share capital history" sheetId="6" r:id="rId2"/>
    <sheet name="Sits and capitalraise 5 simul" sheetId="10" r:id="rId3"/>
    <sheet name="Konvertibelt lån - 1 - 45.4" sheetId="11" r:id="rId4"/>
    <sheet name="Konvertibelt lån - 2 - 22.7" sheetId="12" r:id="rId5"/>
    <sheet name="Konvertibelt lån -  - 44.5" sheetId="14" r:id="rId6"/>
    <sheet name="Konvertibelt lån - 10 " sheetId="16" r:id="rId7"/>
    <sheet name="Komitert Kap oversikt" sheetId="15" r:id="rId8"/>
    <sheet name="Kontaktinfo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6" l="1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3" i="16"/>
  <c r="C18" i="16"/>
  <c r="C19" i="16"/>
  <c r="C20" i="16"/>
  <c r="C21" i="16"/>
  <c r="C17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B33" i="16"/>
  <c r="E21" i="16"/>
  <c r="E20" i="16"/>
  <c r="E19" i="16"/>
  <c r="E18" i="16"/>
  <c r="E17" i="16"/>
  <c r="H22" i="16"/>
  <c r="H4" i="14"/>
  <c r="H8" i="14"/>
  <c r="H6" i="14"/>
  <c r="H10" i="14"/>
  <c r="H11" i="14"/>
  <c r="H12" i="14"/>
  <c r="H13" i="14"/>
  <c r="H14" i="14"/>
  <c r="H16" i="14"/>
  <c r="H17" i="14"/>
  <c r="H18" i="14"/>
  <c r="H19" i="14"/>
  <c r="H20" i="14"/>
  <c r="H21" i="14"/>
  <c r="B22" i="16" l="1"/>
  <c r="B27" i="16" s="1"/>
  <c r="B29" i="16" s="1"/>
  <c r="C22" i="16"/>
  <c r="F22" i="16"/>
  <c r="J7" i="6"/>
  <c r="J8" i="6"/>
  <c r="D8" i="6"/>
  <c r="H22" i="14"/>
  <c r="E21" i="14"/>
  <c r="E20" i="14"/>
  <c r="E19" i="14"/>
  <c r="E18" i="14"/>
  <c r="E17" i="14"/>
  <c r="J3" i="12"/>
  <c r="I3" i="12"/>
  <c r="F3" i="12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B33" i="14"/>
  <c r="B16" i="14"/>
  <c r="F16" i="14" s="1"/>
  <c r="B15" i="14"/>
  <c r="F15" i="14" s="1"/>
  <c r="B14" i="14"/>
  <c r="F14" i="14" s="1"/>
  <c r="B13" i="14"/>
  <c r="F13" i="14" s="1"/>
  <c r="B12" i="14"/>
  <c r="F12" i="14" s="1"/>
  <c r="B11" i="14"/>
  <c r="F11" i="14" s="1"/>
  <c r="B10" i="14"/>
  <c r="F10" i="14" s="1"/>
  <c r="B9" i="14"/>
  <c r="F9" i="14" s="1"/>
  <c r="B8" i="14"/>
  <c r="F8" i="14" s="1"/>
  <c r="B7" i="14"/>
  <c r="F7" i="14" s="1"/>
  <c r="B6" i="14"/>
  <c r="F6" i="14" s="1"/>
  <c r="B5" i="14"/>
  <c r="F5" i="14" s="1"/>
  <c r="B4" i="14"/>
  <c r="F4" i="14" s="1"/>
  <c r="B3" i="14"/>
  <c r="F3" i="14" s="1"/>
  <c r="E57" i="15"/>
  <c r="E123" i="1"/>
  <c r="E119" i="1"/>
  <c r="E120" i="1"/>
  <c r="E121" i="1"/>
  <c r="E122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86" i="1"/>
  <c r="G5" i="16" l="1"/>
  <c r="I5" i="16" s="1"/>
  <c r="B32" i="16"/>
  <c r="G7" i="16"/>
  <c r="I7" i="16" s="1"/>
  <c r="G19" i="16"/>
  <c r="I19" i="16" s="1"/>
  <c r="G9" i="16"/>
  <c r="I9" i="16" s="1"/>
  <c r="G8" i="16"/>
  <c r="I8" i="16" s="1"/>
  <c r="G15" i="16"/>
  <c r="I15" i="16" s="1"/>
  <c r="G14" i="16"/>
  <c r="I14" i="16" s="1"/>
  <c r="G13" i="16"/>
  <c r="I13" i="16" s="1"/>
  <c r="G12" i="16"/>
  <c r="I12" i="16" s="1"/>
  <c r="G11" i="16"/>
  <c r="I11" i="16" s="1"/>
  <c r="G10" i="16"/>
  <c r="I10" i="16" s="1"/>
  <c r="G20" i="16"/>
  <c r="I20" i="16" s="1"/>
  <c r="G16" i="16"/>
  <c r="I16" i="16" s="1"/>
  <c r="G3" i="16"/>
  <c r="G18" i="16"/>
  <c r="I18" i="16" s="1"/>
  <c r="G4" i="16"/>
  <c r="I4" i="16" s="1"/>
  <c r="G21" i="16"/>
  <c r="I21" i="16" s="1"/>
  <c r="G17" i="16"/>
  <c r="I17" i="16" s="1"/>
  <c r="G6" i="16"/>
  <c r="I6" i="16" s="1"/>
  <c r="C22" i="14"/>
  <c r="F22" i="14"/>
  <c r="B22" i="14"/>
  <c r="B27" i="14" s="1"/>
  <c r="G22" i="16" l="1"/>
  <c r="I3" i="16"/>
  <c r="B34" i="16"/>
  <c r="B35" i="16" s="1"/>
  <c r="B29" i="14"/>
  <c r="I22" i="16" l="1"/>
  <c r="J3" i="16" s="1"/>
  <c r="G21" i="14"/>
  <c r="I21" i="14" s="1"/>
  <c r="G18" i="14"/>
  <c r="I18" i="14" s="1"/>
  <c r="G20" i="14"/>
  <c r="I20" i="14" s="1"/>
  <c r="G16" i="14"/>
  <c r="I16" i="14" s="1"/>
  <c r="G17" i="14"/>
  <c r="I17" i="14" s="1"/>
  <c r="G19" i="14"/>
  <c r="I19" i="14" s="1"/>
  <c r="G15" i="14"/>
  <c r="I15" i="14" s="1"/>
  <c r="G7" i="14"/>
  <c r="I7" i="14" s="1"/>
  <c r="G8" i="14"/>
  <c r="I8" i="14" s="1"/>
  <c r="G9" i="14"/>
  <c r="I9" i="14" s="1"/>
  <c r="G10" i="14"/>
  <c r="I10" i="14" s="1"/>
  <c r="G12" i="14"/>
  <c r="I12" i="14" s="1"/>
  <c r="G6" i="14"/>
  <c r="I6" i="14" s="1"/>
  <c r="G11" i="14"/>
  <c r="I11" i="14" s="1"/>
  <c r="G4" i="14"/>
  <c r="I4" i="14" s="1"/>
  <c r="B32" i="14"/>
  <c r="G3" i="14"/>
  <c r="I3" i="14" s="1"/>
  <c r="G13" i="14"/>
  <c r="I13" i="14" s="1"/>
  <c r="G5" i="14"/>
  <c r="I5" i="14" s="1"/>
  <c r="G14" i="14"/>
  <c r="I14" i="14" s="1"/>
  <c r="K3" i="16" l="1"/>
  <c r="J10" i="16"/>
  <c r="K10" i="16" s="1"/>
  <c r="J8" i="16"/>
  <c r="K8" i="16" s="1"/>
  <c r="J11" i="16"/>
  <c r="K11" i="16" s="1"/>
  <c r="J17" i="16"/>
  <c r="K17" i="16" s="1"/>
  <c r="J4" i="16"/>
  <c r="K4" i="16" s="1"/>
  <c r="J14" i="16"/>
  <c r="K14" i="16" s="1"/>
  <c r="J19" i="16"/>
  <c r="K19" i="16" s="1"/>
  <c r="J6" i="16"/>
  <c r="K6" i="16" s="1"/>
  <c r="J7" i="16"/>
  <c r="K7" i="16" s="1"/>
  <c r="J15" i="16"/>
  <c r="K15" i="16" s="1"/>
  <c r="J13" i="16"/>
  <c r="K13" i="16" s="1"/>
  <c r="J20" i="16"/>
  <c r="K20" i="16" s="1"/>
  <c r="J21" i="16"/>
  <c r="K21" i="16" s="1"/>
  <c r="J5" i="16"/>
  <c r="K5" i="16" s="1"/>
  <c r="J16" i="16"/>
  <c r="K16" i="16" s="1"/>
  <c r="J9" i="16"/>
  <c r="K9" i="16" s="1"/>
  <c r="J18" i="16"/>
  <c r="K18" i="16" s="1"/>
  <c r="J12" i="16"/>
  <c r="K12" i="16" s="1"/>
  <c r="B34" i="14"/>
  <c r="B35" i="14" s="1"/>
  <c r="G22" i="14"/>
  <c r="J22" i="16" l="1"/>
  <c r="K22" i="16"/>
  <c r="I22" i="14"/>
  <c r="J3" i="14" l="1"/>
  <c r="K3" i="14" s="1"/>
  <c r="J18" i="14"/>
  <c r="K18" i="14" s="1"/>
  <c r="J19" i="14"/>
  <c r="K19" i="14" s="1"/>
  <c r="J20" i="14"/>
  <c r="K20" i="14" s="1"/>
  <c r="J21" i="14"/>
  <c r="K21" i="14" s="1"/>
  <c r="J17" i="14"/>
  <c r="K17" i="14" s="1"/>
  <c r="J14" i="14"/>
  <c r="K14" i="14" s="1"/>
  <c r="J15" i="14"/>
  <c r="K15" i="14" s="1"/>
  <c r="J12" i="14"/>
  <c r="K12" i="14" s="1"/>
  <c r="J6" i="14"/>
  <c r="K6" i="14" s="1"/>
  <c r="J5" i="14"/>
  <c r="K5" i="14" s="1"/>
  <c r="J10" i="14"/>
  <c r="K10" i="14" s="1"/>
  <c r="J7" i="14"/>
  <c r="K7" i="14" s="1"/>
  <c r="J13" i="14"/>
  <c r="K13" i="14" s="1"/>
  <c r="J4" i="14"/>
  <c r="K4" i="14" s="1"/>
  <c r="J9" i="14"/>
  <c r="K9" i="14" s="1"/>
  <c r="J8" i="14"/>
  <c r="K8" i="14" s="1"/>
  <c r="J16" i="14"/>
  <c r="K16" i="14" s="1"/>
  <c r="J11" i="14"/>
  <c r="K11" i="14" s="1"/>
  <c r="K22" i="14" l="1"/>
  <c r="J22" i="14"/>
  <c r="E55" i="15" l="1"/>
  <c r="E34" i="15"/>
  <c r="E17" i="15" l="1"/>
  <c r="E12" i="15"/>
  <c r="F3" i="11" l="1"/>
  <c r="F4" i="11"/>
  <c r="F5" i="11"/>
  <c r="F6" i="11"/>
  <c r="F7" i="11"/>
  <c r="F8" i="11"/>
  <c r="F9" i="11"/>
  <c r="F10" i="11"/>
  <c r="F11" i="11"/>
  <c r="F12" i="11"/>
  <c r="F13" i="11"/>
  <c r="F16" i="11"/>
  <c r="B28" i="12"/>
  <c r="H17" i="12"/>
  <c r="B29" i="11" l="1"/>
  <c r="H18" i="11"/>
  <c r="B18" i="11"/>
  <c r="B23" i="11" s="1"/>
  <c r="B25" i="11" s="1"/>
  <c r="F17" i="11"/>
  <c r="G12" i="11" l="1"/>
  <c r="I12" i="11" s="1"/>
  <c r="B12" i="12" s="1"/>
  <c r="F12" i="12" s="1"/>
  <c r="G3" i="11"/>
  <c r="I3" i="11" s="1"/>
  <c r="B3" i="12" s="1"/>
  <c r="G11" i="11"/>
  <c r="I11" i="11" s="1"/>
  <c r="B11" i="12" s="1"/>
  <c r="F11" i="12" s="1"/>
  <c r="G15" i="11"/>
  <c r="I15" i="11" s="1"/>
  <c r="B15" i="12" s="1"/>
  <c r="F15" i="12" s="1"/>
  <c r="G16" i="11"/>
  <c r="I16" i="11" s="1"/>
  <c r="B16" i="12" s="1"/>
  <c r="F16" i="12" s="1"/>
  <c r="G10" i="11"/>
  <c r="I10" i="11" s="1"/>
  <c r="B10" i="12" s="1"/>
  <c r="F10" i="12" s="1"/>
  <c r="G9" i="11"/>
  <c r="I9" i="11" s="1"/>
  <c r="B9" i="12" s="1"/>
  <c r="F9" i="12" s="1"/>
  <c r="G8" i="11"/>
  <c r="I8" i="11" s="1"/>
  <c r="B8" i="12" s="1"/>
  <c r="F8" i="12" s="1"/>
  <c r="G5" i="11"/>
  <c r="I5" i="11" s="1"/>
  <c r="B5" i="12" s="1"/>
  <c r="F5" i="12" s="1"/>
  <c r="G6" i="11"/>
  <c r="I6" i="11" s="1"/>
  <c r="B6" i="12" s="1"/>
  <c r="F6" i="12" s="1"/>
  <c r="G7" i="11"/>
  <c r="I7" i="11" s="1"/>
  <c r="B7" i="12" s="1"/>
  <c r="F7" i="12" s="1"/>
  <c r="G14" i="11"/>
  <c r="I14" i="11" s="1"/>
  <c r="B14" i="12" s="1"/>
  <c r="F14" i="12" s="1"/>
  <c r="G4" i="11"/>
  <c r="I4" i="11" s="1"/>
  <c r="B4" i="12" s="1"/>
  <c r="F4" i="12" s="1"/>
  <c r="G13" i="11"/>
  <c r="I13" i="11" s="1"/>
  <c r="B13" i="12" s="1"/>
  <c r="F13" i="12" s="1"/>
  <c r="F18" i="11"/>
  <c r="C18" i="11"/>
  <c r="B28" i="11"/>
  <c r="G17" i="11"/>
  <c r="I17" i="11" s="1"/>
  <c r="F14" i="10"/>
  <c r="F17" i="12" l="1"/>
  <c r="B17" i="12"/>
  <c r="B22" i="12" s="1"/>
  <c r="B30" i="11"/>
  <c r="B31" i="11" s="1"/>
  <c r="I18" i="11"/>
  <c r="J9" i="11" s="1"/>
  <c r="G18" i="11"/>
  <c r="F13" i="10"/>
  <c r="D93" i="1"/>
  <c r="D123" i="1"/>
  <c r="D118" i="1"/>
  <c r="D115" i="1"/>
  <c r="D109" i="1"/>
  <c r="E7" i="6"/>
  <c r="F12" i="10"/>
  <c r="F11" i="10"/>
  <c r="F10" i="10"/>
  <c r="F9" i="10"/>
  <c r="F8" i="10"/>
  <c r="F7" i="10"/>
  <c r="F6" i="10"/>
  <c r="F5" i="10"/>
  <c r="F4" i="10"/>
  <c r="F3" i="10"/>
  <c r="B15" i="10"/>
  <c r="C3" i="10" s="1"/>
  <c r="B26" i="10"/>
  <c r="H5" i="6"/>
  <c r="H4" i="6"/>
  <c r="H3" i="6"/>
  <c r="K9" i="11" l="1"/>
  <c r="C9" i="12"/>
  <c r="B24" i="12"/>
  <c r="J7" i="11"/>
  <c r="J14" i="11"/>
  <c r="J16" i="11"/>
  <c r="J5" i="11"/>
  <c r="J3" i="11"/>
  <c r="J4" i="11"/>
  <c r="J12" i="11"/>
  <c r="J6" i="11"/>
  <c r="J10" i="11"/>
  <c r="J15" i="11"/>
  <c r="J8" i="11"/>
  <c r="J13" i="11"/>
  <c r="J11" i="11"/>
  <c r="J17" i="11"/>
  <c r="K17" i="11" s="1"/>
  <c r="B20" i="10"/>
  <c r="B22" i="10" s="1"/>
  <c r="F15" i="10"/>
  <c r="C13" i="10"/>
  <c r="C9" i="10"/>
  <c r="C12" i="10"/>
  <c r="C8" i="10"/>
  <c r="C7" i="10"/>
  <c r="C6" i="10"/>
  <c r="C5" i="10"/>
  <c r="C4" i="10"/>
  <c r="C11" i="10"/>
  <c r="C10" i="10"/>
  <c r="K8" i="11" l="1"/>
  <c r="C8" i="12"/>
  <c r="K14" i="11"/>
  <c r="C14" i="12"/>
  <c r="K7" i="11"/>
  <c r="C7" i="12"/>
  <c r="K13" i="11"/>
  <c r="C13" i="12"/>
  <c r="K16" i="11"/>
  <c r="C16" i="12"/>
  <c r="K10" i="11"/>
  <c r="C10" i="12"/>
  <c r="K6" i="11"/>
  <c r="C6" i="12"/>
  <c r="K12" i="11"/>
  <c r="C12" i="12"/>
  <c r="G3" i="12"/>
  <c r="G12" i="12"/>
  <c r="I12" i="12" s="1"/>
  <c r="G8" i="12"/>
  <c r="I8" i="12" s="1"/>
  <c r="G14" i="12"/>
  <c r="I14" i="12" s="1"/>
  <c r="G6" i="12"/>
  <c r="I6" i="12" s="1"/>
  <c r="G4" i="12"/>
  <c r="I4" i="12" s="1"/>
  <c r="B27" i="12"/>
  <c r="B29" i="12" s="1"/>
  <c r="B30" i="12" s="1"/>
  <c r="G9" i="12"/>
  <c r="I9" i="12" s="1"/>
  <c r="G15" i="12"/>
  <c r="I15" i="12" s="1"/>
  <c r="G11" i="12"/>
  <c r="I11" i="12" s="1"/>
  <c r="G13" i="12"/>
  <c r="I13" i="12" s="1"/>
  <c r="G10" i="12"/>
  <c r="I10" i="12" s="1"/>
  <c r="G16" i="12"/>
  <c r="I16" i="12" s="1"/>
  <c r="G7" i="12"/>
  <c r="I7" i="12" s="1"/>
  <c r="G5" i="12"/>
  <c r="I5" i="12" s="1"/>
  <c r="K4" i="11"/>
  <c r="C4" i="12"/>
  <c r="K5" i="11"/>
  <c r="C5" i="12"/>
  <c r="K15" i="11"/>
  <c r="C15" i="12"/>
  <c r="K11" i="11"/>
  <c r="C11" i="12"/>
  <c r="K3" i="11"/>
  <c r="C3" i="12"/>
  <c r="J18" i="11"/>
  <c r="G13" i="10"/>
  <c r="I13" i="10" s="1"/>
  <c r="G8" i="10"/>
  <c r="I8" i="10" s="1"/>
  <c r="G12" i="10"/>
  <c r="I12" i="10" s="1"/>
  <c r="G7" i="10"/>
  <c r="I7" i="10" s="1"/>
  <c r="G3" i="10"/>
  <c r="I3" i="10" s="1"/>
  <c r="G6" i="10"/>
  <c r="I6" i="10" s="1"/>
  <c r="G5" i="10"/>
  <c r="I5" i="10" s="1"/>
  <c r="G10" i="10"/>
  <c r="I10" i="10" s="1"/>
  <c r="G9" i="10"/>
  <c r="I9" i="10" s="1"/>
  <c r="G4" i="10"/>
  <c r="I4" i="10" s="1"/>
  <c r="B25" i="10"/>
  <c r="G11" i="10"/>
  <c r="I11" i="10" s="1"/>
  <c r="C15" i="10"/>
  <c r="C17" i="12" l="1"/>
  <c r="I17" i="12"/>
  <c r="G17" i="12"/>
  <c r="K18" i="11"/>
  <c r="B27" i="10"/>
  <c r="B28" i="10" s="1"/>
  <c r="J11" i="12" l="1"/>
  <c r="K11" i="12" s="1"/>
  <c r="J6" i="12"/>
  <c r="K6" i="12" s="1"/>
  <c r="J10" i="12"/>
  <c r="K10" i="12" s="1"/>
  <c r="J4" i="12"/>
  <c r="K4" i="12" s="1"/>
  <c r="J16" i="12"/>
  <c r="K16" i="12" s="1"/>
  <c r="J7" i="12"/>
  <c r="K7" i="12" s="1"/>
  <c r="J8" i="12"/>
  <c r="K8" i="12" s="1"/>
  <c r="J9" i="12"/>
  <c r="K9" i="12" s="1"/>
  <c r="K3" i="12"/>
  <c r="J12" i="12"/>
  <c r="K12" i="12" s="1"/>
  <c r="J5" i="12"/>
  <c r="K5" i="12" s="1"/>
  <c r="J14" i="12"/>
  <c r="K14" i="12" s="1"/>
  <c r="J13" i="12"/>
  <c r="K13" i="12" s="1"/>
  <c r="J15" i="12"/>
  <c r="K15" i="12" s="1"/>
  <c r="J17" i="12" l="1"/>
  <c r="K17" i="12"/>
  <c r="D92" i="1"/>
  <c r="D91" i="1"/>
  <c r="D90" i="1"/>
  <c r="D89" i="1"/>
  <c r="D88" i="1"/>
  <c r="D87" i="1"/>
  <c r="D86" i="1"/>
  <c r="D78" i="1"/>
  <c r="D77" i="1"/>
  <c r="D76" i="1"/>
  <c r="D70" i="1"/>
  <c r="D69" i="1"/>
  <c r="D68" i="1"/>
  <c r="D62" i="1"/>
  <c r="D61" i="1"/>
  <c r="D60" i="1"/>
  <c r="E92" i="1" l="1"/>
  <c r="D42" i="1"/>
  <c r="D26" i="1"/>
  <c r="D40" i="1"/>
  <c r="E90" i="1" l="1"/>
  <c r="D96" i="1"/>
  <c r="E87" i="1"/>
  <c r="E91" i="1"/>
  <c r="E89" i="1"/>
  <c r="D98" i="1"/>
  <c r="E88" i="1"/>
  <c r="D54" i="1"/>
  <c r="D30" i="1"/>
  <c r="D47" i="1"/>
  <c r="D50" i="1"/>
  <c r="D49" i="1"/>
  <c r="D48" i="1"/>
  <c r="D46" i="1"/>
  <c r="E93" i="1" l="1"/>
  <c r="D51" i="1"/>
  <c r="E17" i="1"/>
  <c r="E16" i="1"/>
  <c r="E15" i="1"/>
  <c r="E48" i="1" l="1"/>
  <c r="E49" i="1"/>
  <c r="E50" i="1"/>
  <c r="E46" i="1"/>
  <c r="E47" i="1"/>
  <c r="D32" i="1"/>
  <c r="D23" i="1"/>
  <c r="D25" i="1" s="1"/>
  <c r="E18" i="1"/>
  <c r="D18" i="1"/>
  <c r="D33" i="1" l="1"/>
  <c r="E51" i="1"/>
  <c r="E30" i="1" l="1"/>
  <c r="E32" i="1"/>
  <c r="E31" i="1"/>
  <c r="E29" i="1"/>
  <c r="E33" i="1" l="1"/>
  <c r="D41" i="1"/>
  <c r="D53" i="1" l="1"/>
  <c r="D97" i="1"/>
  <c r="H15" i="10" l="1"/>
  <c r="G14" i="10"/>
  <c r="G15" i="10" s="1"/>
  <c r="I14" i="10" l="1"/>
  <c r="I15" i="10" l="1"/>
  <c r="J6" i="10" l="1"/>
  <c r="K6" i="10" s="1"/>
  <c r="J8" i="10"/>
  <c r="K8" i="10" s="1"/>
  <c r="J3" i="10"/>
  <c r="J7" i="10"/>
  <c r="K7" i="10" s="1"/>
  <c r="J11" i="10"/>
  <c r="K11" i="10" s="1"/>
  <c r="J10" i="10"/>
  <c r="K10" i="10" s="1"/>
  <c r="J9" i="10"/>
  <c r="K9" i="10" s="1"/>
  <c r="J4" i="10"/>
  <c r="J5" i="10"/>
  <c r="K5" i="10" s="1"/>
  <c r="J12" i="10"/>
  <c r="K12" i="10" s="1"/>
  <c r="J13" i="10"/>
  <c r="K13" i="10" s="1"/>
  <c r="J14" i="10"/>
  <c r="K14" i="10" s="1"/>
  <c r="K3" i="10" l="1"/>
  <c r="J15" i="10"/>
  <c r="K4" i="10"/>
  <c r="K15" i="10" l="1"/>
  <c r="H6" i="6"/>
  <c r="H9" i="6" s="1"/>
</calcChain>
</file>

<file path=xl/sharedStrings.xml><?xml version="1.0" encoding="utf-8"?>
<sst xmlns="http://schemas.openxmlformats.org/spreadsheetml/2006/main" count="589" uniqueCount="194">
  <si>
    <t>SUM</t>
  </si>
  <si>
    <t>Shield International Ltd</t>
  </si>
  <si>
    <t>T-E Invest AS</t>
  </si>
  <si>
    <t>Morcidea AS</t>
  </si>
  <si>
    <t>Founding / Issue of shares - Ferdocean Shipping AS (FOS)</t>
  </si>
  <si>
    <t>Step 1 - Founding FOS</t>
  </si>
  <si>
    <t>Number of shares:</t>
  </si>
  <si>
    <t>Total share capital Norwegian Krone:</t>
  </si>
  <si>
    <t>Subscription price Norwegian Krone:</t>
  </si>
  <si>
    <t>Ferdocean AS</t>
  </si>
  <si>
    <t>Number of shares</t>
  </si>
  <si>
    <t>amount</t>
  </si>
  <si>
    <t>Subsription -  founding the company</t>
  </si>
  <si>
    <t>Face value</t>
  </si>
  <si>
    <t>Subscription amount Norwegian Krone:</t>
  </si>
  <si>
    <t>Share Premium</t>
  </si>
  <si>
    <t>Ownership after 1st share issue</t>
  </si>
  <si>
    <t>Ownership after 2nd share issue</t>
  </si>
  <si>
    <t>Total</t>
  </si>
  <si>
    <t>Ownership</t>
  </si>
  <si>
    <t>MA'MOR HOLDINGS SDN BHD</t>
  </si>
  <si>
    <t>Share Capital</t>
  </si>
  <si>
    <t>Total Share Premium</t>
  </si>
  <si>
    <t>Total Share Capital</t>
  </si>
  <si>
    <t>Shares 1 - 64.980</t>
  </si>
  <si>
    <t>Shares 90.921 - 93.515</t>
  </si>
  <si>
    <t>Shares 64.981 - 90.920</t>
  </si>
  <si>
    <t>Shares 93.516 - 97.276</t>
  </si>
  <si>
    <t>Shares 97.277 - 127.000</t>
  </si>
  <si>
    <t>Shareholder Book</t>
  </si>
  <si>
    <t>Share issue 2 -  (MA'MOR HOLDINGS SDN BHD)</t>
  </si>
  <si>
    <t>Share issue 1 - (Morcidea AS)</t>
  </si>
  <si>
    <t>Share issue 3 - (New /Existing Investors)</t>
  </si>
  <si>
    <t>Shares 127.001-157.000</t>
  </si>
  <si>
    <t>Shares 157.001- 167.000</t>
  </si>
  <si>
    <t xml:space="preserve">Gunnar Nordbø ENK </t>
  </si>
  <si>
    <t>Total Share Premium round I+II+III</t>
  </si>
  <si>
    <t>Gunnar Nordbø ENK</t>
  </si>
  <si>
    <t>MA`MOR Holdings SDN BHD</t>
  </si>
  <si>
    <t xml:space="preserve">Share issue 3 - (Gunnar Nordbø ENK) </t>
  </si>
  <si>
    <t xml:space="preserve">Share issue 3 - (Wilmar AS) </t>
  </si>
  <si>
    <t>Ownership after 3rd share issue</t>
  </si>
  <si>
    <t>Subscription price Dec-20</t>
  </si>
  <si>
    <t>Company Evaluation</t>
  </si>
  <si>
    <t xml:space="preserve">Wilmar Gruppen AS </t>
  </si>
  <si>
    <t>Date of reg.</t>
  </si>
  <si>
    <t>Type of change</t>
  </si>
  <si>
    <t>Change in share capital (NOK)</t>
  </si>
  <si>
    <t>New share capital (NOK)</t>
  </si>
  <si>
    <t>Nom. Value (NOK)</t>
  </si>
  <si>
    <t>New Number of total issued shares</t>
  </si>
  <si>
    <t>Subscription price per share (NOK)</t>
  </si>
  <si>
    <t>Incorporation</t>
  </si>
  <si>
    <t>FOS AS</t>
  </si>
  <si>
    <t>Share Capital Increase</t>
  </si>
  <si>
    <t>Owner sits</t>
  </si>
  <si>
    <t>Share Capital History Ferdocean Shipping AS</t>
  </si>
  <si>
    <t>If Pre money valuation</t>
  </si>
  <si>
    <t>Valuation per share</t>
  </si>
  <si>
    <t>Post money valuation</t>
  </si>
  <si>
    <t>Target gross proceeds</t>
  </si>
  <si>
    <t>New shares if valuation equals per share pre money</t>
  </si>
  <si>
    <t>Offering % of the company outstanding shares</t>
  </si>
  <si>
    <t>Simulation inputs</t>
  </si>
  <si>
    <t>Total shares</t>
  </si>
  <si>
    <t>New owner sits</t>
  </si>
  <si>
    <t>Market Cap         Post Money</t>
  </si>
  <si>
    <t>Calculations upcoming capital raise:</t>
  </si>
  <si>
    <t xml:space="preserve">Shares </t>
  </si>
  <si>
    <t xml:space="preserve">Total outstanding shares in the company </t>
  </si>
  <si>
    <t>New shares</t>
  </si>
  <si>
    <t>Subscription NOK</t>
  </si>
  <si>
    <t>Quality Group Invest AS</t>
  </si>
  <si>
    <t>Haugjegla Invest AS</t>
  </si>
  <si>
    <t>Superiore Capital AS</t>
  </si>
  <si>
    <t>Total number of shares Shield Int.Ltd</t>
  </si>
  <si>
    <t>Total number of shares Gunnar Nordbø ENK</t>
  </si>
  <si>
    <t>Shares 167.001-170.800</t>
  </si>
  <si>
    <t>Shares 170.801-174.000</t>
  </si>
  <si>
    <t>Shares 176.001-176.400</t>
  </si>
  <si>
    <t>Shares 97.27 - 127.000</t>
  </si>
  <si>
    <t>Shares 174.001-176.000</t>
  </si>
  <si>
    <t>Shares 176.401-176.600</t>
  </si>
  <si>
    <t>Shares 176.601-176.800</t>
  </si>
  <si>
    <t>Shares 176.801-177.000</t>
  </si>
  <si>
    <r>
      <rPr>
        <b/>
        <sz val="11"/>
        <color theme="1"/>
        <rFont val="Calibri"/>
        <family val="2"/>
        <scheme val="minor"/>
      </rPr>
      <t>Quality Group Invest AS</t>
    </r>
    <r>
      <rPr>
        <sz val="11"/>
        <color theme="1"/>
        <rFont val="Calibri"/>
        <family val="2"/>
        <scheme val="minor"/>
      </rPr>
      <t xml:space="preserve">  </t>
    </r>
  </si>
  <si>
    <t>Mosby Holding Ltd</t>
  </si>
  <si>
    <t>Wilmar AS</t>
  </si>
  <si>
    <t xml:space="preserve">Wilmar AS </t>
  </si>
  <si>
    <t>Total number of shares Wilmar AS</t>
  </si>
  <si>
    <t xml:space="preserve">Share Capital </t>
  </si>
  <si>
    <t>Total of shares</t>
  </si>
  <si>
    <t>Nominal value</t>
  </si>
  <si>
    <t>Share number</t>
  </si>
  <si>
    <t>%</t>
  </si>
  <si>
    <t>Shareholder Book as of 20.02.2023</t>
  </si>
  <si>
    <t>Ferdocean AS *</t>
  </si>
  <si>
    <t>* Pantesikkerhet for DNB</t>
  </si>
  <si>
    <t>Shareholder Book as of 01.06.2023</t>
  </si>
  <si>
    <t>Calculations Shareholder sits after simulation</t>
  </si>
  <si>
    <t>Nr.of shares</t>
  </si>
  <si>
    <t>Nr.of new shares</t>
  </si>
  <si>
    <t>Quality Group Invest AS (from FO AS)</t>
  </si>
  <si>
    <t>Mosby Holding Ltd(from FO as)</t>
  </si>
  <si>
    <t>Haugjegla Invest AS (from FO as)</t>
  </si>
  <si>
    <t>Superiore Capital AS (from FO as)</t>
  </si>
  <si>
    <t>= Commitment</t>
  </si>
  <si>
    <t>Commited Capital</t>
  </si>
  <si>
    <t>New: Proco AS</t>
  </si>
  <si>
    <t>Proco as</t>
  </si>
  <si>
    <t>Shareholder Book as of 18.10.2023</t>
  </si>
  <si>
    <t>Bjørnar Iversen</t>
  </si>
  <si>
    <t>Rasmus Nordbø</t>
  </si>
  <si>
    <t>Musa Adinin</t>
  </si>
  <si>
    <t>Preben Gulliksen</t>
  </si>
  <si>
    <t>Arne Gåskjenn</t>
  </si>
  <si>
    <t>Tor Axel Shwerdt</t>
  </si>
  <si>
    <t>Tore Ausland</t>
  </si>
  <si>
    <t>Runar Nilsen</t>
  </si>
  <si>
    <t>Hans Erik Sæther</t>
  </si>
  <si>
    <t>Jens Petter Røkenes</t>
  </si>
  <si>
    <t>New: Hinfra Invest AS</t>
  </si>
  <si>
    <r>
      <t xml:space="preserve">Ownership - </t>
    </r>
    <r>
      <rPr>
        <b/>
        <sz val="11"/>
        <color rgb="FFFF0000"/>
        <rFont val="Calibri"/>
        <family val="2"/>
        <scheme val="minor"/>
      </rPr>
      <t>After converting to Pre-money MNOK 45,4``</t>
    </r>
  </si>
  <si>
    <r>
      <t xml:space="preserve">Ownership -  </t>
    </r>
    <r>
      <rPr>
        <b/>
        <sz val="11"/>
        <color rgb="FFFF0000"/>
        <rFont val="Calibri"/>
        <family val="2"/>
        <scheme val="minor"/>
      </rPr>
      <t>Before converting to Pre-money MNOK 22,7``</t>
    </r>
  </si>
  <si>
    <r>
      <t xml:space="preserve">Ownership - </t>
    </r>
    <r>
      <rPr>
        <b/>
        <sz val="11"/>
        <color rgb="FFFF0000"/>
        <rFont val="Calibri"/>
        <family val="2"/>
        <scheme val="minor"/>
      </rPr>
      <t>After converting to Pre-money MNOK 22,7``</t>
    </r>
  </si>
  <si>
    <t>New: Preben Gulliksen</t>
  </si>
  <si>
    <t>rnilsen@ferdocean.com</t>
  </si>
  <si>
    <t>hsaether@ferdocean.com</t>
  </si>
  <si>
    <t>preben.gulliksen@pizzabakeren.no</t>
  </si>
  <si>
    <t>ag@morcidea.no</t>
  </si>
  <si>
    <t>Proco AS</t>
  </si>
  <si>
    <t>rasmus@fiska.no</t>
  </si>
  <si>
    <t>jens.rokenes@gmail.com</t>
  </si>
  <si>
    <t>Bjornar@wefollowheroes.com   Bjornar.Iversen@dolphindrilling.com</t>
  </si>
  <si>
    <t>tasc@svw.no</t>
  </si>
  <si>
    <t>ta@vikenklynge.no</t>
  </si>
  <si>
    <t>musa@adinin.com</t>
  </si>
  <si>
    <t>+6738733111</t>
  </si>
  <si>
    <t xml:space="preserve">Ownership </t>
  </si>
  <si>
    <t>Shareholder Book as of 03.07.2024</t>
  </si>
  <si>
    <t>Sum runde 1</t>
  </si>
  <si>
    <t>Kommitert</t>
  </si>
  <si>
    <t>Signert</t>
  </si>
  <si>
    <t>V</t>
  </si>
  <si>
    <t>Sum runde 2</t>
  </si>
  <si>
    <t>Runde 1 - Nov 2023</t>
  </si>
  <si>
    <t>Runde 2 - Mars 2024</t>
  </si>
  <si>
    <t>Konvertering 44,5 MNOK</t>
  </si>
  <si>
    <t>750K til konvertering 22.7MNOK</t>
  </si>
  <si>
    <t>Gunnar Norbbø ENK</t>
  </si>
  <si>
    <t>Forbehold tegning 2.7MNOK minimum.</t>
  </si>
  <si>
    <t xml:space="preserve"> Juli 2024</t>
  </si>
  <si>
    <t>Quality Group Invest AS (FO AS)</t>
  </si>
  <si>
    <t>Superiore Capital AS (FO AS)</t>
  </si>
  <si>
    <t xml:space="preserve">Mosby Holding ltd (FO AS) </t>
  </si>
  <si>
    <t>New: Hinfra Invest AS  (FO AS)</t>
  </si>
  <si>
    <t>New: Fivel Holding AS (FO AS)</t>
  </si>
  <si>
    <t>New: Soleklar Holding (FO AS)</t>
  </si>
  <si>
    <t>New: Holme Holding AS (FO AS)</t>
  </si>
  <si>
    <t>Haugjegla Invest AS (FO AS)</t>
  </si>
  <si>
    <t xml:space="preserve">Sum </t>
  </si>
  <si>
    <t>New: Stanjo AS (FO AS)</t>
  </si>
  <si>
    <t/>
  </si>
  <si>
    <t>New: Havi Invest AS</t>
  </si>
  <si>
    <t>Gjennværende godkjent låneramme p.t.</t>
  </si>
  <si>
    <t>Ownership after 4rd share issue</t>
  </si>
  <si>
    <t>History- F</t>
  </si>
  <si>
    <t>History - 1</t>
  </si>
  <si>
    <t>History - 2</t>
  </si>
  <si>
    <t>History - 3</t>
  </si>
  <si>
    <t>History - 4</t>
  </si>
  <si>
    <t>Pre money valuation</t>
  </si>
  <si>
    <t>Q3-Q4 2024</t>
  </si>
  <si>
    <t>Bro Kapital - Hjelp fra Rasmus Nordbø</t>
  </si>
  <si>
    <t>Flyttes over til Brødrene Nordbø AS i neste runde (se under)</t>
  </si>
  <si>
    <t>Lånekappital 1,12 MNOK</t>
  </si>
  <si>
    <t>Låneramme</t>
  </si>
  <si>
    <r>
      <t xml:space="preserve">Ownership -  </t>
    </r>
    <r>
      <rPr>
        <b/>
        <sz val="11"/>
        <color rgb="FFFF0000"/>
        <rFont val="Calibri"/>
        <family val="2"/>
        <scheme val="minor"/>
      </rPr>
      <t>Before converting to Pre-money MNOK 44,5``</t>
    </r>
  </si>
  <si>
    <r>
      <t xml:space="preserve">Ownership - </t>
    </r>
    <r>
      <rPr>
        <b/>
        <sz val="11"/>
        <color rgb="FFFF0000"/>
        <rFont val="Calibri"/>
        <family val="2"/>
        <scheme val="minor"/>
      </rPr>
      <t>After converting to Pre-money MNOK 44,5``</t>
    </r>
  </si>
  <si>
    <t>Gulp Invest AS</t>
  </si>
  <si>
    <t>Hinfra Invest AS</t>
  </si>
  <si>
    <t>New: Gulp Invest AS</t>
  </si>
  <si>
    <t>New: Proco AS (from FO AS)</t>
  </si>
  <si>
    <t>New: Hinfra Invest AS(from FO as)</t>
  </si>
  <si>
    <t>Proco AS (from FO as)</t>
  </si>
  <si>
    <t>History - 5</t>
  </si>
  <si>
    <t>Via Brødrene Nordbø AS - (120K skal tilbakebet Rasmus Nordbø)</t>
  </si>
  <si>
    <t>Soleklar Holding AS</t>
  </si>
  <si>
    <t>Havi Invest AS</t>
  </si>
  <si>
    <t>Fivel Holding AS</t>
  </si>
  <si>
    <t>Holme Holding AS</t>
  </si>
  <si>
    <t>Stanjo AS</t>
  </si>
  <si>
    <r>
      <t xml:space="preserve">Ownership -  </t>
    </r>
    <r>
      <rPr>
        <b/>
        <sz val="11"/>
        <color rgb="FFFF0000"/>
        <rFont val="Calibri"/>
        <family val="2"/>
        <scheme val="minor"/>
      </rPr>
      <t>Before converting to Pre-money MNOK 10``</t>
    </r>
  </si>
  <si>
    <r>
      <t xml:space="preserve">Ownership - </t>
    </r>
    <r>
      <rPr>
        <b/>
        <sz val="11"/>
        <color rgb="FFFF0000"/>
        <rFont val="Calibri"/>
        <family val="2"/>
        <scheme val="minor"/>
      </rPr>
      <t>After converting to Pre-money MNOK 10``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</si>
</sst>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kr&quot;\ * #,##0.00_-;\-&quot;kr&quot;\ * #,##0.00_-;_-&quot;kr&quot;\ * &quot;-&quot;??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_-* #,##0.0_-;\-* #,##0.0_-;_-* &quot;-&quot;??_-;_-@_-"/>
    <numFmt numFmtId="167" formatCode="_-* #,##0_-;\-* #,##0_-;_-* &quot;-&quot;??_-;_-@_-"/>
    <numFmt numFmtId="168" formatCode="_-* #,##0.0_-;\-* #,##0.0_-;_-* &quot;-&quot;?_-;_-@_-"/>
    <numFmt numFmtId="169" formatCode="0.0000\ %"/>
    <numFmt numFmtId="170" formatCode="0.000000\ %"/>
    <numFmt numFmtId="171" formatCode="0.0000000\ %"/>
    <numFmt numFmtId="172" formatCode="_-* #,##0.000000_-;\-* #,##0.000000_-;_-* &quot;-&quot;??_-;_-@_-"/>
    <numFmt numFmtId="173" formatCode="_(* #,##0.000000000_);_(* \(#,##0.000000000\);_(* &quot;-&quot;??_);_(@_)"/>
    <numFmt numFmtId="174" formatCode="_ * #,##0.000_ ;_ * \-#,##0.000_ ;_ * &quot;-&quot;??_ ;_ @_ "/>
    <numFmt numFmtId="175" formatCode="0.000\ %"/>
    <numFmt numFmtId="176" formatCode="_-&quot;kr&quot;\ * #,##0_-;\-&quot;kr&quot;\ * #,##0_-;_-&quot;kr&quot;\ * &quot;-&quot;??_-;_-@_-"/>
    <numFmt numFmtId="177" formatCode="_(* #,##0_);_(* \(#,##0\);_(* &quot;-&quot;??_);_(@_)"/>
    <numFmt numFmtId="178" formatCode="_-[$kr-414]\ * #,##0.00_-;\-[$kr-414]\ * #,##0.00_-;_-[$kr-414]\ * &quot;-&quot;??_-;_-@_-"/>
    <numFmt numFmtId="179" formatCode="#,##0.000"/>
    <numFmt numFmtId="180" formatCode="_-[$USD]\ * #,##0.00_-;\-[$USD]\ * #,##0.00_-;_-[$USD]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 style="thin">
        <color indexed="64"/>
      </bottom>
      <diagonal/>
    </border>
    <border>
      <left style="medium">
        <color theme="1" tint="0.499984740745262"/>
      </left>
      <right/>
      <top/>
      <bottom style="thin">
        <color indexed="64"/>
      </bottom>
      <diagonal/>
    </border>
    <border>
      <left/>
      <right style="medium">
        <color theme="1" tint="0.499984740745262"/>
      </right>
      <top style="medium">
        <color indexed="64"/>
      </top>
      <bottom style="thin">
        <color indexed="64"/>
      </bottom>
      <diagonal/>
    </border>
    <border>
      <left/>
      <right style="medium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/>
      <top/>
      <bottom style="double">
        <color theme="1" tint="0.499984740745262"/>
      </bottom>
      <diagonal/>
    </border>
    <border>
      <left/>
      <right/>
      <top/>
      <bottom style="double">
        <color theme="1" tint="0.499984740745262"/>
      </bottom>
      <diagonal/>
    </border>
    <border>
      <left/>
      <right style="thin">
        <color theme="1" tint="0.499984740745262"/>
      </right>
      <top/>
      <bottom style="double">
        <color theme="1" tint="0.499984740745262"/>
      </bottom>
      <diagonal/>
    </border>
    <border>
      <left style="medium">
        <color theme="1" tint="0.499984740745262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theme="1" tint="0.499984740745262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38">
    <xf numFmtId="0" fontId="0" fillId="0" borderId="0" xfId="0"/>
    <xf numFmtId="0" fontId="3" fillId="0" borderId="0" xfId="0" applyFont="1"/>
    <xf numFmtId="165" fontId="0" fillId="0" borderId="0" xfId="1" applyFont="1"/>
    <xf numFmtId="0" fontId="2" fillId="0" borderId="0" xfId="0" applyFont="1"/>
    <xf numFmtId="167" fontId="0" fillId="0" borderId="1" xfId="1" applyNumberFormat="1" applyFont="1" applyBorder="1"/>
    <xf numFmtId="0" fontId="4" fillId="0" borderId="0" xfId="0" applyFont="1"/>
    <xf numFmtId="0" fontId="0" fillId="0" borderId="0" xfId="0" applyAlignment="1">
      <alignment horizontal="right"/>
    </xf>
    <xf numFmtId="169" fontId="0" fillId="0" borderId="0" xfId="2" applyNumberFormat="1" applyFont="1"/>
    <xf numFmtId="165" fontId="0" fillId="0" borderId="0" xfId="0" applyNumberFormat="1"/>
    <xf numFmtId="165" fontId="0" fillId="0" borderId="0" xfId="1" applyFont="1" applyBorder="1"/>
    <xf numFmtId="169" fontId="0" fillId="0" borderId="0" xfId="2" applyNumberFormat="1" applyFont="1" applyBorder="1"/>
    <xf numFmtId="0" fontId="0" fillId="0" borderId="1" xfId="0" applyBorder="1"/>
    <xf numFmtId="165" fontId="0" fillId="0" borderId="2" xfId="1" applyFont="1" applyFill="1" applyBorder="1"/>
    <xf numFmtId="165" fontId="0" fillId="0" borderId="0" xfId="1" applyFont="1" applyFill="1" applyBorder="1"/>
    <xf numFmtId="165" fontId="0" fillId="0" borderId="0" xfId="1" applyFont="1" applyBorder="1" applyAlignment="1">
      <alignment horizontal="right"/>
    </xf>
    <xf numFmtId="166" fontId="0" fillId="0" borderId="0" xfId="1" applyNumberFormat="1" applyFont="1" applyBorder="1"/>
    <xf numFmtId="171" fontId="0" fillId="0" borderId="0" xfId="2" applyNumberFormat="1" applyFont="1" applyBorder="1"/>
    <xf numFmtId="171" fontId="0" fillId="0" borderId="0" xfId="1" applyNumberFormat="1" applyFont="1" applyBorder="1"/>
    <xf numFmtId="170" fontId="0" fillId="0" borderId="0" xfId="2" applyNumberFormat="1" applyFont="1" applyBorder="1"/>
    <xf numFmtId="167" fontId="0" fillId="0" borderId="0" xfId="0" applyNumberFormat="1"/>
    <xf numFmtId="167" fontId="0" fillId="0" borderId="0" xfId="1" applyNumberFormat="1" applyFont="1" applyBorder="1"/>
    <xf numFmtId="166" fontId="0" fillId="0" borderId="0" xfId="0" applyNumberFormat="1"/>
    <xf numFmtId="9" fontId="0" fillId="0" borderId="0" xfId="2" applyFont="1" applyBorder="1"/>
    <xf numFmtId="168" fontId="0" fillId="0" borderId="0" xfId="0" applyNumberFormat="1"/>
    <xf numFmtId="0" fontId="0" fillId="0" borderId="6" xfId="0" applyBorder="1"/>
    <xf numFmtId="10" fontId="0" fillId="0" borderId="0" xfId="0" applyNumberFormat="1"/>
    <xf numFmtId="0" fontId="0" fillId="0" borderId="9" xfId="0" applyBorder="1"/>
    <xf numFmtId="43" fontId="0" fillId="0" borderId="0" xfId="0" applyNumberFormat="1"/>
    <xf numFmtId="167" fontId="0" fillId="0" borderId="1" xfId="0" applyNumberFormat="1" applyBorder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0" xfId="0" applyNumberFormat="1" applyFont="1"/>
    <xf numFmtId="175" fontId="0" fillId="0" borderId="1" xfId="0" applyNumberFormat="1" applyBorder="1" applyAlignment="1">
      <alignment horizontal="center"/>
    </xf>
    <xf numFmtId="174" fontId="0" fillId="0" borderId="0" xfId="0" applyNumberFormat="1"/>
    <xf numFmtId="0" fontId="0" fillId="0" borderId="11" xfId="0" applyBorder="1"/>
    <xf numFmtId="0" fontId="0" fillId="0" borderId="12" xfId="0" applyBorder="1"/>
    <xf numFmtId="0" fontId="2" fillId="0" borderId="13" xfId="0" applyFont="1" applyBorder="1"/>
    <xf numFmtId="0" fontId="2" fillId="0" borderId="14" xfId="0" applyFont="1" applyBorder="1" applyAlignment="1">
      <alignment horizontal="right"/>
    </xf>
    <xf numFmtId="0" fontId="0" fillId="0" borderId="15" xfId="0" applyBorder="1"/>
    <xf numFmtId="10" fontId="0" fillId="0" borderId="16" xfId="2" applyNumberFormat="1" applyFont="1" applyBorder="1"/>
    <xf numFmtId="0" fontId="0" fillId="0" borderId="13" xfId="0" applyBorder="1"/>
    <xf numFmtId="0" fontId="2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/>
    <xf numFmtId="0" fontId="2" fillId="0" borderId="20" xfId="0" applyFont="1" applyBorder="1"/>
    <xf numFmtId="0" fontId="6" fillId="0" borderId="10" xfId="0" applyFont="1" applyBorder="1"/>
    <xf numFmtId="0" fontId="5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 wrapText="1"/>
    </xf>
    <xf numFmtId="10" fontId="0" fillId="0" borderId="0" xfId="2" applyNumberFormat="1" applyFont="1" applyBorder="1" applyAlignment="1">
      <alignment horizontal="right"/>
    </xf>
    <xf numFmtId="176" fontId="0" fillId="0" borderId="16" xfId="3" applyNumberFormat="1" applyFont="1" applyBorder="1"/>
    <xf numFmtId="10" fontId="0" fillId="0" borderId="1" xfId="2" applyNumberFormat="1" applyFont="1" applyBorder="1" applyAlignment="1">
      <alignment horizontal="right"/>
    </xf>
    <xf numFmtId="9" fontId="2" fillId="0" borderId="16" xfId="2" applyFont="1" applyBorder="1"/>
    <xf numFmtId="176" fontId="2" fillId="0" borderId="0" xfId="3" applyNumberFormat="1" applyFont="1" applyBorder="1"/>
    <xf numFmtId="9" fontId="2" fillId="0" borderId="0" xfId="2" applyFont="1" applyBorder="1"/>
    <xf numFmtId="176" fontId="2" fillId="0" borderId="16" xfId="3" applyNumberFormat="1" applyFont="1" applyBorder="1"/>
    <xf numFmtId="0" fontId="7" fillId="2" borderId="10" xfId="0" applyFont="1" applyFill="1" applyBorder="1"/>
    <xf numFmtId="0" fontId="0" fillId="2" borderId="12" xfId="0" applyFill="1" applyBorder="1"/>
    <xf numFmtId="0" fontId="0" fillId="2" borderId="15" xfId="0" applyFill="1" applyBorder="1"/>
    <xf numFmtId="3" fontId="0" fillId="2" borderId="16" xfId="0" applyNumberFormat="1" applyFill="1" applyBorder="1"/>
    <xf numFmtId="0" fontId="2" fillId="2" borderId="15" xfId="0" applyFont="1" applyFill="1" applyBorder="1"/>
    <xf numFmtId="3" fontId="5" fillId="2" borderId="16" xfId="0" applyNumberFormat="1" applyFont="1" applyFill="1" applyBorder="1"/>
    <xf numFmtId="3" fontId="8" fillId="0" borderId="0" xfId="0" applyNumberFormat="1" applyFont="1"/>
    <xf numFmtId="0" fontId="0" fillId="2" borderId="16" xfId="0" applyFill="1" applyBorder="1"/>
    <xf numFmtId="0" fontId="8" fillId="0" borderId="0" xfId="0" applyFont="1"/>
    <xf numFmtId="4" fontId="0" fillId="2" borderId="16" xfId="0" applyNumberFormat="1" applyFill="1" applyBorder="1"/>
    <xf numFmtId="0" fontId="0" fillId="2" borderId="17" xfId="0" applyFill="1" applyBorder="1"/>
    <xf numFmtId="10" fontId="0" fillId="2" borderId="19" xfId="2" applyNumberFormat="1" applyFont="1" applyFill="1" applyBorder="1"/>
    <xf numFmtId="0" fontId="2" fillId="0" borderId="0" xfId="0" applyFont="1" applyAlignment="1">
      <alignment horizontal="right" wrapText="1"/>
    </xf>
    <xf numFmtId="2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2" fontId="0" fillId="2" borderId="16" xfId="0" applyNumberFormat="1" applyFill="1" applyBorder="1"/>
    <xf numFmtId="172" fontId="2" fillId="0" borderId="17" xfId="0" applyNumberFormat="1" applyFont="1" applyBorder="1"/>
    <xf numFmtId="0" fontId="2" fillId="0" borderId="18" xfId="0" applyFont="1" applyBorder="1" applyAlignment="1">
      <alignment horizontal="center"/>
    </xf>
    <xf numFmtId="167" fontId="9" fillId="0" borderId="20" xfId="0" applyNumberFormat="1" applyFont="1" applyBorder="1" applyAlignment="1">
      <alignment horizontal="right"/>
    </xf>
    <xf numFmtId="10" fontId="9" fillId="0" borderId="21" xfId="0" applyNumberFormat="1" applyFont="1" applyBorder="1" applyAlignment="1">
      <alignment horizontal="center"/>
    </xf>
    <xf numFmtId="176" fontId="0" fillId="0" borderId="14" xfId="3" applyNumberFormat="1" applyFont="1" applyBorder="1"/>
    <xf numFmtId="177" fontId="0" fillId="0" borderId="0" xfId="1" applyNumberFormat="1" applyFont="1"/>
    <xf numFmtId="0" fontId="0" fillId="3" borderId="13" xfId="0" applyFill="1" applyBorder="1"/>
    <xf numFmtId="178" fontId="0" fillId="0" borderId="0" xfId="0" applyNumberFormat="1"/>
    <xf numFmtId="9" fontId="0" fillId="0" borderId="0" xfId="2" applyFont="1"/>
    <xf numFmtId="0" fontId="0" fillId="0" borderId="2" xfId="0" applyBorder="1"/>
    <xf numFmtId="179" fontId="0" fillId="0" borderId="0" xfId="0" applyNumberFormat="1"/>
    <xf numFmtId="180" fontId="0" fillId="0" borderId="0" xfId="1" applyNumberFormat="1" applyFont="1"/>
    <xf numFmtId="0" fontId="11" fillId="0" borderId="2" xfId="4" applyBorder="1"/>
    <xf numFmtId="0" fontId="11" fillId="0" borderId="0" xfId="4"/>
    <xf numFmtId="0" fontId="11" fillId="0" borderId="2" xfId="4" applyBorder="1" applyAlignment="1">
      <alignment horizontal="left" wrapText="1"/>
    </xf>
    <xf numFmtId="49" fontId="0" fillId="0" borderId="2" xfId="0" applyNumberFormat="1" applyBorder="1" applyAlignment="1">
      <alignment horizontal="right"/>
    </xf>
    <xf numFmtId="176" fontId="0" fillId="0" borderId="0" xfId="0" applyNumberFormat="1"/>
    <xf numFmtId="0" fontId="0" fillId="0" borderId="0" xfId="0" applyAlignment="1">
      <alignment horizontal="center"/>
    </xf>
    <xf numFmtId="176" fontId="0" fillId="0" borderId="0" xfId="3" applyNumberFormat="1" applyFont="1"/>
    <xf numFmtId="0" fontId="12" fillId="0" borderId="0" xfId="0" applyFont="1" applyAlignment="1">
      <alignment horizontal="center"/>
    </xf>
    <xf numFmtId="3" fontId="12" fillId="0" borderId="0" xfId="0" applyNumberFormat="1" applyFont="1"/>
    <xf numFmtId="0" fontId="0" fillId="0" borderId="24" xfId="0" applyBorder="1"/>
    <xf numFmtId="0" fontId="0" fillId="0" borderId="3" xfId="0" applyBorder="1"/>
    <xf numFmtId="3" fontId="12" fillId="0" borderId="4" xfId="0" applyNumberFormat="1" applyFont="1" applyBorder="1"/>
    <xf numFmtId="3" fontId="12" fillId="0" borderId="1" xfId="0" applyNumberFormat="1" applyFont="1" applyBorder="1"/>
    <xf numFmtId="0" fontId="12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76" fontId="1" fillId="0" borderId="5" xfId="3" applyNumberFormat="1" applyFont="1" applyFill="1" applyBorder="1"/>
    <xf numFmtId="176" fontId="1" fillId="0" borderId="7" xfId="3" applyNumberFormat="1" applyFont="1" applyFill="1" applyBorder="1"/>
    <xf numFmtId="176" fontId="1" fillId="0" borderId="8" xfId="3" applyNumberFormat="1" applyFont="1" applyFill="1" applyBorder="1"/>
    <xf numFmtId="178" fontId="0" fillId="5" borderId="24" xfId="0" applyNumberFormat="1" applyFill="1" applyBorder="1"/>
    <xf numFmtId="176" fontId="0" fillId="5" borderId="24" xfId="0" applyNumberFormat="1" applyFill="1" applyBorder="1"/>
    <xf numFmtId="0" fontId="12" fillId="0" borderId="31" xfId="0" applyFont="1" applyBorder="1" applyAlignment="1">
      <alignment horizontal="center"/>
    </xf>
    <xf numFmtId="0" fontId="2" fillId="0" borderId="25" xfId="0" applyFont="1" applyBorder="1"/>
    <xf numFmtId="0" fontId="2" fillId="0" borderId="4" xfId="0" applyFont="1" applyBorder="1"/>
    <xf numFmtId="0" fontId="2" fillId="0" borderId="27" xfId="0" applyFont="1" applyBorder="1"/>
    <xf numFmtId="0" fontId="2" fillId="0" borderId="26" xfId="0" applyFont="1" applyBorder="1"/>
    <xf numFmtId="0" fontId="2" fillId="4" borderId="24" xfId="0" applyFont="1" applyFill="1" applyBorder="1"/>
    <xf numFmtId="176" fontId="2" fillId="4" borderId="24" xfId="0" applyNumberFormat="1" applyFont="1" applyFill="1" applyBorder="1"/>
    <xf numFmtId="0" fontId="2" fillId="4" borderId="28" xfId="0" applyFont="1" applyFill="1" applyBorder="1"/>
    <xf numFmtId="0" fontId="2" fillId="4" borderId="29" xfId="0" applyFont="1" applyFill="1" applyBorder="1"/>
    <xf numFmtId="176" fontId="2" fillId="4" borderId="30" xfId="3" applyNumberFormat="1" applyFont="1" applyFill="1" applyBorder="1"/>
    <xf numFmtId="0" fontId="0" fillId="0" borderId="0" xfId="0" quotePrefix="1"/>
    <xf numFmtId="0" fontId="0" fillId="0" borderId="33" xfId="0" applyBorder="1"/>
    <xf numFmtId="0" fontId="2" fillId="0" borderId="35" xfId="0" applyFont="1" applyBorder="1"/>
    <xf numFmtId="0" fontId="0" fillId="0" borderId="36" xfId="0" applyBorder="1"/>
    <xf numFmtId="167" fontId="2" fillId="0" borderId="36" xfId="0" applyNumberFormat="1" applyFont="1" applyBorder="1"/>
    <xf numFmtId="10" fontId="2" fillId="0" borderId="36" xfId="0" applyNumberFormat="1" applyFont="1" applyBorder="1" applyAlignment="1">
      <alignment horizontal="center"/>
    </xf>
    <xf numFmtId="0" fontId="2" fillId="0" borderId="37" xfId="0" applyFont="1" applyBorder="1"/>
    <xf numFmtId="10" fontId="0" fillId="0" borderId="0" xfId="0" applyNumberFormat="1" applyAlignment="1">
      <alignment horizontal="center"/>
    </xf>
    <xf numFmtId="0" fontId="2" fillId="0" borderId="36" xfId="0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0" fillId="0" borderId="35" xfId="0" applyBorder="1"/>
    <xf numFmtId="0" fontId="0" fillId="0" borderId="38" xfId="0" applyBorder="1"/>
    <xf numFmtId="0" fontId="0" fillId="0" borderId="39" xfId="0" applyBorder="1"/>
    <xf numFmtId="10" fontId="2" fillId="0" borderId="0" xfId="0" applyNumberFormat="1" applyFont="1" applyAlignment="1">
      <alignment horizontal="center"/>
    </xf>
    <xf numFmtId="0" fontId="2" fillId="0" borderId="39" xfId="0" applyFont="1" applyBorder="1"/>
    <xf numFmtId="0" fontId="0" fillId="0" borderId="40" xfId="0" applyBorder="1"/>
    <xf numFmtId="0" fontId="0" fillId="0" borderId="41" xfId="0" applyBorder="1"/>
    <xf numFmtId="3" fontId="2" fillId="0" borderId="41" xfId="0" applyNumberFormat="1" applyFont="1" applyBorder="1"/>
    <xf numFmtId="10" fontId="2" fillId="0" borderId="41" xfId="0" applyNumberFormat="1" applyFont="1" applyBorder="1" applyAlignment="1">
      <alignment horizontal="center"/>
    </xf>
    <xf numFmtId="0" fontId="2" fillId="0" borderId="42" xfId="0" applyFont="1" applyBorder="1"/>
    <xf numFmtId="0" fontId="3" fillId="0" borderId="43" xfId="0" applyFont="1" applyBorder="1"/>
    <xf numFmtId="0" fontId="0" fillId="0" borderId="44" xfId="0" applyBorder="1"/>
    <xf numFmtId="43" fontId="0" fillId="0" borderId="44" xfId="0" applyNumberFormat="1" applyBorder="1"/>
    <xf numFmtId="0" fontId="0" fillId="0" borderId="45" xfId="0" applyBorder="1"/>
    <xf numFmtId="0" fontId="5" fillId="0" borderId="38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46" xfId="0" applyBorder="1"/>
    <xf numFmtId="0" fontId="2" fillId="0" borderId="38" xfId="0" applyFont="1" applyBorder="1"/>
    <xf numFmtId="167" fontId="2" fillId="0" borderId="0" xfId="0" applyNumberFormat="1" applyFont="1"/>
    <xf numFmtId="164" fontId="0" fillId="0" borderId="0" xfId="0" applyNumberFormat="1"/>
    <xf numFmtId="174" fontId="0" fillId="0" borderId="41" xfId="0" applyNumberFormat="1" applyBorder="1"/>
    <xf numFmtId="0" fontId="0" fillId="0" borderId="42" xfId="0" applyBorder="1"/>
    <xf numFmtId="0" fontId="0" fillId="0" borderId="47" xfId="0" applyBorder="1"/>
    <xf numFmtId="0" fontId="5" fillId="0" borderId="43" xfId="0" applyFont="1" applyBorder="1"/>
    <xf numFmtId="173" fontId="0" fillId="0" borderId="0" xfId="1" applyNumberFormat="1" applyFont="1" applyBorder="1"/>
    <xf numFmtId="165" fontId="0" fillId="0" borderId="39" xfId="1" applyFont="1" applyBorder="1"/>
    <xf numFmtId="165" fontId="0" fillId="0" borderId="46" xfId="1" applyFont="1" applyBorder="1"/>
    <xf numFmtId="167" fontId="0" fillId="0" borderId="41" xfId="1" applyNumberFormat="1" applyFont="1" applyBorder="1"/>
    <xf numFmtId="165" fontId="0" fillId="0" borderId="42" xfId="1" applyFont="1" applyBorder="1"/>
    <xf numFmtId="0" fontId="0" fillId="0" borderId="39" xfId="0" applyBorder="1" applyAlignment="1">
      <alignment horizontal="right"/>
    </xf>
    <xf numFmtId="172" fontId="0" fillId="0" borderId="0" xfId="1" applyNumberFormat="1" applyFont="1" applyBorder="1"/>
    <xf numFmtId="169" fontId="0" fillId="0" borderId="39" xfId="2" applyNumberFormat="1" applyFont="1" applyBorder="1"/>
    <xf numFmtId="169" fontId="0" fillId="0" borderId="46" xfId="2" applyNumberFormat="1" applyFont="1" applyBorder="1"/>
    <xf numFmtId="169" fontId="0" fillId="0" borderId="42" xfId="2" applyNumberFormat="1" applyFont="1" applyBorder="1"/>
    <xf numFmtId="43" fontId="0" fillId="0" borderId="41" xfId="0" applyNumberFormat="1" applyBorder="1"/>
    <xf numFmtId="167" fontId="0" fillId="0" borderId="39" xfId="1" applyNumberFormat="1" applyFont="1" applyBorder="1"/>
    <xf numFmtId="173" fontId="0" fillId="0" borderId="39" xfId="1" applyNumberFormat="1" applyFont="1" applyBorder="1"/>
    <xf numFmtId="43" fontId="0" fillId="0" borderId="39" xfId="1" applyNumberFormat="1" applyFont="1" applyBorder="1"/>
    <xf numFmtId="43" fontId="0" fillId="0" borderId="39" xfId="0" applyNumberFormat="1" applyBorder="1"/>
    <xf numFmtId="43" fontId="0" fillId="0" borderId="42" xfId="0" applyNumberFormat="1" applyBorder="1"/>
    <xf numFmtId="0" fontId="3" fillId="0" borderId="38" xfId="0" applyFont="1" applyBorder="1"/>
    <xf numFmtId="0" fontId="10" fillId="0" borderId="38" xfId="0" applyFont="1" applyBorder="1"/>
    <xf numFmtId="0" fontId="10" fillId="0" borderId="39" xfId="0" applyFont="1" applyBorder="1"/>
    <xf numFmtId="0" fontId="9" fillId="0" borderId="48" xfId="0" applyFont="1" applyBorder="1" applyAlignment="1">
      <alignment horizontal="right"/>
    </xf>
    <xf numFmtId="0" fontId="2" fillId="0" borderId="49" xfId="0" applyFont="1" applyBorder="1"/>
    <xf numFmtId="49" fontId="5" fillId="0" borderId="0" xfId="0" applyNumberFormat="1" applyFont="1"/>
    <xf numFmtId="178" fontId="13" fillId="0" borderId="0" xfId="3" applyNumberFormat="1" applyFont="1" applyFill="1" applyBorder="1"/>
    <xf numFmtId="176" fontId="13" fillId="0" borderId="0" xfId="3" applyNumberFormat="1" applyFont="1" applyFill="1" applyBorder="1"/>
    <xf numFmtId="176" fontId="13" fillId="0" borderId="22" xfId="3" applyNumberFormat="1" applyFont="1" applyFill="1" applyBorder="1"/>
    <xf numFmtId="176" fontId="13" fillId="0" borderId="23" xfId="3" applyNumberFormat="1" applyFont="1" applyFill="1" applyBorder="1"/>
    <xf numFmtId="0" fontId="0" fillId="0" borderId="50" xfId="0" applyBorder="1"/>
    <xf numFmtId="0" fontId="0" fillId="0" borderId="51" xfId="0" applyBorder="1"/>
    <xf numFmtId="176" fontId="0" fillId="0" borderId="52" xfId="3" applyNumberFormat="1" applyFont="1" applyBorder="1"/>
    <xf numFmtId="0" fontId="0" fillId="0" borderId="32" xfId="0" applyBorder="1"/>
    <xf numFmtId="0" fontId="0" fillId="0" borderId="34" xfId="0" applyBorder="1"/>
    <xf numFmtId="0" fontId="12" fillId="0" borderId="33" xfId="0" applyFont="1" applyBorder="1"/>
    <xf numFmtId="0" fontId="6" fillId="0" borderId="43" xfId="0" applyFont="1" applyBorder="1"/>
    <xf numFmtId="49" fontId="5" fillId="0" borderId="44" xfId="0" applyNumberFormat="1" applyFont="1" applyBorder="1"/>
    <xf numFmtId="0" fontId="2" fillId="0" borderId="47" xfId="0" applyFont="1" applyBorder="1"/>
    <xf numFmtId="0" fontId="2" fillId="0" borderId="46" xfId="0" applyFont="1" applyBorder="1" applyAlignment="1">
      <alignment horizontal="right" wrapText="1"/>
    </xf>
    <xf numFmtId="176" fontId="0" fillId="0" borderId="39" xfId="3" applyNumberFormat="1" applyFont="1" applyBorder="1"/>
    <xf numFmtId="3" fontId="0" fillId="0" borderId="38" xfId="0" applyNumberFormat="1" applyBorder="1"/>
    <xf numFmtId="0" fontId="2" fillId="0" borderId="53" xfId="0" applyFont="1" applyBorder="1"/>
    <xf numFmtId="3" fontId="2" fillId="0" borderId="54" xfId="0" applyNumberFormat="1" applyFont="1" applyBorder="1"/>
    <xf numFmtId="176" fontId="2" fillId="0" borderId="54" xfId="3" applyNumberFormat="1" applyFont="1" applyBorder="1"/>
    <xf numFmtId="9" fontId="2" fillId="0" borderId="54" xfId="2" applyFont="1" applyBorder="1"/>
    <xf numFmtId="176" fontId="2" fillId="0" borderId="55" xfId="3" applyNumberFormat="1" applyFont="1" applyBorder="1"/>
    <xf numFmtId="0" fontId="0" fillId="0" borderId="56" xfId="0" applyBorder="1"/>
    <xf numFmtId="14" fontId="0" fillId="0" borderId="56" xfId="0" applyNumberFormat="1" applyBorder="1" applyAlignment="1">
      <alignment horizontal="left"/>
    </xf>
    <xf numFmtId="0" fontId="0" fillId="0" borderId="56" xfId="0" applyBorder="1" applyAlignment="1">
      <alignment horizontal="left"/>
    </xf>
    <xf numFmtId="4" fontId="0" fillId="0" borderId="56" xfId="0" applyNumberFormat="1" applyBorder="1" applyAlignment="1">
      <alignment horizontal="right"/>
    </xf>
    <xf numFmtId="4" fontId="0" fillId="0" borderId="56" xfId="0" applyNumberFormat="1" applyBorder="1"/>
    <xf numFmtId="3" fontId="0" fillId="0" borderId="56" xfId="0" applyNumberFormat="1" applyBorder="1" applyAlignment="1">
      <alignment horizontal="right"/>
    </xf>
    <xf numFmtId="3" fontId="0" fillId="0" borderId="56" xfId="0" applyNumberFormat="1" applyBorder="1"/>
    <xf numFmtId="2" fontId="0" fillId="0" borderId="56" xfId="0" applyNumberFormat="1" applyBorder="1" applyAlignment="1">
      <alignment horizontal="right"/>
    </xf>
    <xf numFmtId="3" fontId="0" fillId="0" borderId="57" xfId="0" applyNumberFormat="1" applyBorder="1"/>
    <xf numFmtId="176" fontId="13" fillId="0" borderId="0" xfId="3" applyNumberFormat="1" applyFont="1" applyBorder="1"/>
    <xf numFmtId="49" fontId="2" fillId="4" borderId="0" xfId="0" applyNumberFormat="1" applyFont="1" applyFill="1"/>
    <xf numFmtId="176" fontId="13" fillId="4" borderId="0" xfId="3" applyNumberFormat="1" applyFont="1" applyFill="1" applyBorder="1"/>
    <xf numFmtId="176" fontId="13" fillId="4" borderId="56" xfId="3" applyNumberFormat="1" applyFont="1" applyFill="1" applyBorder="1"/>
    <xf numFmtId="0" fontId="2" fillId="0" borderId="58" xfId="0" applyFont="1" applyBorder="1"/>
    <xf numFmtId="0" fontId="0" fillId="0" borderId="59" xfId="0" applyBorder="1"/>
    <xf numFmtId="0" fontId="0" fillId="0" borderId="60" xfId="0" applyBorder="1"/>
    <xf numFmtId="0" fontId="2" fillId="0" borderId="61" xfId="0" applyFont="1" applyBorder="1"/>
    <xf numFmtId="0" fontId="2" fillId="0" borderId="62" xfId="0" applyFont="1" applyBorder="1" applyAlignment="1">
      <alignment horizontal="right"/>
    </xf>
    <xf numFmtId="0" fontId="0" fillId="0" borderId="63" xfId="0" applyBorder="1"/>
    <xf numFmtId="10" fontId="0" fillId="0" borderId="64" xfId="2" applyNumberFormat="1" applyFont="1" applyBorder="1"/>
    <xf numFmtId="3" fontId="0" fillId="0" borderId="64" xfId="0" applyNumberFormat="1" applyBorder="1"/>
    <xf numFmtId="0" fontId="2" fillId="0" borderId="63" xfId="0" applyFont="1" applyBorder="1"/>
    <xf numFmtId="9" fontId="2" fillId="0" borderId="64" xfId="2" applyFont="1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1" xfId="0" applyBorder="1"/>
    <xf numFmtId="10" fontId="0" fillId="0" borderId="62" xfId="2" applyNumberFormat="1" applyFont="1" applyBorder="1"/>
    <xf numFmtId="176" fontId="8" fillId="0" borderId="56" xfId="3" applyNumberFormat="1" applyFont="1" applyFill="1" applyBorder="1"/>
    <xf numFmtId="3" fontId="0" fillId="0" borderId="68" xfId="0" applyNumberFormat="1" applyBorder="1"/>
    <xf numFmtId="176" fontId="13" fillId="0" borderId="56" xfId="3" applyNumberFormat="1" applyFont="1" applyFill="1" applyBorder="1"/>
    <xf numFmtId="49" fontId="2" fillId="4" borderId="44" xfId="0" applyNumberFormat="1" applyFont="1" applyFill="1" applyBorder="1"/>
  </cellXfs>
  <cellStyles count="5">
    <cellStyle name="Hyperkobling" xfId="4" builtinId="8"/>
    <cellStyle name="Komma" xfId="1" builtinId="3"/>
    <cellStyle name="Normal" xfId="0" builtinId="0"/>
    <cellStyle name="Prosent" xfId="2" builtinId="5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629331</xdr:colOff>
      <xdr:row>79</xdr:row>
      <xdr:rowOff>79374</xdr:rowOff>
    </xdr:from>
    <xdr:to>
      <xdr:col>1</xdr:col>
      <xdr:colOff>1893661</xdr:colOff>
      <xdr:row>82</xdr:row>
      <xdr:rowOff>83939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331" y="14400892"/>
          <a:ext cx="1922009" cy="548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1950492</xdr:colOff>
      <xdr:row>3</xdr:row>
      <xdr:rowOff>11339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679" y="0"/>
          <a:ext cx="1945730" cy="555625"/>
        </a:xfrm>
        <a:prstGeom prst="rect">
          <a:avLst/>
        </a:prstGeom>
      </xdr:spPr>
    </xdr:pic>
    <xdr:clientData/>
  </xdr:twoCellAnchor>
  <xdr:twoCellAnchor editAs="oneCell">
    <xdr:from>
      <xdr:col>0</xdr:col>
      <xdr:colOff>600981</xdr:colOff>
      <xdr:row>99</xdr:row>
      <xdr:rowOff>11339</xdr:rowOff>
    </xdr:from>
    <xdr:to>
      <xdr:col>1</xdr:col>
      <xdr:colOff>1809749</xdr:colOff>
      <xdr:row>102</xdr:row>
      <xdr:rowOff>9326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981" y="19469553"/>
          <a:ext cx="1832429" cy="587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Bjornar@wefollowheroes.com" TargetMode="External"/><Relationship Id="rId3" Type="http://schemas.openxmlformats.org/officeDocument/2006/relationships/hyperlink" Target="mailto:preben.gulliksen@pizzabakeren.no" TargetMode="External"/><Relationship Id="rId7" Type="http://schemas.openxmlformats.org/officeDocument/2006/relationships/hyperlink" Target="mailto:Bjornar@wefollowheroes.com" TargetMode="External"/><Relationship Id="rId12" Type="http://schemas.openxmlformats.org/officeDocument/2006/relationships/hyperlink" Target="mailto:musa@adinin.com" TargetMode="External"/><Relationship Id="rId2" Type="http://schemas.openxmlformats.org/officeDocument/2006/relationships/hyperlink" Target="mailto:hsaether@ferdocean.com" TargetMode="External"/><Relationship Id="rId1" Type="http://schemas.openxmlformats.org/officeDocument/2006/relationships/hyperlink" Target="mailto:rnilsen@ferdocean.com" TargetMode="External"/><Relationship Id="rId6" Type="http://schemas.openxmlformats.org/officeDocument/2006/relationships/hyperlink" Target="mailto:jens.rokenes@gmail.com" TargetMode="External"/><Relationship Id="rId11" Type="http://schemas.openxmlformats.org/officeDocument/2006/relationships/hyperlink" Target="mailto:musa@adinin.com" TargetMode="External"/><Relationship Id="rId5" Type="http://schemas.openxmlformats.org/officeDocument/2006/relationships/hyperlink" Target="mailto:rasmus@fiska.no" TargetMode="External"/><Relationship Id="rId10" Type="http://schemas.openxmlformats.org/officeDocument/2006/relationships/hyperlink" Target="mailto:ta@vikenklynge.no" TargetMode="External"/><Relationship Id="rId4" Type="http://schemas.openxmlformats.org/officeDocument/2006/relationships/hyperlink" Target="mailto:ag@morcidea.no" TargetMode="External"/><Relationship Id="rId9" Type="http://schemas.openxmlformats.org/officeDocument/2006/relationships/hyperlink" Target="mailto:tasc@svw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155"/>
  <sheetViews>
    <sheetView zoomScale="84" zoomScaleNormal="84" workbookViewId="0">
      <selection activeCell="H111" sqref="H111"/>
    </sheetView>
  </sheetViews>
  <sheetFormatPr baseColWidth="10" defaultColWidth="9.28515625" defaultRowHeight="15" x14ac:dyDescent="0.25"/>
  <cols>
    <col min="2" max="2" width="43.5703125" customWidth="1"/>
    <col min="3" max="3" width="3.5703125" customWidth="1"/>
    <col min="4" max="4" width="25.7109375" customWidth="1"/>
    <col min="5" max="5" width="13.85546875" customWidth="1"/>
    <col min="6" max="6" width="26.5703125" customWidth="1"/>
    <col min="7" max="7" width="42.28515625" customWidth="1"/>
    <col min="8" max="10" width="16.5703125" customWidth="1"/>
    <col min="11" max="11" width="13" customWidth="1"/>
    <col min="12" max="12" width="16.7109375" bestFit="1" customWidth="1"/>
    <col min="13" max="13" width="12.28515625" bestFit="1" customWidth="1"/>
    <col min="14" max="14" width="13.7109375" customWidth="1"/>
    <col min="15" max="15" width="11.42578125" bestFit="1" customWidth="1"/>
  </cols>
  <sheetData>
    <row r="4" spans="2:15" s="1" customFormat="1" ht="21" x14ac:dyDescent="0.35">
      <c r="B4" s="5" t="s">
        <v>4</v>
      </c>
    </row>
    <row r="6" spans="2:15" ht="15.75" thickBot="1" x14ac:dyDescent="0.3">
      <c r="L6" s="9"/>
      <c r="M6" s="9"/>
    </row>
    <row r="7" spans="2:15" x14ac:dyDescent="0.25">
      <c r="B7" s="162" t="s">
        <v>5</v>
      </c>
      <c r="C7" s="148"/>
      <c r="D7" s="148"/>
      <c r="E7" s="150"/>
      <c r="L7" s="9"/>
      <c r="M7" s="9"/>
    </row>
    <row r="8" spans="2:15" x14ac:dyDescent="0.25">
      <c r="B8" s="138"/>
      <c r="E8" s="139"/>
      <c r="K8" s="6"/>
      <c r="L8" s="14"/>
      <c r="M8" s="9"/>
    </row>
    <row r="9" spans="2:15" x14ac:dyDescent="0.25">
      <c r="B9" s="138" t="s">
        <v>6</v>
      </c>
      <c r="D9" s="20">
        <v>93515</v>
      </c>
      <c r="E9" s="139"/>
      <c r="K9" s="15"/>
      <c r="L9" s="16"/>
      <c r="M9" s="9"/>
    </row>
    <row r="10" spans="2:15" x14ac:dyDescent="0.25">
      <c r="B10" s="138" t="s">
        <v>8</v>
      </c>
      <c r="D10" s="163">
        <v>0.32080414899999998</v>
      </c>
      <c r="E10" s="139"/>
      <c r="K10" s="15"/>
      <c r="L10" s="16"/>
      <c r="M10" s="9"/>
    </row>
    <row r="11" spans="2:15" x14ac:dyDescent="0.25">
      <c r="B11" s="138" t="s">
        <v>7</v>
      </c>
      <c r="D11" s="8">
        <v>30000</v>
      </c>
      <c r="E11" s="139"/>
      <c r="K11" s="15"/>
      <c r="L11" s="16"/>
      <c r="M11" s="9"/>
    </row>
    <row r="12" spans="2:15" x14ac:dyDescent="0.25">
      <c r="B12" s="138"/>
      <c r="D12" s="8"/>
      <c r="E12" s="139"/>
      <c r="K12" s="15"/>
      <c r="L12" s="16"/>
      <c r="M12" s="9"/>
    </row>
    <row r="13" spans="2:15" x14ac:dyDescent="0.25">
      <c r="B13" s="138"/>
      <c r="E13" s="139"/>
      <c r="K13" s="15"/>
      <c r="L13" s="17"/>
      <c r="M13" s="9"/>
    </row>
    <row r="14" spans="2:15" x14ac:dyDescent="0.25">
      <c r="B14" s="156" t="s">
        <v>12</v>
      </c>
      <c r="D14" s="6" t="s">
        <v>10</v>
      </c>
      <c r="E14" s="168" t="s">
        <v>11</v>
      </c>
      <c r="F14" s="6"/>
      <c r="G14" s="6"/>
      <c r="L14" s="9"/>
      <c r="M14" s="9"/>
    </row>
    <row r="15" spans="2:15" x14ac:dyDescent="0.25">
      <c r="B15" s="138" t="s">
        <v>9</v>
      </c>
      <c r="D15" s="20">
        <v>64980</v>
      </c>
      <c r="E15" s="164">
        <f>D11*78%</f>
        <v>23400</v>
      </c>
      <c r="F15" s="2"/>
      <c r="G15" s="2"/>
      <c r="K15" s="15"/>
      <c r="L15" s="18"/>
      <c r="M15" s="10"/>
      <c r="O15" s="19"/>
    </row>
    <row r="16" spans="2:15" x14ac:dyDescent="0.25">
      <c r="B16" s="138" t="s">
        <v>1</v>
      </c>
      <c r="D16" s="20">
        <v>25940</v>
      </c>
      <c r="E16" s="164">
        <f>D11*20%</f>
        <v>6000</v>
      </c>
      <c r="F16" s="2"/>
      <c r="G16" s="2"/>
      <c r="K16" s="15"/>
      <c r="L16" s="18"/>
      <c r="O16" s="20"/>
    </row>
    <row r="17" spans="2:15" x14ac:dyDescent="0.25">
      <c r="B17" s="138" t="s">
        <v>2</v>
      </c>
      <c r="D17" s="4">
        <v>2595</v>
      </c>
      <c r="E17" s="165">
        <f>D11*2%</f>
        <v>600</v>
      </c>
      <c r="F17" s="9"/>
      <c r="G17" s="9"/>
      <c r="K17" s="21"/>
      <c r="L17" s="22"/>
      <c r="O17" s="19"/>
    </row>
    <row r="18" spans="2:15" ht="15.75" thickBot="1" x14ac:dyDescent="0.3">
      <c r="B18" s="142"/>
      <c r="C18" s="143"/>
      <c r="D18" s="166">
        <f>SUM(D15:D17)</f>
        <v>93515</v>
      </c>
      <c r="E18" s="167">
        <f>SUM(E15:E17)</f>
        <v>30000</v>
      </c>
      <c r="F18" s="2"/>
      <c r="G18" s="2"/>
    </row>
    <row r="19" spans="2:15" ht="15.75" thickBot="1" x14ac:dyDescent="0.3">
      <c r="K19" s="23"/>
    </row>
    <row r="20" spans="2:15" x14ac:dyDescent="0.25">
      <c r="B20" s="162" t="s">
        <v>31</v>
      </c>
      <c r="C20" s="148"/>
      <c r="D20" s="148"/>
      <c r="E20" s="150"/>
    </row>
    <row r="21" spans="2:15" x14ac:dyDescent="0.25">
      <c r="B21" s="138" t="s">
        <v>10</v>
      </c>
      <c r="D21" s="20">
        <v>3761</v>
      </c>
      <c r="E21" s="139"/>
    </row>
    <row r="22" spans="2:15" x14ac:dyDescent="0.25">
      <c r="B22" s="138" t="s">
        <v>13</v>
      </c>
      <c r="D22" s="163">
        <v>0.32080414899999998</v>
      </c>
      <c r="E22" s="139"/>
    </row>
    <row r="23" spans="2:15" x14ac:dyDescent="0.25">
      <c r="B23" s="138" t="s">
        <v>8</v>
      </c>
      <c r="D23" s="169">
        <f>+D24/D21</f>
        <v>192.23610741823984</v>
      </c>
      <c r="E23" s="139"/>
      <c r="I23" s="8"/>
    </row>
    <row r="24" spans="2:15" x14ac:dyDescent="0.25">
      <c r="B24" s="138" t="s">
        <v>14</v>
      </c>
      <c r="D24" s="12">
        <v>723000</v>
      </c>
      <c r="E24" s="139"/>
      <c r="I24" s="8"/>
    </row>
    <row r="25" spans="2:15" x14ac:dyDescent="0.25">
      <c r="B25" s="138" t="s">
        <v>15</v>
      </c>
      <c r="D25" s="9">
        <f>+(D23-D22)*D21</f>
        <v>721793.45559561101</v>
      </c>
      <c r="E25" s="139"/>
    </row>
    <row r="26" spans="2:15" x14ac:dyDescent="0.25">
      <c r="B26" s="138" t="s">
        <v>21</v>
      </c>
      <c r="D26" s="9">
        <f>D21*D22</f>
        <v>1206.544404389</v>
      </c>
      <c r="E26" s="139"/>
    </row>
    <row r="27" spans="2:15" x14ac:dyDescent="0.25">
      <c r="B27" s="138"/>
      <c r="D27" s="9"/>
      <c r="E27" s="139"/>
    </row>
    <row r="28" spans="2:15" x14ac:dyDescent="0.25">
      <c r="B28" s="156" t="s">
        <v>16</v>
      </c>
      <c r="D28" s="9"/>
      <c r="E28" s="139"/>
    </row>
    <row r="29" spans="2:15" x14ac:dyDescent="0.25">
      <c r="B29" s="138" t="s">
        <v>9</v>
      </c>
      <c r="D29" s="20">
        <v>64980</v>
      </c>
      <c r="E29" s="170">
        <f>+D29/$D$33</f>
        <v>0.66799621694971012</v>
      </c>
      <c r="F29" s="7"/>
      <c r="G29" s="7"/>
    </row>
    <row r="30" spans="2:15" x14ac:dyDescent="0.25">
      <c r="B30" s="138" t="s">
        <v>1</v>
      </c>
      <c r="D30" s="20">
        <f>+D16</f>
        <v>25940</v>
      </c>
      <c r="E30" s="170">
        <f t="shared" ref="E30:E32" si="0">+D30/$D$33</f>
        <v>0.2666639253258769</v>
      </c>
      <c r="F30" s="7"/>
      <c r="G30" s="7"/>
    </row>
    <row r="31" spans="2:15" x14ac:dyDescent="0.25">
      <c r="B31" s="138" t="s">
        <v>2</v>
      </c>
      <c r="D31" s="20">
        <v>2595</v>
      </c>
      <c r="E31" s="170">
        <f t="shared" si="0"/>
        <v>2.6676672560549366E-2</v>
      </c>
      <c r="F31" s="7"/>
      <c r="G31" s="7"/>
    </row>
    <row r="32" spans="2:15" x14ac:dyDescent="0.25">
      <c r="B32" s="138" t="s">
        <v>3</v>
      </c>
      <c r="D32" s="4">
        <f>+D21</f>
        <v>3761</v>
      </c>
      <c r="E32" s="171">
        <f t="shared" si="0"/>
        <v>3.8663185163863648E-2</v>
      </c>
      <c r="F32" s="10"/>
      <c r="G32" s="10"/>
    </row>
    <row r="33" spans="2:11" ht="15.75" thickBot="1" x14ac:dyDescent="0.3">
      <c r="B33" s="142" t="s">
        <v>18</v>
      </c>
      <c r="C33" s="143"/>
      <c r="D33" s="166">
        <f>SUM(D29:D32)</f>
        <v>97276</v>
      </c>
      <c r="E33" s="172">
        <f>SUM(E29:E32)</f>
        <v>1</v>
      </c>
      <c r="F33" s="7"/>
      <c r="G33" s="7"/>
    </row>
    <row r="35" spans="2:11" ht="15.75" thickBot="1" x14ac:dyDescent="0.3"/>
    <row r="36" spans="2:11" x14ac:dyDescent="0.25">
      <c r="B36" s="162" t="s">
        <v>30</v>
      </c>
      <c r="C36" s="148"/>
      <c r="D36" s="148"/>
      <c r="E36" s="150"/>
    </row>
    <row r="37" spans="2:11" x14ac:dyDescent="0.25">
      <c r="B37" s="138" t="s">
        <v>10</v>
      </c>
      <c r="D37" s="20">
        <v>29724</v>
      </c>
      <c r="E37" s="139"/>
    </row>
    <row r="38" spans="2:11" x14ac:dyDescent="0.25">
      <c r="B38" s="138" t="s">
        <v>13</v>
      </c>
      <c r="D38" s="163">
        <v>0.32080414899999998</v>
      </c>
      <c r="E38" s="139"/>
    </row>
    <row r="39" spans="2:11" x14ac:dyDescent="0.25">
      <c r="B39" s="138" t="s">
        <v>8</v>
      </c>
      <c r="D39" s="169">
        <v>351.31378699999999</v>
      </c>
      <c r="E39" s="139"/>
      <c r="I39" s="6"/>
      <c r="J39" s="6"/>
      <c r="K39" s="6"/>
    </row>
    <row r="40" spans="2:11" x14ac:dyDescent="0.25">
      <c r="B40" s="138" t="s">
        <v>14</v>
      </c>
      <c r="D40" s="9">
        <f>D37*D39</f>
        <v>10442451.004788</v>
      </c>
      <c r="E40" s="139"/>
      <c r="I40" s="2"/>
      <c r="J40" s="13"/>
      <c r="K40" s="2"/>
    </row>
    <row r="41" spans="2:11" x14ac:dyDescent="0.25">
      <c r="B41" s="138" t="s">
        <v>15</v>
      </c>
      <c r="D41" s="27">
        <f>+(D39-D38)*D37</f>
        <v>10432915.422263123</v>
      </c>
      <c r="E41" s="139"/>
    </row>
    <row r="42" spans="2:11" ht="15.75" thickBot="1" x14ac:dyDescent="0.3">
      <c r="B42" s="142" t="s">
        <v>21</v>
      </c>
      <c r="C42" s="143"/>
      <c r="D42" s="173">
        <f>D37*D38</f>
        <v>9535.5825248759993</v>
      </c>
      <c r="E42" s="160"/>
    </row>
    <row r="43" spans="2:11" ht="15.75" thickBot="1" x14ac:dyDescent="0.3">
      <c r="D43" s="27"/>
    </row>
    <row r="44" spans="2:11" ht="21" x14ac:dyDescent="0.35">
      <c r="B44" s="147" t="s">
        <v>29</v>
      </c>
      <c r="C44" s="148"/>
      <c r="D44" s="149"/>
      <c r="E44" s="148"/>
      <c r="F44" s="150"/>
    </row>
    <row r="45" spans="2:11" x14ac:dyDescent="0.25">
      <c r="B45" s="151" t="s">
        <v>17</v>
      </c>
      <c r="D45" s="152" t="s">
        <v>10</v>
      </c>
      <c r="E45" s="153" t="s">
        <v>19</v>
      </c>
      <c r="F45" s="139"/>
    </row>
    <row r="46" spans="2:11" x14ac:dyDescent="0.25">
      <c r="B46" s="138" t="s">
        <v>24</v>
      </c>
      <c r="D46" s="19">
        <f>+D15</f>
        <v>64980</v>
      </c>
      <c r="E46" s="132">
        <f>+D46/D$51</f>
        <v>0.51165354330708657</v>
      </c>
      <c r="F46" s="139" t="s">
        <v>9</v>
      </c>
    </row>
    <row r="47" spans="2:11" x14ac:dyDescent="0.25">
      <c r="B47" s="138" t="s">
        <v>26</v>
      </c>
      <c r="D47" s="19">
        <f>+D16</f>
        <v>25940</v>
      </c>
      <c r="E47" s="132">
        <f t="shared" ref="E47:E50" si="1">+D47/D$51</f>
        <v>0.20425196850393701</v>
      </c>
      <c r="F47" s="139" t="s">
        <v>1</v>
      </c>
    </row>
    <row r="48" spans="2:11" x14ac:dyDescent="0.25">
      <c r="B48" s="138" t="s">
        <v>25</v>
      </c>
      <c r="D48" s="19">
        <f>+D17</f>
        <v>2595</v>
      </c>
      <c r="E48" s="132">
        <f t="shared" si="1"/>
        <v>2.0433070866141732E-2</v>
      </c>
      <c r="F48" s="139" t="s">
        <v>2</v>
      </c>
    </row>
    <row r="49" spans="2:6" x14ac:dyDescent="0.25">
      <c r="B49" s="138" t="s">
        <v>27</v>
      </c>
      <c r="D49" s="19">
        <f>+D21</f>
        <v>3761</v>
      </c>
      <c r="E49" s="132">
        <f t="shared" si="1"/>
        <v>2.9614173228346457E-2</v>
      </c>
      <c r="F49" s="139" t="s">
        <v>3</v>
      </c>
    </row>
    <row r="50" spans="2:6" x14ac:dyDescent="0.25">
      <c r="B50" s="161" t="s">
        <v>28</v>
      </c>
      <c r="C50" s="11"/>
      <c r="D50" s="28">
        <f>+D37</f>
        <v>29724</v>
      </c>
      <c r="E50" s="31">
        <f t="shared" si="1"/>
        <v>0.23404724409448818</v>
      </c>
      <c r="F50" s="155" t="s">
        <v>20</v>
      </c>
    </row>
    <row r="51" spans="2:6" x14ac:dyDescent="0.25">
      <c r="B51" s="138" t="s">
        <v>18</v>
      </c>
      <c r="D51" s="19">
        <f>SUM(D46:D50)</f>
        <v>127000</v>
      </c>
      <c r="E51" s="132">
        <f>SUM(E46:E50)</f>
        <v>1</v>
      </c>
      <c r="F51" s="139" t="s">
        <v>0</v>
      </c>
    </row>
    <row r="52" spans="2:6" x14ac:dyDescent="0.25">
      <c r="B52" s="138"/>
      <c r="D52" s="19"/>
      <c r="E52" s="25"/>
      <c r="F52" s="139"/>
    </row>
    <row r="53" spans="2:6" x14ac:dyDescent="0.25">
      <c r="B53" s="138" t="s">
        <v>22</v>
      </c>
      <c r="D53" s="158">
        <f>D25+D41</f>
        <v>11154708.877858734</v>
      </c>
      <c r="F53" s="139"/>
    </row>
    <row r="54" spans="2:6" ht="15.75" thickBot="1" x14ac:dyDescent="0.3">
      <c r="B54" s="142" t="s">
        <v>23</v>
      </c>
      <c r="C54" s="143"/>
      <c r="D54" s="159">
        <f>D11+D26+D42</f>
        <v>40742.126929264996</v>
      </c>
      <c r="E54" s="143"/>
      <c r="F54" s="160"/>
    </row>
    <row r="55" spans="2:6" ht="15.75" thickBot="1" x14ac:dyDescent="0.3"/>
    <row r="56" spans="2:6" x14ac:dyDescent="0.25">
      <c r="B56" s="162" t="s">
        <v>39</v>
      </c>
      <c r="C56" s="148"/>
      <c r="D56" s="150"/>
    </row>
    <row r="57" spans="2:6" x14ac:dyDescent="0.25">
      <c r="B57" s="138" t="s">
        <v>10</v>
      </c>
      <c r="D57" s="174">
        <v>30000</v>
      </c>
    </row>
    <row r="58" spans="2:6" x14ac:dyDescent="0.25">
      <c r="B58" s="138" t="s">
        <v>13</v>
      </c>
      <c r="D58" s="175">
        <v>0.32080414899999998</v>
      </c>
    </row>
    <row r="59" spans="2:6" x14ac:dyDescent="0.25">
      <c r="B59" s="138" t="s">
        <v>8</v>
      </c>
      <c r="D59" s="176">
        <v>200</v>
      </c>
    </row>
    <row r="60" spans="2:6" x14ac:dyDescent="0.25">
      <c r="B60" s="138" t="s">
        <v>14</v>
      </c>
      <c r="D60" s="164">
        <f>D57*D59</f>
        <v>6000000</v>
      </c>
    </row>
    <row r="61" spans="2:6" x14ac:dyDescent="0.25">
      <c r="B61" s="138" t="s">
        <v>15</v>
      </c>
      <c r="D61" s="177">
        <f>+(D59-D58)*D57</f>
        <v>5990375.8755299998</v>
      </c>
    </row>
    <row r="62" spans="2:6" x14ac:dyDescent="0.25">
      <c r="B62" s="138" t="s">
        <v>21</v>
      </c>
      <c r="D62" s="177">
        <f>D57*D58</f>
        <v>9624.1244699999988</v>
      </c>
    </row>
    <row r="63" spans="2:6" x14ac:dyDescent="0.25">
      <c r="B63" s="138"/>
      <c r="D63" s="139"/>
    </row>
    <row r="64" spans="2:6" x14ac:dyDescent="0.25">
      <c r="B64" s="151" t="s">
        <v>40</v>
      </c>
      <c r="D64" s="139"/>
    </row>
    <row r="65" spans="2:4" x14ac:dyDescent="0.25">
      <c r="B65" s="138" t="s">
        <v>10</v>
      </c>
      <c r="D65" s="174">
        <v>10000</v>
      </c>
    </row>
    <row r="66" spans="2:4" x14ac:dyDescent="0.25">
      <c r="B66" s="138" t="s">
        <v>13</v>
      </c>
      <c r="D66" s="175">
        <v>0.32080414899999998</v>
      </c>
    </row>
    <row r="67" spans="2:4" x14ac:dyDescent="0.25">
      <c r="B67" s="138" t="s">
        <v>8</v>
      </c>
      <c r="D67" s="176">
        <v>200</v>
      </c>
    </row>
    <row r="68" spans="2:4" x14ac:dyDescent="0.25">
      <c r="B68" s="138" t="s">
        <v>14</v>
      </c>
      <c r="D68" s="164">
        <f>D65*D67</f>
        <v>2000000</v>
      </c>
    </row>
    <row r="69" spans="2:4" x14ac:dyDescent="0.25">
      <c r="B69" s="138" t="s">
        <v>15</v>
      </c>
      <c r="D69" s="177">
        <f>+(D67-D66)*D65</f>
        <v>1996791.95851</v>
      </c>
    </row>
    <row r="70" spans="2:4" x14ac:dyDescent="0.25">
      <c r="B70" s="138" t="s">
        <v>21</v>
      </c>
      <c r="D70" s="177">
        <f>D65*D66</f>
        <v>3208.0414899999996</v>
      </c>
    </row>
    <row r="71" spans="2:4" x14ac:dyDescent="0.25">
      <c r="B71" s="138"/>
      <c r="D71" s="139"/>
    </row>
    <row r="72" spans="2:4" x14ac:dyDescent="0.25">
      <c r="B72" s="151" t="s">
        <v>32</v>
      </c>
      <c r="D72" s="139"/>
    </row>
    <row r="73" spans="2:4" x14ac:dyDescent="0.25">
      <c r="B73" s="138" t="s">
        <v>10</v>
      </c>
      <c r="D73" s="174">
        <v>0</v>
      </c>
    </row>
    <row r="74" spans="2:4" x14ac:dyDescent="0.25">
      <c r="B74" s="138" t="s">
        <v>13</v>
      </c>
      <c r="D74" s="175">
        <v>0.32080414899999998</v>
      </c>
    </row>
    <row r="75" spans="2:4" x14ac:dyDescent="0.25">
      <c r="B75" s="138" t="s">
        <v>8</v>
      </c>
      <c r="D75" s="176">
        <v>200</v>
      </c>
    </row>
    <row r="76" spans="2:4" x14ac:dyDescent="0.25">
      <c r="B76" s="138" t="s">
        <v>14</v>
      </c>
      <c r="D76" s="164">
        <f>D73*D75</f>
        <v>0</v>
      </c>
    </row>
    <row r="77" spans="2:4" x14ac:dyDescent="0.25">
      <c r="B77" s="138" t="s">
        <v>15</v>
      </c>
      <c r="D77" s="177">
        <f>+(D75-D74)*D73</f>
        <v>0</v>
      </c>
    </row>
    <row r="78" spans="2:4" ht="15.75" thickBot="1" x14ac:dyDescent="0.3">
      <c r="B78" s="142" t="s">
        <v>21</v>
      </c>
      <c r="C78" s="143"/>
      <c r="D78" s="178">
        <f>D73*D74</f>
        <v>0</v>
      </c>
    </row>
    <row r="79" spans="2:4" x14ac:dyDescent="0.25">
      <c r="D79" s="27"/>
    </row>
    <row r="83" spans="2:6" ht="15.75" thickBot="1" x14ac:dyDescent="0.3"/>
    <row r="84" spans="2:6" ht="21" x14ac:dyDescent="0.35">
      <c r="B84" s="147" t="s">
        <v>29</v>
      </c>
      <c r="C84" s="148"/>
      <c r="D84" s="149"/>
      <c r="E84" s="148"/>
      <c r="F84" s="150"/>
    </row>
    <row r="85" spans="2:6" x14ac:dyDescent="0.25">
      <c r="B85" s="151" t="s">
        <v>41</v>
      </c>
      <c r="D85" s="152" t="s">
        <v>10</v>
      </c>
      <c r="E85" s="153" t="s">
        <v>19</v>
      </c>
      <c r="F85" s="139"/>
    </row>
    <row r="86" spans="2:6" x14ac:dyDescent="0.25">
      <c r="B86" s="138" t="s">
        <v>24</v>
      </c>
      <c r="D86" s="19">
        <f>+D15</f>
        <v>64980</v>
      </c>
      <c r="E86" s="154">
        <f>+D86/D$93</f>
        <v>0.38910179640718562</v>
      </c>
      <c r="F86" s="139" t="s">
        <v>9</v>
      </c>
    </row>
    <row r="87" spans="2:6" x14ac:dyDescent="0.25">
      <c r="B87" s="138" t="s">
        <v>26</v>
      </c>
      <c r="D87" s="19">
        <f>+D16</f>
        <v>25940</v>
      </c>
      <c r="E87" s="154">
        <f t="shared" ref="E87:E92" si="2">+D87/D$93</f>
        <v>0.15532934131736528</v>
      </c>
      <c r="F87" s="139" t="s">
        <v>1</v>
      </c>
    </row>
    <row r="88" spans="2:6" x14ac:dyDescent="0.25">
      <c r="B88" s="138" t="s">
        <v>25</v>
      </c>
      <c r="D88" s="19">
        <f>+D17</f>
        <v>2595</v>
      </c>
      <c r="E88" s="154">
        <f t="shared" si="2"/>
        <v>1.5538922155688624E-2</v>
      </c>
      <c r="F88" s="139" t="s">
        <v>2</v>
      </c>
    </row>
    <row r="89" spans="2:6" x14ac:dyDescent="0.25">
      <c r="B89" s="138" t="s">
        <v>27</v>
      </c>
      <c r="D89" s="19">
        <f>+D21</f>
        <v>3761</v>
      </c>
      <c r="E89" s="154">
        <f t="shared" si="2"/>
        <v>2.2520958083832334E-2</v>
      </c>
      <c r="F89" s="139" t="s">
        <v>3</v>
      </c>
    </row>
    <row r="90" spans="2:6" x14ac:dyDescent="0.25">
      <c r="B90" s="138" t="s">
        <v>28</v>
      </c>
      <c r="D90" s="19">
        <f>+D37</f>
        <v>29724</v>
      </c>
      <c r="E90" s="154">
        <f t="shared" si="2"/>
        <v>0.17798802395209581</v>
      </c>
      <c r="F90" s="139" t="s">
        <v>20</v>
      </c>
    </row>
    <row r="91" spans="2:6" x14ac:dyDescent="0.25">
      <c r="B91" s="138" t="s">
        <v>33</v>
      </c>
      <c r="D91" s="19">
        <f>D57</f>
        <v>30000</v>
      </c>
      <c r="E91" s="154">
        <f t="shared" si="2"/>
        <v>0.17964071856287425</v>
      </c>
      <c r="F91" s="139" t="s">
        <v>35</v>
      </c>
    </row>
    <row r="92" spans="2:6" x14ac:dyDescent="0.25">
      <c r="B92" s="138" t="s">
        <v>34</v>
      </c>
      <c r="D92" s="28">
        <f>D65</f>
        <v>10000</v>
      </c>
      <c r="E92" s="36">
        <f t="shared" si="2"/>
        <v>5.9880239520958084E-2</v>
      </c>
      <c r="F92" s="155" t="s">
        <v>44</v>
      </c>
    </row>
    <row r="93" spans="2:6" x14ac:dyDescent="0.25">
      <c r="B93" s="156"/>
      <c r="D93" s="157">
        <f>SUM(D86:D92)</f>
        <v>167000</v>
      </c>
      <c r="E93" s="140">
        <f>SUM(E86:E92)</f>
        <v>1</v>
      </c>
      <c r="F93" s="141" t="s">
        <v>18</v>
      </c>
    </row>
    <row r="94" spans="2:6" x14ac:dyDescent="0.25">
      <c r="B94" s="156"/>
      <c r="D94" s="157"/>
      <c r="E94" s="140"/>
      <c r="F94" s="141"/>
    </row>
    <row r="95" spans="2:6" x14ac:dyDescent="0.25">
      <c r="B95" s="138" t="s">
        <v>42</v>
      </c>
      <c r="D95" s="19">
        <v>200</v>
      </c>
      <c r="E95" s="140"/>
      <c r="F95" s="141"/>
    </row>
    <row r="96" spans="2:6" x14ac:dyDescent="0.25">
      <c r="B96" s="138" t="s">
        <v>43</v>
      </c>
      <c r="D96" s="19">
        <f>D95*D93</f>
        <v>33400000</v>
      </c>
      <c r="E96" s="25"/>
      <c r="F96" s="139"/>
    </row>
    <row r="97" spans="2:6" x14ac:dyDescent="0.25">
      <c r="B97" s="138" t="s">
        <v>36</v>
      </c>
      <c r="D97" s="158">
        <f>D25+D41+D61+D69+D77</f>
        <v>19141876.711898733</v>
      </c>
      <c r="F97" s="139"/>
    </row>
    <row r="98" spans="2:6" ht="15.75" thickBot="1" x14ac:dyDescent="0.3">
      <c r="B98" s="142" t="s">
        <v>23</v>
      </c>
      <c r="C98" s="143"/>
      <c r="D98" s="159">
        <f>D11+D26+D42+D62+D70+D78</f>
        <v>53574.292889264994</v>
      </c>
      <c r="E98" s="143"/>
      <c r="F98" s="160"/>
    </row>
    <row r="99" spans="2:6" x14ac:dyDescent="0.25">
      <c r="D99" s="37"/>
    </row>
    <row r="100" spans="2:6" x14ac:dyDescent="0.25">
      <c r="D100" s="37"/>
    </row>
    <row r="101" spans="2:6" x14ac:dyDescent="0.25">
      <c r="D101" s="37"/>
    </row>
    <row r="102" spans="2:6" ht="15.75" thickBot="1" x14ac:dyDescent="0.3">
      <c r="D102" s="37"/>
    </row>
    <row r="103" spans="2:6" x14ac:dyDescent="0.25">
      <c r="B103" s="162" t="s">
        <v>165</v>
      </c>
      <c r="C103" s="148"/>
      <c r="D103" s="148"/>
      <c r="E103" s="148"/>
      <c r="F103" s="150"/>
    </row>
    <row r="104" spans="2:6" ht="21" x14ac:dyDescent="0.35">
      <c r="B104" s="179" t="s">
        <v>95</v>
      </c>
      <c r="D104" s="27"/>
      <c r="F104" s="139"/>
    </row>
    <row r="105" spans="2:6" ht="15.75" thickBot="1" x14ac:dyDescent="0.3">
      <c r="B105" s="180" t="s">
        <v>93</v>
      </c>
      <c r="C105" s="134"/>
      <c r="D105" s="135" t="s">
        <v>10</v>
      </c>
      <c r="E105" s="136" t="s">
        <v>94</v>
      </c>
      <c r="F105" s="181" t="s">
        <v>19</v>
      </c>
    </row>
    <row r="106" spans="2:6" ht="15.75" thickBot="1" x14ac:dyDescent="0.3">
      <c r="B106" s="137" t="s">
        <v>24</v>
      </c>
      <c r="C106" s="128"/>
      <c r="D106" s="129">
        <v>64980</v>
      </c>
      <c r="E106" s="130">
        <f>D106/D123</f>
        <v>0.3671186440677966</v>
      </c>
      <c r="F106" s="131" t="s">
        <v>96</v>
      </c>
    </row>
    <row r="107" spans="2:6" x14ac:dyDescent="0.25">
      <c r="B107" s="138" t="s">
        <v>26</v>
      </c>
      <c r="D107" s="19">
        <v>25940</v>
      </c>
      <c r="E107" s="132">
        <f>D107/D123</f>
        <v>0.14655367231638419</v>
      </c>
      <c r="F107" s="139" t="s">
        <v>1</v>
      </c>
    </row>
    <row r="108" spans="2:6" ht="15.75" thickBot="1" x14ac:dyDescent="0.3">
      <c r="B108" s="138" t="s">
        <v>77</v>
      </c>
      <c r="D108" s="19">
        <v>3800</v>
      </c>
      <c r="E108" s="132">
        <f>D108/D123</f>
        <v>2.1468926553672316E-2</v>
      </c>
      <c r="F108" s="139" t="s">
        <v>1</v>
      </c>
    </row>
    <row r="109" spans="2:6" ht="15.75" thickBot="1" x14ac:dyDescent="0.3">
      <c r="B109" s="127" t="s">
        <v>75</v>
      </c>
      <c r="C109" s="128"/>
      <c r="D109" s="129">
        <f>D107+D108</f>
        <v>29740</v>
      </c>
      <c r="E109" s="130">
        <f>D109/D123</f>
        <v>0.16802259887005649</v>
      </c>
      <c r="F109" s="131" t="s">
        <v>1</v>
      </c>
    </row>
    <row r="110" spans="2:6" ht="15.75" thickBot="1" x14ac:dyDescent="0.3">
      <c r="B110" s="127" t="s">
        <v>25</v>
      </c>
      <c r="C110" s="133"/>
      <c r="D110" s="129">
        <v>2595</v>
      </c>
      <c r="E110" s="130">
        <f>D110/D123</f>
        <v>1.4661016949152542E-2</v>
      </c>
      <c r="F110" s="131" t="s">
        <v>2</v>
      </c>
    </row>
    <row r="111" spans="2:6" ht="15.75" thickBot="1" x14ac:dyDescent="0.3">
      <c r="B111" s="127" t="s">
        <v>27</v>
      </c>
      <c r="C111" s="133"/>
      <c r="D111" s="129">
        <v>3761</v>
      </c>
      <c r="E111" s="130">
        <f>D111/D123</f>
        <v>2.124858757062147E-2</v>
      </c>
      <c r="F111" s="131" t="s">
        <v>3</v>
      </c>
    </row>
    <row r="112" spans="2:6" ht="15.75" thickBot="1" x14ac:dyDescent="0.3">
      <c r="B112" s="127" t="s">
        <v>80</v>
      </c>
      <c r="C112" s="133"/>
      <c r="D112" s="129">
        <v>29724</v>
      </c>
      <c r="E112" s="130">
        <f>D112/D123</f>
        <v>0.1679322033898305</v>
      </c>
      <c r="F112" s="131" t="s">
        <v>20</v>
      </c>
    </row>
    <row r="113" spans="2:6" x14ac:dyDescent="0.25">
      <c r="B113" s="138" t="s">
        <v>33</v>
      </c>
      <c r="D113" s="19">
        <v>30000</v>
      </c>
      <c r="E113" s="132">
        <f>D113/D123</f>
        <v>0.16949152542372881</v>
      </c>
      <c r="F113" s="139" t="s">
        <v>35</v>
      </c>
    </row>
    <row r="114" spans="2:6" ht="15.75" thickBot="1" x14ac:dyDescent="0.3">
      <c r="B114" s="138" t="s">
        <v>78</v>
      </c>
      <c r="D114" s="19">
        <v>3200</v>
      </c>
      <c r="E114" s="132">
        <f>D114/D123</f>
        <v>1.8079096045197741E-2</v>
      </c>
      <c r="F114" s="139" t="s">
        <v>35</v>
      </c>
    </row>
    <row r="115" spans="2:6" ht="15.75" thickBot="1" x14ac:dyDescent="0.3">
      <c r="B115" s="127" t="s">
        <v>76</v>
      </c>
      <c r="C115" s="128"/>
      <c r="D115" s="129">
        <f>D113+D114</f>
        <v>33200</v>
      </c>
      <c r="E115" s="130">
        <f>D115/D123</f>
        <v>0.18757062146892656</v>
      </c>
      <c r="F115" s="131" t="s">
        <v>35</v>
      </c>
    </row>
    <row r="116" spans="2:6" x14ac:dyDescent="0.25">
      <c r="B116" s="138" t="s">
        <v>34</v>
      </c>
      <c r="D116" s="19">
        <v>10000</v>
      </c>
      <c r="E116" s="140">
        <f>D116/D123</f>
        <v>5.6497175141242938E-2</v>
      </c>
      <c r="F116" s="139" t="s">
        <v>88</v>
      </c>
    </row>
    <row r="117" spans="2:6" ht="15.75" thickBot="1" x14ac:dyDescent="0.3">
      <c r="B117" s="138" t="s">
        <v>81</v>
      </c>
      <c r="D117" s="19">
        <v>2000</v>
      </c>
      <c r="E117" s="140">
        <f>D117/D123</f>
        <v>1.1299435028248588E-2</v>
      </c>
      <c r="F117" s="139" t="s">
        <v>87</v>
      </c>
    </row>
    <row r="118" spans="2:6" ht="15.75" thickBot="1" x14ac:dyDescent="0.3">
      <c r="B118" s="127" t="s">
        <v>89</v>
      </c>
      <c r="C118" s="128"/>
      <c r="D118" s="129">
        <f>D116+D117</f>
        <v>12000</v>
      </c>
      <c r="E118" s="130">
        <f>D118/D123</f>
        <v>6.7796610169491525E-2</v>
      </c>
      <c r="F118" s="131" t="s">
        <v>87</v>
      </c>
    </row>
    <row r="119" spans="2:6" x14ac:dyDescent="0.25">
      <c r="B119" s="138" t="s">
        <v>79</v>
      </c>
      <c r="D119" s="35">
        <v>400</v>
      </c>
      <c r="E119" s="140">
        <f>D119/D123</f>
        <v>2.2598870056497176E-3</v>
      </c>
      <c r="F119" s="139" t="s">
        <v>85</v>
      </c>
    </row>
    <row r="120" spans="2:6" x14ac:dyDescent="0.25">
      <c r="B120" s="138" t="s">
        <v>82</v>
      </c>
      <c r="D120" s="35">
        <v>200</v>
      </c>
      <c r="E120" s="140">
        <f>D120/D123</f>
        <v>1.1299435028248588E-3</v>
      </c>
      <c r="F120" s="141" t="s">
        <v>86</v>
      </c>
    </row>
    <row r="121" spans="2:6" x14ac:dyDescent="0.25">
      <c r="B121" s="138" t="s">
        <v>83</v>
      </c>
      <c r="D121" s="35">
        <v>200</v>
      </c>
      <c r="E121" s="140">
        <f>D121/D123</f>
        <v>1.1299435028248588E-3</v>
      </c>
      <c r="F121" s="141" t="s">
        <v>73</v>
      </c>
    </row>
    <row r="122" spans="2:6" ht="15.75" thickBot="1" x14ac:dyDescent="0.3">
      <c r="B122" s="142" t="s">
        <v>84</v>
      </c>
      <c r="C122" s="143"/>
      <c r="D122" s="144">
        <v>200</v>
      </c>
      <c r="E122" s="145">
        <f>D122/D123</f>
        <v>1.1299435028248588E-3</v>
      </c>
      <c r="F122" s="146" t="s">
        <v>74</v>
      </c>
    </row>
    <row r="123" spans="2:6" x14ac:dyDescent="0.25">
      <c r="B123" s="138" t="s">
        <v>18</v>
      </c>
      <c r="D123" s="157">
        <f>D106+D109+D110+D111+D112+D115+D118+D119+D120+D121+D122</f>
        <v>177000</v>
      </c>
      <c r="E123" s="140">
        <f>E122+E121+E120+E119+E118+E115+E112+E111+E110+E109+E106</f>
        <v>1</v>
      </c>
      <c r="F123" s="141" t="s">
        <v>18</v>
      </c>
    </row>
    <row r="124" spans="2:6" ht="15.75" thickBot="1" x14ac:dyDescent="0.3">
      <c r="B124" s="138"/>
      <c r="D124" s="19"/>
      <c r="E124" s="154"/>
      <c r="F124" s="139"/>
    </row>
    <row r="125" spans="2:6" x14ac:dyDescent="0.25">
      <c r="B125" s="156"/>
      <c r="D125" s="85" t="s">
        <v>90</v>
      </c>
      <c r="E125" s="86" t="s">
        <v>91</v>
      </c>
      <c r="F125" s="182" t="s">
        <v>92</v>
      </c>
    </row>
    <row r="126" spans="2:6" ht="15.75" thickBot="1" x14ac:dyDescent="0.3">
      <c r="B126" s="156"/>
      <c r="D126" s="83">
        <v>56782.334372999998</v>
      </c>
      <c r="E126" s="84">
        <v>177000</v>
      </c>
      <c r="F126" s="183">
        <v>0.32080414899999998</v>
      </c>
    </row>
    <row r="127" spans="2:6" x14ac:dyDescent="0.25">
      <c r="B127" s="138"/>
      <c r="F127" s="139"/>
    </row>
    <row r="128" spans="2:6" ht="15.75" thickBot="1" x14ac:dyDescent="0.3">
      <c r="B128" s="142"/>
      <c r="C128" s="143"/>
      <c r="D128" s="143"/>
      <c r="E128" s="143"/>
      <c r="F128" s="160" t="s">
        <v>97</v>
      </c>
    </row>
    <row r="155" spans="2:2" x14ac:dyDescent="0.25">
      <c r="B155" s="94">
        <v>500000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05DC-D3AD-4329-AFBD-1F9A77E290EA}">
  <dimension ref="A1:L11"/>
  <sheetViews>
    <sheetView zoomScale="87" zoomScaleNormal="87" workbookViewId="0">
      <selection activeCell="J16" sqref="J16"/>
    </sheetView>
  </sheetViews>
  <sheetFormatPr baseColWidth="10" defaultRowHeight="15" x14ac:dyDescent="0.25"/>
  <cols>
    <col min="2" max="2" width="32.7109375" style="29" customWidth="1"/>
    <col min="3" max="3" width="30.7109375" style="29" customWidth="1"/>
    <col min="4" max="4" width="16.85546875" customWidth="1"/>
    <col min="5" max="5" width="19.5703125" customWidth="1"/>
    <col min="6" max="6" width="15.5703125" customWidth="1"/>
    <col min="7" max="8" width="17.7109375" customWidth="1"/>
    <col min="9" max="9" width="19.42578125" customWidth="1"/>
    <col min="10" max="10" width="19.28515625" customWidth="1"/>
  </cols>
  <sheetData>
    <row r="1" spans="1:12" ht="15.75" x14ac:dyDescent="0.25">
      <c r="A1" s="53" t="s">
        <v>56</v>
      </c>
    </row>
    <row r="2" spans="1:12" ht="30" x14ac:dyDescent="0.25">
      <c r="A2" s="3" t="s">
        <v>53</v>
      </c>
      <c r="B2" s="52" t="s">
        <v>45</v>
      </c>
      <c r="C2" s="52" t="s">
        <v>46</v>
      </c>
      <c r="D2" s="50" t="s">
        <v>47</v>
      </c>
      <c r="E2" s="50" t="s">
        <v>48</v>
      </c>
      <c r="F2" s="50" t="s">
        <v>70</v>
      </c>
      <c r="G2" s="50" t="s">
        <v>50</v>
      </c>
      <c r="H2" s="50" t="s">
        <v>71</v>
      </c>
      <c r="I2" s="50" t="s">
        <v>49</v>
      </c>
      <c r="J2" s="50" t="s">
        <v>51</v>
      </c>
      <c r="K2" s="77"/>
      <c r="L2" s="49"/>
    </row>
    <row r="3" spans="1:12" x14ac:dyDescent="0.25">
      <c r="A3" t="s">
        <v>166</v>
      </c>
      <c r="B3" s="51">
        <v>43802</v>
      </c>
      <c r="C3" s="29" t="s">
        <v>52</v>
      </c>
      <c r="D3" s="81">
        <v>30000</v>
      </c>
      <c r="E3" s="81">
        <v>30000</v>
      </c>
      <c r="F3" s="30">
        <v>93515</v>
      </c>
      <c r="G3" s="30">
        <v>93515</v>
      </c>
      <c r="H3" s="30">
        <f>F3*J3</f>
        <v>29999.999993734997</v>
      </c>
      <c r="I3" s="6">
        <v>0.32080414899999998</v>
      </c>
      <c r="J3" s="6">
        <v>0.32080414899999998</v>
      </c>
      <c r="K3" s="30"/>
    </row>
    <row r="4" spans="1:12" x14ac:dyDescent="0.25">
      <c r="A4" t="s">
        <v>167</v>
      </c>
      <c r="B4" s="51">
        <v>43830</v>
      </c>
      <c r="C4" s="29" t="s">
        <v>54</v>
      </c>
      <c r="D4" s="80">
        <v>1206.54</v>
      </c>
      <c r="E4" s="80">
        <v>31206.54</v>
      </c>
      <c r="F4" s="79">
        <v>4361</v>
      </c>
      <c r="G4" s="30">
        <v>97276</v>
      </c>
      <c r="H4" s="30">
        <f>F4*J4</f>
        <v>838341.66262700001</v>
      </c>
      <c r="I4" s="6">
        <v>0.32080414899999998</v>
      </c>
      <c r="J4" s="6">
        <v>192.236107</v>
      </c>
      <c r="K4" s="30"/>
    </row>
    <row r="5" spans="1:12" x14ac:dyDescent="0.25">
      <c r="A5" t="s">
        <v>168</v>
      </c>
      <c r="B5" s="51">
        <v>44097</v>
      </c>
      <c r="C5" s="29" t="s">
        <v>54</v>
      </c>
      <c r="D5" s="80">
        <v>9535.58</v>
      </c>
      <c r="E5" s="80">
        <v>40742.120000000003</v>
      </c>
      <c r="F5" s="79">
        <v>29724</v>
      </c>
      <c r="G5" s="30">
        <v>127000</v>
      </c>
      <c r="H5" s="30">
        <f>F5*J5</f>
        <v>10442451.004788</v>
      </c>
      <c r="I5" s="6">
        <v>0.32080414899999998</v>
      </c>
      <c r="J5" s="6">
        <v>351.31378699999999</v>
      </c>
      <c r="K5" s="30"/>
    </row>
    <row r="6" spans="1:12" x14ac:dyDescent="0.25">
      <c r="A6" t="s">
        <v>169</v>
      </c>
      <c r="B6" s="51">
        <v>44175</v>
      </c>
      <c r="C6" s="29" t="s">
        <v>54</v>
      </c>
      <c r="D6" s="80">
        <v>12832.16</v>
      </c>
      <c r="E6" s="80">
        <v>53574.29</v>
      </c>
      <c r="F6" s="79">
        <v>40000</v>
      </c>
      <c r="G6" s="30">
        <v>167000</v>
      </c>
      <c r="H6" s="30">
        <f>F6*J6</f>
        <v>8000000</v>
      </c>
      <c r="I6" s="6">
        <v>0.32080414899999998</v>
      </c>
      <c r="J6" s="78">
        <v>200</v>
      </c>
      <c r="K6" s="30"/>
    </row>
    <row r="7" spans="1:12" x14ac:dyDescent="0.25">
      <c r="A7" t="s">
        <v>170</v>
      </c>
      <c r="B7" s="51">
        <v>44977</v>
      </c>
      <c r="C7" s="29" t="s">
        <v>54</v>
      </c>
      <c r="D7" s="80">
        <v>3208.0414900000001</v>
      </c>
      <c r="E7" s="81">
        <f>E6+D7</f>
        <v>56782.331490000004</v>
      </c>
      <c r="F7" s="79">
        <v>10000</v>
      </c>
      <c r="G7" s="30">
        <v>177000</v>
      </c>
      <c r="H7" s="30">
        <v>5000000</v>
      </c>
      <c r="I7">
        <v>0.32080414899999998</v>
      </c>
      <c r="J7" s="78">
        <f>H7/F7</f>
        <v>500</v>
      </c>
    </row>
    <row r="8" spans="1:12" x14ac:dyDescent="0.25">
      <c r="A8" s="206" t="s">
        <v>185</v>
      </c>
      <c r="B8" s="207">
        <v>45078</v>
      </c>
      <c r="C8" s="208" t="s">
        <v>54</v>
      </c>
      <c r="D8" s="209">
        <f>E8-E7</f>
        <v>968.82850999999937</v>
      </c>
      <c r="E8" s="210">
        <v>57751.16</v>
      </c>
      <c r="F8" s="211">
        <v>3020</v>
      </c>
      <c r="G8" s="212">
        <v>180020</v>
      </c>
      <c r="H8" s="212">
        <v>1510000</v>
      </c>
      <c r="I8" s="206">
        <v>0.32080414899999998</v>
      </c>
      <c r="J8" s="213">
        <f>H8/F8</f>
        <v>500</v>
      </c>
    </row>
    <row r="9" spans="1:12" ht="15.75" thickBot="1" x14ac:dyDescent="0.3">
      <c r="H9" s="214">
        <f>SUM(H3:H8)</f>
        <v>25820792.667408735</v>
      </c>
    </row>
    <row r="10" spans="1:12" ht="15.75" thickTop="1" x14ac:dyDescent="0.25"/>
    <row r="11" spans="1:12" x14ac:dyDescent="0.25">
      <c r="G11" s="30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1309-C73D-4798-BF3A-02DE7468DCF8}">
  <sheetPr>
    <pageSetUpPr fitToPage="1"/>
  </sheetPr>
  <dimension ref="A1:K28"/>
  <sheetViews>
    <sheetView zoomScale="90" zoomScaleNormal="90" workbookViewId="0">
      <selection activeCell="E24" sqref="E24"/>
    </sheetView>
  </sheetViews>
  <sheetFormatPr baseColWidth="10" defaultRowHeight="15" x14ac:dyDescent="0.25"/>
  <cols>
    <col min="1" max="1" width="45.140625" customWidth="1"/>
    <col min="2" max="2" width="16.42578125" customWidth="1"/>
    <col min="3" max="3" width="10.7109375" customWidth="1"/>
    <col min="4" max="4" width="4.5703125" customWidth="1"/>
    <col min="5" max="5" width="39.7109375" customWidth="1"/>
    <col min="6" max="6" width="21.5703125" customWidth="1"/>
    <col min="7" max="7" width="16.140625" customWidth="1"/>
    <col min="8" max="8" width="18.28515625" customWidth="1"/>
    <col min="9" max="9" width="16.28515625" customWidth="1"/>
    <col min="10" max="10" width="13.85546875" customWidth="1"/>
    <col min="11" max="11" width="16.85546875" customWidth="1"/>
    <col min="12" max="12" width="0.42578125" customWidth="1"/>
    <col min="13" max="13" width="15.28515625" customWidth="1"/>
    <col min="14" max="14" width="3.28515625" customWidth="1"/>
    <col min="17" max="17" width="3.85546875" customWidth="1"/>
  </cols>
  <sheetData>
    <row r="1" spans="1:11" x14ac:dyDescent="0.25">
      <c r="A1" s="219" t="s">
        <v>98</v>
      </c>
      <c r="B1" s="220"/>
      <c r="C1" s="221"/>
      <c r="E1" s="55" t="s">
        <v>99</v>
      </c>
      <c r="F1" s="38"/>
      <c r="G1" s="184"/>
      <c r="H1" s="216" t="s">
        <v>106</v>
      </c>
      <c r="I1" s="38"/>
      <c r="J1" s="38"/>
      <c r="K1" s="39"/>
    </row>
    <row r="2" spans="1:11" ht="30" x14ac:dyDescent="0.25">
      <c r="A2" s="222" t="s">
        <v>19</v>
      </c>
      <c r="B2" s="33" t="s">
        <v>10</v>
      </c>
      <c r="C2" s="223" t="s">
        <v>55</v>
      </c>
      <c r="E2" s="40" t="s">
        <v>19</v>
      </c>
      <c r="F2" s="33" t="s">
        <v>100</v>
      </c>
      <c r="G2" s="33" t="s">
        <v>101</v>
      </c>
      <c r="H2" s="33" t="s">
        <v>107</v>
      </c>
      <c r="I2" s="33" t="s">
        <v>64</v>
      </c>
      <c r="J2" s="34" t="s">
        <v>65</v>
      </c>
      <c r="K2" s="57" t="s">
        <v>66</v>
      </c>
    </row>
    <row r="3" spans="1:11" x14ac:dyDescent="0.25">
      <c r="A3" s="224" t="s">
        <v>9</v>
      </c>
      <c r="B3" s="30">
        <v>64980</v>
      </c>
      <c r="C3" s="225">
        <f t="shared" ref="C3:C13" si="0">B3/$B$15</f>
        <v>0.3671186440677966</v>
      </c>
      <c r="E3" s="42" t="s">
        <v>9</v>
      </c>
      <c r="F3" s="30">
        <f>B3</f>
        <v>64980</v>
      </c>
      <c r="G3" s="30">
        <f t="shared" ref="G3:G14" si="1">H3/$B$22</f>
        <v>0</v>
      </c>
      <c r="H3" s="215">
        <v>0</v>
      </c>
      <c r="I3" s="30">
        <f>F3+G3</f>
        <v>64980</v>
      </c>
      <c r="J3" s="58">
        <f t="shared" ref="J3:J14" si="2">I3/$I$15</f>
        <v>0.36095989334518386</v>
      </c>
      <c r="K3" s="59">
        <f t="shared" ref="K3:K14" si="3">$B$26*J3</f>
        <v>32490000</v>
      </c>
    </row>
    <row r="4" spans="1:11" x14ac:dyDescent="0.25">
      <c r="A4" s="224" t="s">
        <v>37</v>
      </c>
      <c r="B4" s="30">
        <v>33200</v>
      </c>
      <c r="C4" s="225">
        <f t="shared" si="0"/>
        <v>0.18757062146892656</v>
      </c>
      <c r="E4" s="42" t="s">
        <v>37</v>
      </c>
      <c r="F4" s="30">
        <f t="shared" ref="F4:F12" si="4">B4</f>
        <v>33200</v>
      </c>
      <c r="G4" s="30">
        <f t="shared" si="1"/>
        <v>560</v>
      </c>
      <c r="H4" s="217">
        <v>280000</v>
      </c>
      <c r="I4" s="30">
        <f t="shared" ref="I4:I12" si="5">F4+G4</f>
        <v>33760</v>
      </c>
      <c r="J4" s="58">
        <f t="shared" si="2"/>
        <v>0.18753471836462615</v>
      </c>
      <c r="K4" s="59">
        <f t="shared" si="3"/>
        <v>16880000</v>
      </c>
    </row>
    <row r="5" spans="1:11" x14ac:dyDescent="0.25">
      <c r="A5" s="224" t="s">
        <v>38</v>
      </c>
      <c r="B5" s="30">
        <v>29724</v>
      </c>
      <c r="C5" s="225">
        <f t="shared" si="0"/>
        <v>0.1679322033898305</v>
      </c>
      <c r="E5" s="42" t="s">
        <v>38</v>
      </c>
      <c r="F5" s="30">
        <f t="shared" si="4"/>
        <v>29724</v>
      </c>
      <c r="G5" s="30">
        <f t="shared" si="1"/>
        <v>0</v>
      </c>
      <c r="H5" s="186">
        <v>0</v>
      </c>
      <c r="I5" s="30">
        <f t="shared" si="5"/>
        <v>29724</v>
      </c>
      <c r="J5" s="58">
        <f t="shared" si="2"/>
        <v>0.16511498722364182</v>
      </c>
      <c r="K5" s="59">
        <f t="shared" si="3"/>
        <v>14862000</v>
      </c>
    </row>
    <row r="6" spans="1:11" x14ac:dyDescent="0.25">
      <c r="A6" s="224" t="s">
        <v>1</v>
      </c>
      <c r="B6" s="30">
        <v>29740</v>
      </c>
      <c r="C6" s="225">
        <f t="shared" si="0"/>
        <v>0.16802259887005649</v>
      </c>
      <c r="E6" s="42" t="s">
        <v>1</v>
      </c>
      <c r="F6" s="30">
        <f t="shared" si="4"/>
        <v>29740</v>
      </c>
      <c r="G6" s="30">
        <f t="shared" si="1"/>
        <v>1300</v>
      </c>
      <c r="H6" s="217">
        <v>650000</v>
      </c>
      <c r="I6" s="30">
        <f t="shared" si="5"/>
        <v>31040</v>
      </c>
      <c r="J6" s="58">
        <f t="shared" si="2"/>
        <v>0.17242528607932453</v>
      </c>
      <c r="K6" s="59">
        <f t="shared" si="3"/>
        <v>15520000.000000002</v>
      </c>
    </row>
    <row r="7" spans="1:11" ht="14.65" customHeight="1" x14ac:dyDescent="0.25">
      <c r="A7" s="224" t="s">
        <v>87</v>
      </c>
      <c r="B7" s="30">
        <v>12000</v>
      </c>
      <c r="C7" s="225">
        <f t="shared" si="0"/>
        <v>6.7796610169491525E-2</v>
      </c>
      <c r="E7" s="42" t="s">
        <v>87</v>
      </c>
      <c r="F7" s="30">
        <f t="shared" si="4"/>
        <v>12000</v>
      </c>
      <c r="G7" s="30">
        <f t="shared" si="1"/>
        <v>0</v>
      </c>
      <c r="H7" s="186">
        <v>0</v>
      </c>
      <c r="I7" s="30">
        <f t="shared" si="5"/>
        <v>12000</v>
      </c>
      <c r="J7" s="58">
        <f t="shared" si="2"/>
        <v>6.6659260082213082E-2</v>
      </c>
      <c r="K7" s="59">
        <f t="shared" si="3"/>
        <v>5999999.9999999991</v>
      </c>
    </row>
    <row r="8" spans="1:11" x14ac:dyDescent="0.25">
      <c r="A8" s="224" t="s">
        <v>3</v>
      </c>
      <c r="B8" s="30">
        <v>3761</v>
      </c>
      <c r="C8" s="225">
        <f t="shared" si="0"/>
        <v>2.124858757062147E-2</v>
      </c>
      <c r="E8" s="42" t="s">
        <v>3</v>
      </c>
      <c r="F8" s="30">
        <f t="shared" si="4"/>
        <v>3761</v>
      </c>
      <c r="G8" s="30">
        <f t="shared" si="1"/>
        <v>200</v>
      </c>
      <c r="H8" s="217">
        <v>100000</v>
      </c>
      <c r="I8" s="30">
        <f t="shared" si="5"/>
        <v>3961</v>
      </c>
      <c r="J8" s="58">
        <f t="shared" si="2"/>
        <v>2.2003110765470502E-2</v>
      </c>
      <c r="K8" s="59">
        <f t="shared" si="3"/>
        <v>1980500</v>
      </c>
    </row>
    <row r="9" spans="1:11" x14ac:dyDescent="0.25">
      <c r="A9" s="224" t="s">
        <v>2</v>
      </c>
      <c r="B9" s="30">
        <v>2595</v>
      </c>
      <c r="C9" s="225">
        <f t="shared" si="0"/>
        <v>1.4661016949152542E-2</v>
      </c>
      <c r="E9" s="42" t="s">
        <v>2</v>
      </c>
      <c r="F9" s="30">
        <f t="shared" si="4"/>
        <v>2595</v>
      </c>
      <c r="G9" s="30">
        <f t="shared" si="1"/>
        <v>100</v>
      </c>
      <c r="H9" s="217">
        <v>50000</v>
      </c>
      <c r="I9" s="30">
        <f t="shared" si="5"/>
        <v>2695</v>
      </c>
      <c r="J9" s="58">
        <f t="shared" si="2"/>
        <v>1.4970558826797023E-2</v>
      </c>
      <c r="K9" s="59">
        <f t="shared" si="3"/>
        <v>1347500</v>
      </c>
    </row>
    <row r="10" spans="1:11" x14ac:dyDescent="0.25">
      <c r="A10" s="224" t="s">
        <v>72</v>
      </c>
      <c r="B10" s="30">
        <v>400</v>
      </c>
      <c r="C10" s="225">
        <f t="shared" si="0"/>
        <v>2.2598870056497176E-3</v>
      </c>
      <c r="E10" s="42" t="s">
        <v>102</v>
      </c>
      <c r="F10" s="30">
        <f t="shared" si="4"/>
        <v>400</v>
      </c>
      <c r="G10" s="30">
        <f t="shared" si="1"/>
        <v>120</v>
      </c>
      <c r="H10" s="217">
        <v>60000</v>
      </c>
      <c r="I10" s="30">
        <f t="shared" si="5"/>
        <v>520</v>
      </c>
      <c r="J10" s="58">
        <f t="shared" si="2"/>
        <v>2.8885679368959006E-3</v>
      </c>
      <c r="K10" s="59">
        <f t="shared" si="3"/>
        <v>260000</v>
      </c>
    </row>
    <row r="11" spans="1:11" x14ac:dyDescent="0.25">
      <c r="A11" s="224" t="s">
        <v>86</v>
      </c>
      <c r="B11" s="30">
        <v>200</v>
      </c>
      <c r="C11" s="225">
        <f t="shared" si="0"/>
        <v>1.1299435028248588E-3</v>
      </c>
      <c r="E11" s="42" t="s">
        <v>103</v>
      </c>
      <c r="F11" s="30">
        <f t="shared" si="4"/>
        <v>200</v>
      </c>
      <c r="G11" s="30">
        <f t="shared" si="1"/>
        <v>120</v>
      </c>
      <c r="H11" s="217">
        <v>60000</v>
      </c>
      <c r="I11" s="30">
        <f t="shared" si="5"/>
        <v>320</v>
      </c>
      <c r="J11" s="58">
        <f t="shared" si="2"/>
        <v>1.7775802688590157E-3</v>
      </c>
      <c r="K11" s="59">
        <f t="shared" si="3"/>
        <v>160000</v>
      </c>
    </row>
    <row r="12" spans="1:11" x14ac:dyDescent="0.25">
      <c r="A12" s="224" t="s">
        <v>73</v>
      </c>
      <c r="B12" s="30">
        <v>200</v>
      </c>
      <c r="C12" s="225">
        <f t="shared" si="0"/>
        <v>1.1299435028248588E-3</v>
      </c>
      <c r="E12" s="42" t="s">
        <v>104</v>
      </c>
      <c r="F12" s="30">
        <f t="shared" si="4"/>
        <v>200</v>
      </c>
      <c r="G12" s="30">
        <f t="shared" si="1"/>
        <v>0</v>
      </c>
      <c r="H12" s="186">
        <v>0</v>
      </c>
      <c r="I12" s="30">
        <f t="shared" si="5"/>
        <v>200</v>
      </c>
      <c r="J12" s="58">
        <f t="shared" si="2"/>
        <v>1.1109876680368848E-3</v>
      </c>
      <c r="K12" s="59">
        <f t="shared" si="3"/>
        <v>100000</v>
      </c>
    </row>
    <row r="13" spans="1:11" x14ac:dyDescent="0.25">
      <c r="A13" s="224" t="s">
        <v>74</v>
      </c>
      <c r="B13" s="30">
        <v>200</v>
      </c>
      <c r="C13" s="225">
        <f t="shared" si="0"/>
        <v>1.1299435028248588E-3</v>
      </c>
      <c r="E13" s="42" t="s">
        <v>105</v>
      </c>
      <c r="F13" s="30">
        <f t="shared" ref="F13:F14" si="6">B13</f>
        <v>200</v>
      </c>
      <c r="G13" s="30">
        <f t="shared" si="1"/>
        <v>120</v>
      </c>
      <c r="H13" s="217">
        <v>60000</v>
      </c>
      <c r="I13" s="30">
        <f t="shared" ref="I13:I14" si="7">F13+G13</f>
        <v>320</v>
      </c>
      <c r="J13" s="58">
        <f t="shared" si="2"/>
        <v>1.7775802688590157E-3</v>
      </c>
      <c r="K13" s="59">
        <f t="shared" si="3"/>
        <v>160000</v>
      </c>
    </row>
    <row r="14" spans="1:11" x14ac:dyDescent="0.25">
      <c r="A14" s="224"/>
      <c r="B14" s="30"/>
      <c r="C14" s="226"/>
      <c r="E14" s="89" t="s">
        <v>108</v>
      </c>
      <c r="F14" s="32">
        <f t="shared" si="6"/>
        <v>0</v>
      </c>
      <c r="G14" s="212">
        <f t="shared" si="1"/>
        <v>500</v>
      </c>
      <c r="H14" s="218">
        <v>250000</v>
      </c>
      <c r="I14" s="32">
        <f t="shared" si="7"/>
        <v>500</v>
      </c>
      <c r="J14" s="60">
        <f t="shared" si="2"/>
        <v>2.7774691700922119E-3</v>
      </c>
      <c r="K14" s="87">
        <f t="shared" si="3"/>
        <v>250000</v>
      </c>
    </row>
    <row r="15" spans="1:11" x14ac:dyDescent="0.25">
      <c r="A15" s="227" t="s">
        <v>18</v>
      </c>
      <c r="B15" s="35">
        <f>SUM(B3:B14)</f>
        <v>177000</v>
      </c>
      <c r="C15" s="228">
        <f>SUM(C3:C14)</f>
        <v>0.99999999999999978</v>
      </c>
      <c r="E15" s="45" t="s">
        <v>18</v>
      </c>
      <c r="F15" s="35">
        <f t="shared" ref="F15:K15" si="8">SUM(F3:F14)</f>
        <v>177000</v>
      </c>
      <c r="G15" s="35">
        <f t="shared" si="8"/>
        <v>3020</v>
      </c>
      <c r="H15" s="62">
        <f t="shared" si="8"/>
        <v>1510000</v>
      </c>
      <c r="I15" s="35">
        <f t="shared" si="8"/>
        <v>180020</v>
      </c>
      <c r="J15" s="63">
        <f t="shared" si="8"/>
        <v>0.99999999999999978</v>
      </c>
      <c r="K15" s="64">
        <f t="shared" si="8"/>
        <v>90010000</v>
      </c>
    </row>
    <row r="16" spans="1:11" ht="15.75" thickBot="1" x14ac:dyDescent="0.3">
      <c r="A16" s="229"/>
      <c r="B16" s="230"/>
      <c r="C16" s="231"/>
      <c r="E16" s="46"/>
      <c r="F16" s="47"/>
      <c r="G16" s="47"/>
      <c r="H16" s="47"/>
      <c r="I16" s="47"/>
      <c r="J16" s="47"/>
      <c r="K16" s="48"/>
    </row>
    <row r="17" spans="1:8" ht="15.75" thickBot="1" x14ac:dyDescent="0.3">
      <c r="A17" s="42"/>
    </row>
    <row r="18" spans="1:8" ht="16.5" thickBot="1" x14ac:dyDescent="0.3">
      <c r="A18" s="65" t="s">
        <v>67</v>
      </c>
      <c r="B18" s="66"/>
      <c r="H18" s="99"/>
    </row>
    <row r="19" spans="1:8" x14ac:dyDescent="0.25">
      <c r="A19" s="56" t="s">
        <v>63</v>
      </c>
      <c r="B19" s="72"/>
    </row>
    <row r="20" spans="1:8" ht="18" customHeight="1" x14ac:dyDescent="0.25">
      <c r="A20" s="67" t="s">
        <v>68</v>
      </c>
      <c r="B20" s="68">
        <f>B15</f>
        <v>177000</v>
      </c>
    </row>
    <row r="21" spans="1:8" x14ac:dyDescent="0.25">
      <c r="A21" s="69" t="s">
        <v>171</v>
      </c>
      <c r="B21" s="70">
        <v>88500000</v>
      </c>
      <c r="C21" s="71"/>
    </row>
    <row r="22" spans="1:8" x14ac:dyDescent="0.25">
      <c r="A22" s="67" t="s">
        <v>58</v>
      </c>
      <c r="B22" s="82">
        <f>B21/B20</f>
        <v>500</v>
      </c>
      <c r="F22" s="100"/>
    </row>
    <row r="23" spans="1:8" x14ac:dyDescent="0.25">
      <c r="A23" s="67"/>
      <c r="B23" s="72"/>
    </row>
    <row r="24" spans="1:8" x14ac:dyDescent="0.25">
      <c r="A24" s="67" t="s">
        <v>60</v>
      </c>
      <c r="B24" s="70">
        <v>1510000</v>
      </c>
      <c r="C24" s="73"/>
    </row>
    <row r="25" spans="1:8" x14ac:dyDescent="0.25">
      <c r="A25" s="67" t="s">
        <v>61</v>
      </c>
      <c r="B25" s="74">
        <f>B24/B22</f>
        <v>3020</v>
      </c>
    </row>
    <row r="26" spans="1:8" x14ac:dyDescent="0.25">
      <c r="A26" s="67" t="s">
        <v>59</v>
      </c>
      <c r="B26" s="68">
        <f>B24+B21</f>
        <v>90010000</v>
      </c>
    </row>
    <row r="27" spans="1:8" x14ac:dyDescent="0.25">
      <c r="A27" s="67" t="s">
        <v>69</v>
      </c>
      <c r="B27" s="74">
        <f>B20+B25</f>
        <v>180020</v>
      </c>
    </row>
    <row r="28" spans="1:8" ht="15.75" thickBot="1" x14ac:dyDescent="0.3">
      <c r="A28" s="75" t="s">
        <v>62</v>
      </c>
      <c r="B28" s="76">
        <f>B25/B27</f>
        <v>1.6775913787356961E-2</v>
      </c>
    </row>
  </sheetData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5D4C-B41C-4651-B140-7F2EEC3A2D10}">
  <dimension ref="A1:K40"/>
  <sheetViews>
    <sheetView zoomScale="90" zoomScaleNormal="90" workbookViewId="0">
      <selection activeCell="G25" sqref="G25"/>
    </sheetView>
  </sheetViews>
  <sheetFormatPr baseColWidth="10" defaultRowHeight="15" x14ac:dyDescent="0.25"/>
  <cols>
    <col min="1" max="1" width="47.7109375" bestFit="1" customWidth="1"/>
    <col min="2" max="2" width="22.140625" customWidth="1"/>
    <col min="3" max="3" width="16.42578125" customWidth="1"/>
    <col min="4" max="4" width="12.85546875" customWidth="1"/>
    <col min="5" max="5" width="52.28515625" bestFit="1" customWidth="1"/>
    <col min="6" max="6" width="11.7109375" bestFit="1" customWidth="1"/>
    <col min="7" max="7" width="18.140625" customWidth="1"/>
    <col min="8" max="8" width="17" bestFit="1" customWidth="1"/>
    <col min="9" max="9" width="12.42578125" customWidth="1"/>
    <col min="10" max="10" width="15.5703125" customWidth="1"/>
    <col min="11" max="11" width="16.140625" bestFit="1" customWidth="1"/>
    <col min="12" max="12" width="16.140625" customWidth="1"/>
    <col min="13" max="13" width="13.5703125" bestFit="1" customWidth="1"/>
    <col min="14" max="14" width="13.42578125" customWidth="1"/>
    <col min="15" max="15" width="10.140625" customWidth="1"/>
  </cols>
  <sheetData>
    <row r="1" spans="1:11" x14ac:dyDescent="0.25">
      <c r="A1" s="219" t="s">
        <v>139</v>
      </c>
      <c r="B1" s="220"/>
      <c r="C1" s="221"/>
      <c r="E1" s="55" t="s">
        <v>99</v>
      </c>
      <c r="F1" s="38"/>
      <c r="G1" s="184"/>
      <c r="H1" s="216" t="s">
        <v>106</v>
      </c>
      <c r="I1" s="38"/>
      <c r="J1" s="38"/>
      <c r="K1" s="39"/>
    </row>
    <row r="2" spans="1:11" ht="30" x14ac:dyDescent="0.25">
      <c r="A2" s="222" t="s">
        <v>138</v>
      </c>
      <c r="B2" s="33" t="s">
        <v>10</v>
      </c>
      <c r="C2" s="223" t="s">
        <v>55</v>
      </c>
      <c r="E2" s="40" t="s">
        <v>122</v>
      </c>
      <c r="F2" s="33" t="s">
        <v>100</v>
      </c>
      <c r="G2" s="33" t="s">
        <v>101</v>
      </c>
      <c r="H2" s="33" t="s">
        <v>107</v>
      </c>
      <c r="I2" s="33" t="s">
        <v>64</v>
      </c>
      <c r="J2" s="34" t="s">
        <v>65</v>
      </c>
      <c r="K2" s="57" t="s">
        <v>66</v>
      </c>
    </row>
    <row r="3" spans="1:11" x14ac:dyDescent="0.25">
      <c r="A3" s="224" t="s">
        <v>9</v>
      </c>
      <c r="B3" s="30">
        <v>64980</v>
      </c>
      <c r="C3" s="225">
        <v>0.36099999999999999</v>
      </c>
      <c r="E3" s="42" t="s">
        <v>9</v>
      </c>
      <c r="F3" s="30">
        <f>B3</f>
        <v>64980</v>
      </c>
      <c r="G3" s="30">
        <f t="shared" ref="G3:G17" si="0">H3/$B$25</f>
        <v>0</v>
      </c>
      <c r="H3" s="185">
        <v>0</v>
      </c>
      <c r="I3" s="30">
        <f>F3+G3</f>
        <v>64980</v>
      </c>
      <c r="J3" s="58">
        <f t="shared" ref="J3:J17" si="1">I3/$I$18</f>
        <v>0.3459630796713255</v>
      </c>
      <c r="K3" s="59">
        <f t="shared" ref="K3:K17" si="2">$B$29*J3</f>
        <v>16560560.697707009</v>
      </c>
    </row>
    <row r="4" spans="1:11" x14ac:dyDescent="0.25">
      <c r="A4" s="224" t="s">
        <v>37</v>
      </c>
      <c r="B4" s="30">
        <v>33760</v>
      </c>
      <c r="C4" s="225">
        <v>0.1875</v>
      </c>
      <c r="E4" s="42" t="s">
        <v>37</v>
      </c>
      <c r="F4" s="30">
        <f t="shared" ref="F4:F17" si="3">B4</f>
        <v>33760</v>
      </c>
      <c r="G4" s="30">
        <f t="shared" si="0"/>
        <v>2973.898678414097</v>
      </c>
      <c r="H4" s="217">
        <v>750000</v>
      </c>
      <c r="I4" s="30">
        <f t="shared" ref="I4:I17" si="4">F4+G4</f>
        <v>36733.898678414094</v>
      </c>
      <c r="J4" s="58">
        <f t="shared" si="1"/>
        <v>0.19557668074974721</v>
      </c>
      <c r="K4" s="59">
        <f t="shared" si="2"/>
        <v>9361864.5541289002</v>
      </c>
    </row>
    <row r="5" spans="1:11" x14ac:dyDescent="0.25">
      <c r="A5" s="224" t="s">
        <v>38</v>
      </c>
      <c r="B5" s="30">
        <v>29724</v>
      </c>
      <c r="C5" s="225">
        <v>0.1651</v>
      </c>
      <c r="E5" s="42" t="s">
        <v>38</v>
      </c>
      <c r="F5" s="30">
        <f t="shared" si="3"/>
        <v>29724</v>
      </c>
      <c r="G5" s="30">
        <f t="shared" si="0"/>
        <v>0</v>
      </c>
      <c r="H5" s="186">
        <v>0</v>
      </c>
      <c r="I5" s="30">
        <f t="shared" si="4"/>
        <v>29724</v>
      </c>
      <c r="J5" s="58">
        <f t="shared" si="1"/>
        <v>0.15825494890967187</v>
      </c>
      <c r="K5" s="59">
        <f t="shared" si="2"/>
        <v>7575347.8944081729</v>
      </c>
    </row>
    <row r="6" spans="1:11" x14ac:dyDescent="0.25">
      <c r="A6" s="224" t="s">
        <v>1</v>
      </c>
      <c r="B6" s="30">
        <v>31040</v>
      </c>
      <c r="C6" s="225">
        <v>0.1724</v>
      </c>
      <c r="E6" s="42" t="s">
        <v>1</v>
      </c>
      <c r="F6" s="30">
        <f t="shared" si="3"/>
        <v>31040</v>
      </c>
      <c r="G6" s="30">
        <f t="shared" si="0"/>
        <v>1594.009691629956</v>
      </c>
      <c r="H6" s="217">
        <v>402000</v>
      </c>
      <c r="I6" s="30">
        <f t="shared" si="4"/>
        <v>32634.009691629955</v>
      </c>
      <c r="J6" s="58">
        <f t="shared" si="1"/>
        <v>0.17374826862019363</v>
      </c>
      <c r="K6" s="59">
        <f t="shared" si="2"/>
        <v>8316982.1223114291</v>
      </c>
    </row>
    <row r="7" spans="1:11" x14ac:dyDescent="0.25">
      <c r="A7" s="224" t="s">
        <v>87</v>
      </c>
      <c r="B7" s="30">
        <v>12000</v>
      </c>
      <c r="C7" s="225">
        <v>6.6699999999999995E-2</v>
      </c>
      <c r="E7" s="42" t="s">
        <v>87</v>
      </c>
      <c r="F7" s="30">
        <f t="shared" si="3"/>
        <v>12000</v>
      </c>
      <c r="G7" s="30">
        <f t="shared" si="0"/>
        <v>0</v>
      </c>
      <c r="H7" s="186">
        <v>0</v>
      </c>
      <c r="I7" s="30">
        <f t="shared" si="4"/>
        <v>12000</v>
      </c>
      <c r="J7" s="58">
        <f t="shared" si="1"/>
        <v>6.3889765405600277E-2</v>
      </c>
      <c r="K7" s="59">
        <f t="shared" si="2"/>
        <v>3058275.2904352741</v>
      </c>
    </row>
    <row r="8" spans="1:11" x14ac:dyDescent="0.25">
      <c r="A8" s="224" t="s">
        <v>3</v>
      </c>
      <c r="B8" s="30">
        <v>3961</v>
      </c>
      <c r="C8" s="225">
        <v>2.1999999999999999E-2</v>
      </c>
      <c r="E8" s="42" t="s">
        <v>3</v>
      </c>
      <c r="F8" s="30">
        <f t="shared" si="3"/>
        <v>3961</v>
      </c>
      <c r="G8" s="30">
        <f t="shared" si="0"/>
        <v>991.29955947136568</v>
      </c>
      <c r="H8" s="217">
        <v>250000</v>
      </c>
      <c r="I8" s="30">
        <f t="shared" si="4"/>
        <v>4952.2995594713657</v>
      </c>
      <c r="J8" s="58">
        <f t="shared" si="1"/>
        <v>2.636677142274026E-2</v>
      </c>
      <c r="K8" s="59">
        <f t="shared" si="2"/>
        <v>1262124.6144637307</v>
      </c>
    </row>
    <row r="9" spans="1:11" x14ac:dyDescent="0.25">
      <c r="A9" s="224" t="s">
        <v>2</v>
      </c>
      <c r="B9" s="30">
        <v>2695</v>
      </c>
      <c r="C9" s="225">
        <v>1.4999999999999999E-2</v>
      </c>
      <c r="E9" s="42" t="s">
        <v>2</v>
      </c>
      <c r="F9" s="30">
        <f t="shared" si="3"/>
        <v>2695</v>
      </c>
      <c r="G9" s="30">
        <f t="shared" si="0"/>
        <v>0</v>
      </c>
      <c r="H9" s="186">
        <v>0</v>
      </c>
      <c r="I9" s="30">
        <f t="shared" si="4"/>
        <v>2695</v>
      </c>
      <c r="J9" s="58">
        <f t="shared" si="1"/>
        <v>1.4348576480674394E-2</v>
      </c>
      <c r="K9" s="59">
        <f t="shared" si="2"/>
        <v>686837.65897692193</v>
      </c>
    </row>
    <row r="10" spans="1:11" x14ac:dyDescent="0.25">
      <c r="A10" s="224" t="s">
        <v>72</v>
      </c>
      <c r="B10" s="30">
        <v>520</v>
      </c>
      <c r="C10" s="225">
        <v>2.8999999999999998E-3</v>
      </c>
      <c r="E10" s="42" t="s">
        <v>102</v>
      </c>
      <c r="F10" s="30">
        <f t="shared" si="3"/>
        <v>520</v>
      </c>
      <c r="G10" s="30">
        <f t="shared" si="0"/>
        <v>396.51982378854626</v>
      </c>
      <c r="H10" s="217">
        <v>100000</v>
      </c>
      <c r="I10" s="30">
        <f t="shared" si="4"/>
        <v>916.51982378854632</v>
      </c>
      <c r="J10" s="58">
        <f t="shared" si="1"/>
        <v>4.8796863776193605E-3</v>
      </c>
      <c r="K10" s="59">
        <f t="shared" si="2"/>
        <v>233580.82752388355</v>
      </c>
    </row>
    <row r="11" spans="1:11" x14ac:dyDescent="0.25">
      <c r="A11" s="224" t="s">
        <v>86</v>
      </c>
      <c r="B11" s="30">
        <v>320</v>
      </c>
      <c r="C11" s="225">
        <v>1.8E-3</v>
      </c>
      <c r="E11" s="42" t="s">
        <v>103</v>
      </c>
      <c r="F11" s="30">
        <f t="shared" si="3"/>
        <v>320</v>
      </c>
      <c r="G11" s="30">
        <f t="shared" si="0"/>
        <v>0</v>
      </c>
      <c r="H11" s="186">
        <v>0</v>
      </c>
      <c r="I11" s="30">
        <f t="shared" si="4"/>
        <v>320</v>
      </c>
      <c r="J11" s="58">
        <f t="shared" si="1"/>
        <v>1.7037270774826741E-3</v>
      </c>
      <c r="K11" s="59">
        <f t="shared" si="2"/>
        <v>81554.007744940638</v>
      </c>
    </row>
    <row r="12" spans="1:11" x14ac:dyDescent="0.25">
      <c r="A12" s="224" t="s">
        <v>73</v>
      </c>
      <c r="B12" s="30">
        <v>200</v>
      </c>
      <c r="C12" s="225">
        <v>1.1000000000000001E-3</v>
      </c>
      <c r="E12" s="42" t="s">
        <v>104</v>
      </c>
      <c r="F12" s="30">
        <f t="shared" si="3"/>
        <v>200</v>
      </c>
      <c r="G12" s="30">
        <f t="shared" si="0"/>
        <v>396.51982378854626</v>
      </c>
      <c r="H12" s="217">
        <v>100000</v>
      </c>
      <c r="I12" s="30">
        <f t="shared" si="4"/>
        <v>596.51982378854632</v>
      </c>
      <c r="J12" s="58">
        <f t="shared" si="1"/>
        <v>3.1759593001366867E-3</v>
      </c>
      <c r="K12" s="59">
        <f t="shared" si="2"/>
        <v>152026.81977894291</v>
      </c>
    </row>
    <row r="13" spans="1:11" x14ac:dyDescent="0.25">
      <c r="A13" s="224" t="s">
        <v>74</v>
      </c>
      <c r="B13" s="30">
        <v>320</v>
      </c>
      <c r="C13" s="225">
        <v>1.8E-3</v>
      </c>
      <c r="E13" s="42" t="s">
        <v>105</v>
      </c>
      <c r="F13" s="30">
        <f t="shared" si="3"/>
        <v>320</v>
      </c>
      <c r="G13" s="30">
        <f t="shared" si="0"/>
        <v>396.51982378854626</v>
      </c>
      <c r="H13" s="217">
        <v>100000</v>
      </c>
      <c r="I13" s="30">
        <f t="shared" si="4"/>
        <v>716.51982378854632</v>
      </c>
      <c r="J13" s="58">
        <f t="shared" si="1"/>
        <v>3.8148569541926894E-3</v>
      </c>
      <c r="K13" s="59">
        <f t="shared" si="2"/>
        <v>182609.57268329567</v>
      </c>
    </row>
    <row r="14" spans="1:11" x14ac:dyDescent="0.25">
      <c r="A14" s="224"/>
      <c r="B14" s="30"/>
      <c r="C14" s="225"/>
      <c r="E14" s="42" t="s">
        <v>121</v>
      </c>
      <c r="F14" s="30">
        <v>0</v>
      </c>
      <c r="G14" s="30">
        <f t="shared" si="0"/>
        <v>0</v>
      </c>
      <c r="H14" s="186">
        <v>0</v>
      </c>
      <c r="I14" s="30">
        <f t="shared" ref="I14" si="5">F14+G14</f>
        <v>0</v>
      </c>
      <c r="J14" s="58">
        <f t="shared" si="1"/>
        <v>0</v>
      </c>
      <c r="K14" s="59">
        <f t="shared" si="2"/>
        <v>0</v>
      </c>
    </row>
    <row r="15" spans="1:11" x14ac:dyDescent="0.25">
      <c r="A15" s="224"/>
      <c r="B15" s="30"/>
      <c r="C15" s="225"/>
      <c r="E15" s="42" t="s">
        <v>125</v>
      </c>
      <c r="F15" s="30"/>
      <c r="G15" s="30">
        <f t="shared" si="0"/>
        <v>1054.742731277533</v>
      </c>
      <c r="H15" s="217">
        <v>266000</v>
      </c>
      <c r="I15" s="30">
        <f t="shared" ref="I15" si="6">F15+G15</f>
        <v>1054.742731277533</v>
      </c>
      <c r="J15" s="58">
        <f t="shared" si="1"/>
        <v>5.6156054720486398E-3</v>
      </c>
      <c r="K15" s="59">
        <f t="shared" si="2"/>
        <v>268807.80273602431</v>
      </c>
    </row>
    <row r="16" spans="1:11" x14ac:dyDescent="0.25">
      <c r="A16" s="224" t="s">
        <v>109</v>
      </c>
      <c r="B16" s="30">
        <v>500</v>
      </c>
      <c r="C16" s="225">
        <v>2.8E-3</v>
      </c>
      <c r="D16" s="25"/>
      <c r="E16" s="89" t="s">
        <v>108</v>
      </c>
      <c r="F16" s="30">
        <f t="shared" si="3"/>
        <v>500</v>
      </c>
      <c r="G16" s="30">
        <f t="shared" si="0"/>
        <v>0</v>
      </c>
      <c r="H16" s="236">
        <v>0</v>
      </c>
      <c r="I16" s="30">
        <f t="shared" si="4"/>
        <v>500</v>
      </c>
      <c r="J16" s="60">
        <f t="shared" si="1"/>
        <v>2.6620735585666782E-3</v>
      </c>
      <c r="K16" s="87">
        <f t="shared" si="2"/>
        <v>127428.13710146975</v>
      </c>
    </row>
    <row r="17" spans="1:11" x14ac:dyDescent="0.25">
      <c r="A17" s="232"/>
      <c r="B17" s="32"/>
      <c r="C17" s="233"/>
      <c r="D17" s="25"/>
      <c r="E17" s="44"/>
      <c r="F17" s="235">
        <f t="shared" si="3"/>
        <v>0</v>
      </c>
      <c r="G17" s="235">
        <f t="shared" si="0"/>
        <v>0</v>
      </c>
      <c r="H17" s="234"/>
      <c r="I17" s="235">
        <f t="shared" si="4"/>
        <v>0</v>
      </c>
      <c r="J17" s="60">
        <f t="shared" si="1"/>
        <v>0</v>
      </c>
      <c r="K17" s="87">
        <f t="shared" si="2"/>
        <v>0</v>
      </c>
    </row>
    <row r="18" spans="1:11" x14ac:dyDescent="0.25">
      <c r="A18" s="227" t="s">
        <v>18</v>
      </c>
      <c r="B18" s="35">
        <f>SUM(B3:B17)</f>
        <v>180020</v>
      </c>
      <c r="C18" s="228">
        <f>SUM(C3:C17)</f>
        <v>1.0001</v>
      </c>
      <c r="E18" s="45" t="s">
        <v>18</v>
      </c>
      <c r="F18" s="35">
        <f t="shared" ref="F18:K18" si="7">SUM(F3:F17)</f>
        <v>180020</v>
      </c>
      <c r="G18" s="35">
        <f t="shared" si="7"/>
        <v>7803.5101321585898</v>
      </c>
      <c r="H18" s="62">
        <f t="shared" si="7"/>
        <v>1968000</v>
      </c>
      <c r="I18" s="35">
        <f t="shared" si="7"/>
        <v>187823.51013215861</v>
      </c>
      <c r="J18" s="63">
        <f t="shared" si="7"/>
        <v>1</v>
      </c>
      <c r="K18" s="64">
        <f t="shared" si="7"/>
        <v>47868000</v>
      </c>
    </row>
    <row r="19" spans="1:11" ht="15.75" thickBot="1" x14ac:dyDescent="0.3">
      <c r="A19" s="229"/>
      <c r="B19" s="230"/>
      <c r="C19" s="231"/>
      <c r="E19" s="46"/>
      <c r="F19" s="47"/>
      <c r="G19" s="47"/>
      <c r="H19" s="47"/>
      <c r="I19" s="47"/>
      <c r="J19" s="47"/>
      <c r="K19" s="48"/>
    </row>
    <row r="20" spans="1:11" ht="15.75" thickBot="1" x14ac:dyDescent="0.3">
      <c r="A20" s="42"/>
    </row>
    <row r="21" spans="1:11" ht="16.5" thickBot="1" x14ac:dyDescent="0.3">
      <c r="A21" s="65" t="s">
        <v>67</v>
      </c>
      <c r="B21" s="66"/>
    </row>
    <row r="22" spans="1:11" x14ac:dyDescent="0.25">
      <c r="A22" s="56" t="s">
        <v>63</v>
      </c>
      <c r="B22" s="72"/>
      <c r="H22" s="99"/>
    </row>
    <row r="23" spans="1:11" x14ac:dyDescent="0.25">
      <c r="A23" s="67" t="s">
        <v>68</v>
      </c>
      <c r="B23" s="68">
        <f>B18</f>
        <v>180020</v>
      </c>
    </row>
    <row r="24" spans="1:11" x14ac:dyDescent="0.25">
      <c r="A24" s="69" t="s">
        <v>171</v>
      </c>
      <c r="B24" s="70">
        <v>45400000</v>
      </c>
      <c r="C24" s="93"/>
    </row>
    <row r="25" spans="1:11" x14ac:dyDescent="0.25">
      <c r="A25" s="67" t="s">
        <v>58</v>
      </c>
      <c r="B25" s="82">
        <f>B24/B23</f>
        <v>252.19420064437284</v>
      </c>
    </row>
    <row r="26" spans="1:11" x14ac:dyDescent="0.25">
      <c r="A26" s="67"/>
      <c r="B26" s="72"/>
    </row>
    <row r="27" spans="1:11" x14ac:dyDescent="0.25">
      <c r="A27" s="67" t="s">
        <v>60</v>
      </c>
      <c r="B27" s="70">
        <v>2468000</v>
      </c>
      <c r="C27" s="73"/>
    </row>
    <row r="28" spans="1:11" x14ac:dyDescent="0.25">
      <c r="A28" s="67" t="s">
        <v>61</v>
      </c>
      <c r="B28" s="74">
        <f>B27/B25</f>
        <v>9786.1092511013212</v>
      </c>
    </row>
    <row r="29" spans="1:11" x14ac:dyDescent="0.25">
      <c r="A29" s="67" t="s">
        <v>59</v>
      </c>
      <c r="B29" s="68">
        <f>B27+B24</f>
        <v>47868000</v>
      </c>
    </row>
    <row r="30" spans="1:11" x14ac:dyDescent="0.25">
      <c r="A30" s="67" t="s">
        <v>69</v>
      </c>
      <c r="B30" s="74">
        <f>B23+B28</f>
        <v>189806.10925110133</v>
      </c>
    </row>
    <row r="31" spans="1:11" ht="15.75" thickBot="1" x14ac:dyDescent="0.3">
      <c r="A31" s="75" t="s">
        <v>62</v>
      </c>
      <c r="B31" s="76">
        <f>B28/B30</f>
        <v>5.1558452410796353E-2</v>
      </c>
    </row>
    <row r="35" spans="3:7" x14ac:dyDescent="0.25">
      <c r="D35" s="27"/>
    </row>
    <row r="36" spans="3:7" x14ac:dyDescent="0.25">
      <c r="C36" s="88"/>
      <c r="D36" s="88"/>
    </row>
    <row r="40" spans="3:7" x14ac:dyDescent="0.25">
      <c r="G40" s="9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7D26-2CE3-4982-8758-33CC78A2FDAB}">
  <dimension ref="A1:K37"/>
  <sheetViews>
    <sheetView zoomScale="90" zoomScaleNormal="90" workbookViewId="0">
      <selection activeCell="E38" sqref="E38"/>
    </sheetView>
  </sheetViews>
  <sheetFormatPr baseColWidth="10" defaultRowHeight="15" x14ac:dyDescent="0.25"/>
  <cols>
    <col min="1" max="1" width="54" bestFit="1" customWidth="1"/>
    <col min="2" max="2" width="16.85546875" bestFit="1" customWidth="1"/>
    <col min="3" max="3" width="10.42578125" bestFit="1" customWidth="1"/>
    <col min="5" max="5" width="52.140625" customWidth="1"/>
    <col min="6" max="6" width="19" bestFit="1" customWidth="1"/>
    <col min="7" max="7" width="16.7109375" bestFit="1" customWidth="1"/>
    <col min="8" max="8" width="17" bestFit="1" customWidth="1"/>
    <col min="9" max="9" width="11.42578125" customWidth="1"/>
    <col min="10" max="10" width="16.42578125" customWidth="1"/>
    <col min="11" max="11" width="15.28515625" bestFit="1" customWidth="1"/>
  </cols>
  <sheetData>
    <row r="1" spans="1:11" x14ac:dyDescent="0.25">
      <c r="A1" s="54" t="s">
        <v>110</v>
      </c>
      <c r="B1" s="38"/>
      <c r="C1" s="39"/>
      <c r="E1" s="55" t="s">
        <v>99</v>
      </c>
      <c r="F1" s="38"/>
      <c r="G1" s="184"/>
      <c r="H1" s="216" t="s">
        <v>106</v>
      </c>
      <c r="I1" s="38"/>
      <c r="J1" s="38"/>
      <c r="K1" s="39"/>
    </row>
    <row r="2" spans="1:11" ht="30" x14ac:dyDescent="0.25">
      <c r="A2" s="40" t="s">
        <v>123</v>
      </c>
      <c r="B2" s="33" t="s">
        <v>10</v>
      </c>
      <c r="C2" s="41" t="s">
        <v>55</v>
      </c>
      <c r="E2" s="40" t="s">
        <v>124</v>
      </c>
      <c r="F2" s="33" t="s">
        <v>100</v>
      </c>
      <c r="G2" s="33" t="s">
        <v>101</v>
      </c>
      <c r="H2" s="33" t="s">
        <v>107</v>
      </c>
      <c r="I2" s="33" t="s">
        <v>64</v>
      </c>
      <c r="J2" s="34" t="s">
        <v>65</v>
      </c>
      <c r="K2" s="57" t="s">
        <v>66</v>
      </c>
    </row>
    <row r="3" spans="1:11" x14ac:dyDescent="0.25">
      <c r="A3" s="42" t="s">
        <v>9</v>
      </c>
      <c r="B3" s="30">
        <f>'Konvertibelt lån - 1 - 45.4'!I3</f>
        <v>64980</v>
      </c>
      <c r="C3" s="43">
        <f>'Konvertibelt lån - 1 - 45.4'!J3</f>
        <v>0.3459630796713255</v>
      </c>
      <c r="D3" s="91"/>
      <c r="E3" s="42" t="s">
        <v>9</v>
      </c>
      <c r="F3" s="30">
        <f>B3</f>
        <v>64980</v>
      </c>
      <c r="G3" s="30">
        <f t="shared" ref="G3:G16" si="0">H3/$B$24</f>
        <v>0</v>
      </c>
      <c r="H3" s="185">
        <v>0</v>
      </c>
      <c r="I3" s="30">
        <f>F3+G3</f>
        <v>64980</v>
      </c>
      <c r="J3" s="58">
        <f t="shared" ref="J3:J16" si="1">I3/$I$17</f>
        <v>0.33489816241104853</v>
      </c>
      <c r="K3" s="59">
        <f t="shared" ref="K3:K16" si="2">$B$28*J3</f>
        <v>7853361.9085390875</v>
      </c>
    </row>
    <row r="4" spans="1:11" x14ac:dyDescent="0.25">
      <c r="A4" s="42" t="s">
        <v>37</v>
      </c>
      <c r="B4" s="30">
        <f>'Konvertibelt lån - 1 - 45.4'!I4</f>
        <v>36733.898678414094</v>
      </c>
      <c r="C4" s="43">
        <f>'Konvertibelt lån - 1 - 45.4'!J4</f>
        <v>0.19557668074974721</v>
      </c>
      <c r="D4" s="91"/>
      <c r="E4" s="42" t="s">
        <v>37</v>
      </c>
      <c r="F4" s="30">
        <f t="shared" ref="F4:F16" si="3">B4</f>
        <v>36733.898678414094</v>
      </c>
      <c r="G4" s="30">
        <f t="shared" si="0"/>
        <v>6205.6225814589843</v>
      </c>
      <c r="H4" s="217">
        <v>750000</v>
      </c>
      <c r="I4" s="30">
        <f t="shared" ref="I4:I16" si="4">F4+G4</f>
        <v>42939.52125987308</v>
      </c>
      <c r="J4" s="58">
        <f t="shared" si="1"/>
        <v>0.22130450545924354</v>
      </c>
      <c r="K4" s="59">
        <f t="shared" si="2"/>
        <v>5189590.6530192615</v>
      </c>
    </row>
    <row r="5" spans="1:11" x14ac:dyDescent="0.25">
      <c r="A5" s="42" t="s">
        <v>38</v>
      </c>
      <c r="B5" s="30">
        <f>'Konvertibelt lån - 1 - 45.4'!I5</f>
        <v>29724</v>
      </c>
      <c r="C5" s="43">
        <f>'Konvertibelt lån - 1 - 45.4'!J5</f>
        <v>0.15825494890967187</v>
      </c>
      <c r="D5" s="91"/>
      <c r="E5" s="42" t="s">
        <v>38</v>
      </c>
      <c r="F5" s="30">
        <f t="shared" si="3"/>
        <v>29724</v>
      </c>
      <c r="G5" s="30">
        <f t="shared" si="0"/>
        <v>0</v>
      </c>
      <c r="H5" s="186">
        <v>0</v>
      </c>
      <c r="I5" s="30">
        <f t="shared" si="4"/>
        <v>29724</v>
      </c>
      <c r="J5" s="58">
        <f t="shared" si="1"/>
        <v>0.15319348998931989</v>
      </c>
      <c r="K5" s="59">
        <f t="shared" si="2"/>
        <v>3592387.3402495515</v>
      </c>
    </row>
    <row r="6" spans="1:11" x14ac:dyDescent="0.25">
      <c r="A6" s="42" t="s">
        <v>1</v>
      </c>
      <c r="B6" s="30">
        <f>'Konvertibelt lån - 1 - 45.4'!I6</f>
        <v>32634.009691629955</v>
      </c>
      <c r="C6" s="43">
        <f>'Konvertibelt lån - 1 - 45.4'!J6</f>
        <v>0.17374826862019363</v>
      </c>
      <c r="D6" s="91"/>
      <c r="E6" s="42" t="s">
        <v>1</v>
      </c>
      <c r="F6" s="30">
        <f t="shared" si="3"/>
        <v>32634.009691629955</v>
      </c>
      <c r="G6" s="30">
        <f t="shared" si="0"/>
        <v>0</v>
      </c>
      <c r="H6" s="186">
        <v>0</v>
      </c>
      <c r="I6" s="30">
        <f t="shared" si="4"/>
        <v>32634.009691629955</v>
      </c>
      <c r="J6" s="58">
        <f t="shared" si="1"/>
        <v>0.16819128774747955</v>
      </c>
      <c r="K6" s="59">
        <f t="shared" si="2"/>
        <v>3944085.6976783955</v>
      </c>
    </row>
    <row r="7" spans="1:11" x14ac:dyDescent="0.25">
      <c r="A7" s="42" t="s">
        <v>87</v>
      </c>
      <c r="B7" s="30">
        <f>'Konvertibelt lån - 1 - 45.4'!I7</f>
        <v>12000</v>
      </c>
      <c r="C7" s="43">
        <f>'Konvertibelt lån - 1 - 45.4'!J7</f>
        <v>6.3889765405600277E-2</v>
      </c>
      <c r="D7" s="91"/>
      <c r="E7" s="42" t="s">
        <v>87</v>
      </c>
      <c r="F7" s="30">
        <f t="shared" si="3"/>
        <v>12000</v>
      </c>
      <c r="G7" s="30">
        <f t="shared" si="0"/>
        <v>0</v>
      </c>
      <c r="H7" s="186">
        <v>0</v>
      </c>
      <c r="I7" s="30">
        <f t="shared" si="4"/>
        <v>12000</v>
      </c>
      <c r="J7" s="58">
        <f t="shared" si="1"/>
        <v>6.1846382716721798E-2</v>
      </c>
      <c r="K7" s="59">
        <f t="shared" si="2"/>
        <v>1450297.6747071261</v>
      </c>
    </row>
    <row r="8" spans="1:11" x14ac:dyDescent="0.25">
      <c r="A8" s="42" t="s">
        <v>3</v>
      </c>
      <c r="B8" s="30">
        <f>'Konvertibelt lån - 1 - 45.4'!I8</f>
        <v>4952.2995594713657</v>
      </c>
      <c r="C8" s="43">
        <f>'Konvertibelt lån - 1 - 45.4'!J8</f>
        <v>2.636677142274026E-2</v>
      </c>
      <c r="D8" s="91"/>
      <c r="E8" s="42" t="s">
        <v>3</v>
      </c>
      <c r="F8" s="30">
        <f t="shared" si="3"/>
        <v>4952.2995594713657</v>
      </c>
      <c r="G8" s="30">
        <f t="shared" si="0"/>
        <v>0</v>
      </c>
      <c r="H8" s="186">
        <v>0</v>
      </c>
      <c r="I8" s="30">
        <f t="shared" si="4"/>
        <v>4952.2995594713657</v>
      </c>
      <c r="J8" s="58">
        <f t="shared" si="1"/>
        <v>2.5523484490243237E-2</v>
      </c>
      <c r="K8" s="59">
        <f t="shared" si="2"/>
        <v>598525.7112962039</v>
      </c>
    </row>
    <row r="9" spans="1:11" x14ac:dyDescent="0.25">
      <c r="A9" s="24" t="s">
        <v>2</v>
      </c>
      <c r="B9" s="30">
        <f>'Konvertibelt lån - 1 - 45.4'!I9</f>
        <v>2695</v>
      </c>
      <c r="C9" s="43">
        <f>'Konvertibelt lån - 1 - 45.4'!J9</f>
        <v>1.4348576480674394E-2</v>
      </c>
      <c r="D9" s="91"/>
      <c r="E9" s="42" t="s">
        <v>2</v>
      </c>
      <c r="F9" s="30">
        <f t="shared" si="3"/>
        <v>2695</v>
      </c>
      <c r="G9" s="30">
        <f t="shared" si="0"/>
        <v>0</v>
      </c>
      <c r="H9" s="186">
        <v>0</v>
      </c>
      <c r="I9" s="30">
        <f t="shared" si="4"/>
        <v>2695</v>
      </c>
      <c r="J9" s="58">
        <f t="shared" si="1"/>
        <v>1.3889666785130437E-2</v>
      </c>
      <c r="K9" s="59">
        <f t="shared" si="2"/>
        <v>325712.68611130875</v>
      </c>
    </row>
    <row r="10" spans="1:11" x14ac:dyDescent="0.25">
      <c r="A10" s="42" t="s">
        <v>72</v>
      </c>
      <c r="B10" s="30">
        <f>'Konvertibelt lån - 1 - 45.4'!I10</f>
        <v>916.51982378854632</v>
      </c>
      <c r="C10" s="43">
        <f>'Konvertibelt lån - 1 - 45.4'!J10</f>
        <v>4.8796863776193605E-3</v>
      </c>
      <c r="D10" s="91"/>
      <c r="E10" s="42" t="s">
        <v>102</v>
      </c>
      <c r="F10" s="30">
        <f t="shared" si="3"/>
        <v>916.51982378854632</v>
      </c>
      <c r="G10" s="30">
        <f t="shared" si="0"/>
        <v>0</v>
      </c>
      <c r="H10" s="187">
        <v>0</v>
      </c>
      <c r="I10" s="30">
        <f t="shared" si="4"/>
        <v>916.51982378854632</v>
      </c>
      <c r="J10" s="58">
        <f t="shared" si="1"/>
        <v>4.7236196491240714E-3</v>
      </c>
      <c r="K10" s="59">
        <f t="shared" si="2"/>
        <v>110768.88077195948</v>
      </c>
    </row>
    <row r="11" spans="1:11" x14ac:dyDescent="0.25">
      <c r="A11" s="42" t="s">
        <v>86</v>
      </c>
      <c r="B11" s="30">
        <f>'Konvertibelt lån - 1 - 45.4'!I11</f>
        <v>320</v>
      </c>
      <c r="C11" s="43">
        <f>'Konvertibelt lån - 1 - 45.4'!J11</f>
        <v>1.7037270774826741E-3</v>
      </c>
      <c r="D11" s="91"/>
      <c r="E11" s="42" t="s">
        <v>103</v>
      </c>
      <c r="F11" s="30">
        <f t="shared" si="3"/>
        <v>320</v>
      </c>
      <c r="G11" s="30">
        <f t="shared" si="0"/>
        <v>0</v>
      </c>
      <c r="H11" s="187">
        <v>0</v>
      </c>
      <c r="I11" s="30">
        <f t="shared" si="4"/>
        <v>320</v>
      </c>
      <c r="J11" s="58">
        <f t="shared" si="1"/>
        <v>1.6492368724459147E-3</v>
      </c>
      <c r="K11" s="59">
        <f t="shared" si="2"/>
        <v>38674.604658856697</v>
      </c>
    </row>
    <row r="12" spans="1:11" x14ac:dyDescent="0.25">
      <c r="A12" s="42" t="s">
        <v>73</v>
      </c>
      <c r="B12" s="30">
        <f>'Konvertibelt lån - 1 - 45.4'!I12</f>
        <v>596.51982378854632</v>
      </c>
      <c r="C12" s="43">
        <f>'Konvertibelt lån - 1 - 45.4'!J12</f>
        <v>3.1759593001366867E-3</v>
      </c>
      <c r="D12" s="91"/>
      <c r="E12" s="42" t="s">
        <v>104</v>
      </c>
      <c r="F12" s="30">
        <f t="shared" si="3"/>
        <v>596.51982378854632</v>
      </c>
      <c r="G12" s="30">
        <f t="shared" si="0"/>
        <v>0</v>
      </c>
      <c r="H12" s="187">
        <v>0</v>
      </c>
      <c r="I12" s="30">
        <f t="shared" si="4"/>
        <v>596.51982378854632</v>
      </c>
      <c r="J12" s="58">
        <f t="shared" si="1"/>
        <v>3.0743827766781568E-3</v>
      </c>
      <c r="K12" s="59">
        <f t="shared" si="2"/>
        <v>72094.27611310278</v>
      </c>
    </row>
    <row r="13" spans="1:11" x14ac:dyDescent="0.25">
      <c r="A13" s="24" t="s">
        <v>74</v>
      </c>
      <c r="B13" s="30">
        <f>'Konvertibelt lån - 1 - 45.4'!I13</f>
        <v>716.51982378854632</v>
      </c>
      <c r="C13" s="43">
        <f>'Konvertibelt lån - 1 - 45.4'!J13</f>
        <v>3.8148569541926894E-3</v>
      </c>
      <c r="D13" s="91"/>
      <c r="E13" s="42" t="s">
        <v>105</v>
      </c>
      <c r="F13" s="30">
        <f t="shared" si="3"/>
        <v>716.51982378854632</v>
      </c>
      <c r="G13" s="30">
        <f t="shared" si="0"/>
        <v>0</v>
      </c>
      <c r="H13" s="187">
        <v>0</v>
      </c>
      <c r="I13" s="30">
        <f t="shared" si="4"/>
        <v>716.51982378854632</v>
      </c>
      <c r="J13" s="58">
        <f t="shared" si="1"/>
        <v>3.6928466038453748E-3</v>
      </c>
      <c r="K13" s="59">
        <f t="shared" si="2"/>
        <v>86597.252860174034</v>
      </c>
    </row>
    <row r="14" spans="1:11" x14ac:dyDescent="0.25">
      <c r="A14" t="s">
        <v>180</v>
      </c>
      <c r="B14" s="30">
        <f>'Konvertibelt lån - 1 - 45.4'!I14</f>
        <v>0</v>
      </c>
      <c r="C14" s="43">
        <f>'Konvertibelt lån - 1 - 45.4'!J14</f>
        <v>0</v>
      </c>
      <c r="D14" s="91"/>
      <c r="E14" s="42" t="s">
        <v>183</v>
      </c>
      <c r="F14" s="30">
        <f t="shared" si="3"/>
        <v>0</v>
      </c>
      <c r="G14" s="30">
        <f t="shared" si="0"/>
        <v>0</v>
      </c>
      <c r="H14" s="187">
        <v>0</v>
      </c>
      <c r="I14" s="30">
        <f t="shared" si="4"/>
        <v>0</v>
      </c>
      <c r="J14" s="58">
        <f t="shared" si="1"/>
        <v>0</v>
      </c>
      <c r="K14" s="59">
        <f t="shared" si="2"/>
        <v>0</v>
      </c>
    </row>
    <row r="15" spans="1:11" x14ac:dyDescent="0.25">
      <c r="A15" t="s">
        <v>179</v>
      </c>
      <c r="B15" s="30">
        <f>'Konvertibelt lån - 1 - 45.4'!I15</f>
        <v>1054.742731277533</v>
      </c>
      <c r="C15" s="43">
        <f>'Konvertibelt lån - 1 - 45.4'!J15</f>
        <v>5.6156054720486398E-3</v>
      </c>
      <c r="D15" s="91"/>
      <c r="E15" s="42" t="s">
        <v>181</v>
      </c>
      <c r="F15" s="30">
        <f t="shared" si="3"/>
        <v>1054.742731277533</v>
      </c>
      <c r="G15" s="30">
        <f t="shared" si="0"/>
        <v>0</v>
      </c>
      <c r="H15" s="187">
        <v>0</v>
      </c>
      <c r="I15" s="30">
        <f t="shared" si="4"/>
        <v>1054.742731277533</v>
      </c>
      <c r="J15" s="58">
        <f t="shared" si="1"/>
        <v>5.4360018855225635E-3</v>
      </c>
      <c r="K15" s="59">
        <f t="shared" si="2"/>
        <v>127474.24421550411</v>
      </c>
    </row>
    <row r="16" spans="1:11" x14ac:dyDescent="0.25">
      <c r="A16" t="s">
        <v>109</v>
      </c>
      <c r="B16" s="30">
        <f>'Konvertibelt lån - 1 - 45.4'!I16</f>
        <v>500</v>
      </c>
      <c r="C16" s="43">
        <f>'Konvertibelt lån - 1 - 45.4'!J16</f>
        <v>2.6620735585666782E-3</v>
      </c>
      <c r="D16" s="91"/>
      <c r="E16" s="89" t="s">
        <v>182</v>
      </c>
      <c r="F16" s="32">
        <f t="shared" si="3"/>
        <v>500</v>
      </c>
      <c r="G16" s="32">
        <f t="shared" si="0"/>
        <v>0</v>
      </c>
      <c r="H16" s="188">
        <v>0</v>
      </c>
      <c r="I16" s="32">
        <f t="shared" si="4"/>
        <v>500</v>
      </c>
      <c r="J16" s="60">
        <f t="shared" si="1"/>
        <v>2.5769326131967417E-3</v>
      </c>
      <c r="K16" s="87">
        <f t="shared" si="2"/>
        <v>60429.069779463593</v>
      </c>
    </row>
    <row r="17" spans="1:11" x14ac:dyDescent="0.25">
      <c r="A17" s="45" t="s">
        <v>18</v>
      </c>
      <c r="B17" s="35">
        <f>SUM(B3:B16)</f>
        <v>187823.51013215861</v>
      </c>
      <c r="C17" s="61">
        <f>SUM(C3:C16)</f>
        <v>1</v>
      </c>
      <c r="E17" s="45" t="s">
        <v>18</v>
      </c>
      <c r="F17" s="35">
        <f t="shared" ref="F17:K17" si="5">SUM(F3:F16)</f>
        <v>187823.51013215861</v>
      </c>
      <c r="G17" s="35">
        <f t="shared" si="5"/>
        <v>6205.6225814589843</v>
      </c>
      <c r="H17" s="62">
        <f t="shared" si="5"/>
        <v>750000</v>
      </c>
      <c r="I17" s="35">
        <f t="shared" si="5"/>
        <v>194029.13271361761</v>
      </c>
      <c r="J17" s="63">
        <f t="shared" si="5"/>
        <v>0.99999999999999978</v>
      </c>
      <c r="K17" s="64">
        <f t="shared" si="5"/>
        <v>23449999.999999996</v>
      </c>
    </row>
    <row r="18" spans="1:11" ht="15.75" thickBot="1" x14ac:dyDescent="0.3">
      <c r="A18" s="46"/>
      <c r="B18" s="47"/>
      <c r="C18" s="48"/>
      <c r="E18" s="46"/>
      <c r="F18" s="47"/>
      <c r="G18" s="47"/>
      <c r="H18" s="47"/>
      <c r="I18" s="47"/>
      <c r="J18" s="47"/>
      <c r="K18" s="48"/>
    </row>
    <row r="19" spans="1:11" ht="15.75" thickBot="1" x14ac:dyDescent="0.3">
      <c r="A19" s="42"/>
      <c r="F19" s="30"/>
      <c r="K19" s="88"/>
    </row>
    <row r="20" spans="1:11" ht="16.5" thickBot="1" x14ac:dyDescent="0.3">
      <c r="A20" s="65" t="s">
        <v>67</v>
      </c>
      <c r="B20" s="66"/>
      <c r="F20" s="30"/>
    </row>
    <row r="21" spans="1:11" x14ac:dyDescent="0.25">
      <c r="A21" s="56" t="s">
        <v>63</v>
      </c>
      <c r="B21" s="72"/>
      <c r="F21" s="30"/>
      <c r="K21" s="88"/>
    </row>
    <row r="22" spans="1:11" x14ac:dyDescent="0.25">
      <c r="A22" s="67" t="s">
        <v>68</v>
      </c>
      <c r="B22" s="68">
        <f>B17</f>
        <v>187823.51013215861</v>
      </c>
      <c r="F22" s="30"/>
      <c r="K22" s="88"/>
    </row>
    <row r="23" spans="1:11" x14ac:dyDescent="0.25">
      <c r="A23" s="69" t="s">
        <v>57</v>
      </c>
      <c r="B23" s="70">
        <v>22700000</v>
      </c>
      <c r="C23" s="93"/>
      <c r="F23" s="30"/>
      <c r="K23" s="88"/>
    </row>
    <row r="24" spans="1:11" x14ac:dyDescent="0.25">
      <c r="A24" s="67" t="s">
        <v>58</v>
      </c>
      <c r="B24" s="82">
        <f>B23/B22</f>
        <v>120.85813955892719</v>
      </c>
      <c r="F24" s="30"/>
      <c r="K24" s="88"/>
    </row>
    <row r="25" spans="1:11" x14ac:dyDescent="0.25">
      <c r="A25" s="67"/>
      <c r="B25" s="72"/>
      <c r="F25" s="30"/>
      <c r="K25" s="88"/>
    </row>
    <row r="26" spans="1:11" x14ac:dyDescent="0.25">
      <c r="A26" s="67" t="s">
        <v>60</v>
      </c>
      <c r="B26" s="70">
        <v>750000</v>
      </c>
      <c r="C26" s="73"/>
      <c r="F26" s="30"/>
      <c r="K26" s="88"/>
    </row>
    <row r="27" spans="1:11" x14ac:dyDescent="0.25">
      <c r="A27" s="67" t="s">
        <v>61</v>
      </c>
      <c r="B27" s="74">
        <f>B26/B24</f>
        <v>6205.6225814589843</v>
      </c>
      <c r="F27" s="30"/>
      <c r="K27" s="88"/>
    </row>
    <row r="28" spans="1:11" x14ac:dyDescent="0.25">
      <c r="A28" s="67" t="s">
        <v>59</v>
      </c>
      <c r="B28" s="68">
        <f>B26+B23</f>
        <v>23450000</v>
      </c>
      <c r="F28" s="30"/>
    </row>
    <row r="29" spans="1:11" x14ac:dyDescent="0.25">
      <c r="A29" s="67" t="s">
        <v>69</v>
      </c>
      <c r="B29" s="74">
        <f>B22+B27</f>
        <v>194029.13271361758</v>
      </c>
      <c r="F29" s="30"/>
    </row>
    <row r="30" spans="1:11" ht="15.75" thickBot="1" x14ac:dyDescent="0.3">
      <c r="A30" s="75" t="s">
        <v>62</v>
      </c>
      <c r="B30" s="76">
        <f>B27/B29</f>
        <v>3.1982942430703626E-2</v>
      </c>
      <c r="F30" s="30"/>
    </row>
    <row r="31" spans="1:11" x14ac:dyDescent="0.25">
      <c r="F31" s="30"/>
    </row>
    <row r="32" spans="1:11" x14ac:dyDescent="0.25">
      <c r="F32" s="30"/>
    </row>
    <row r="33" spans="3:6" x14ac:dyDescent="0.25">
      <c r="D33" s="27"/>
      <c r="F33" s="30"/>
    </row>
    <row r="34" spans="3:6" x14ac:dyDescent="0.25">
      <c r="C34" s="88"/>
      <c r="D34" s="88"/>
      <c r="F34" s="30"/>
    </row>
    <row r="35" spans="3:6" x14ac:dyDescent="0.25">
      <c r="F35" s="30"/>
    </row>
    <row r="36" spans="3:6" x14ac:dyDescent="0.25">
      <c r="F36" s="30"/>
    </row>
    <row r="37" spans="3:6" x14ac:dyDescent="0.25">
      <c r="F37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0804-F70B-4316-9DBE-3C51D7F6F68A}">
  <dimension ref="A1:K35"/>
  <sheetViews>
    <sheetView workbookViewId="0">
      <selection sqref="A1:K35"/>
    </sheetView>
  </sheetViews>
  <sheetFormatPr baseColWidth="10" defaultRowHeight="15" x14ac:dyDescent="0.25"/>
  <cols>
    <col min="1" max="1" width="54" bestFit="1" customWidth="1"/>
    <col min="2" max="2" width="16.85546875" bestFit="1" customWidth="1"/>
    <col min="3" max="3" width="10.42578125" bestFit="1" customWidth="1"/>
    <col min="5" max="5" width="52.140625" bestFit="1" customWidth="1"/>
    <col min="7" max="7" width="16.140625" bestFit="1" customWidth="1"/>
    <col min="8" max="8" width="17" bestFit="1" customWidth="1"/>
    <col min="10" max="10" width="14.7109375" bestFit="1" customWidth="1"/>
    <col min="11" max="11" width="13.42578125" bestFit="1" customWidth="1"/>
  </cols>
  <sheetData>
    <row r="1" spans="1:11" x14ac:dyDescent="0.25">
      <c r="A1" s="54" t="s">
        <v>110</v>
      </c>
      <c r="B1" s="38"/>
      <c r="C1" s="39"/>
      <c r="E1" s="195" t="s">
        <v>99</v>
      </c>
      <c r="F1" s="148"/>
      <c r="G1" s="196"/>
      <c r="H1" s="237" t="s">
        <v>106</v>
      </c>
      <c r="I1" s="148"/>
      <c r="J1" s="148"/>
      <c r="K1" s="150"/>
    </row>
    <row r="2" spans="1:11" ht="30" x14ac:dyDescent="0.25">
      <c r="A2" s="40" t="s">
        <v>177</v>
      </c>
      <c r="B2" s="33" t="s">
        <v>10</v>
      </c>
      <c r="C2" s="41" t="s">
        <v>55</v>
      </c>
      <c r="E2" s="197" t="s">
        <v>178</v>
      </c>
      <c r="F2" s="33" t="s">
        <v>100</v>
      </c>
      <c r="G2" s="33" t="s">
        <v>101</v>
      </c>
      <c r="H2" s="33" t="s">
        <v>107</v>
      </c>
      <c r="I2" s="33" t="s">
        <v>64</v>
      </c>
      <c r="J2" s="34" t="s">
        <v>65</v>
      </c>
      <c r="K2" s="198" t="s">
        <v>66</v>
      </c>
    </row>
    <row r="3" spans="1:11" x14ac:dyDescent="0.25">
      <c r="A3" s="42" t="s">
        <v>9</v>
      </c>
      <c r="B3" s="30">
        <f>'Konvertibelt lån - 1 - 45.4'!I3</f>
        <v>64980</v>
      </c>
      <c r="C3" s="43">
        <f>'Konvertibelt lån - 2 - 22.7'!J3</f>
        <v>0.33489816241104853</v>
      </c>
      <c r="D3" s="91"/>
      <c r="E3" s="138" t="s">
        <v>9</v>
      </c>
      <c r="F3" s="30">
        <f>B3</f>
        <v>64980</v>
      </c>
      <c r="G3" s="30">
        <f t="shared" ref="G3:G21" si="0">H3/$B$29</f>
        <v>0</v>
      </c>
      <c r="H3" s="185">
        <v>0</v>
      </c>
      <c r="I3" s="30">
        <f>F3+G3</f>
        <v>64980</v>
      </c>
      <c r="J3" s="58">
        <f t="shared" ref="J3:J21" si="1">I3/$I$22</f>
        <v>0.33280062787233</v>
      </c>
      <c r="K3" s="199">
        <f t="shared" ref="K3:K21" si="2">$B$33*J3</f>
        <v>15059228.411222933</v>
      </c>
    </row>
    <row r="4" spans="1:11" x14ac:dyDescent="0.25">
      <c r="A4" s="42" t="s">
        <v>37</v>
      </c>
      <c r="B4" s="30">
        <f>'Konvertibelt lån - 1 - 45.4'!I4</f>
        <v>36733.898678414094</v>
      </c>
      <c r="C4" s="43">
        <f>'Konvertibelt lån - 2 - 22.7'!J4</f>
        <v>0.22130450545924354</v>
      </c>
      <c r="D4" s="91"/>
      <c r="E4" s="138" t="s">
        <v>37</v>
      </c>
      <c r="F4" s="30">
        <f t="shared" ref="F4:F16" si="3">B4</f>
        <v>36733.898678414094</v>
      </c>
      <c r="G4" s="30">
        <f t="shared" si="0"/>
        <v>1266.2259110033165</v>
      </c>
      <c r="H4" s="217">
        <f>'Komitert Kap oversikt'!E22</f>
        <v>300000</v>
      </c>
      <c r="I4" s="30">
        <f t="shared" ref="I4:I21" si="4">F4+G4</f>
        <v>38000.124589417414</v>
      </c>
      <c r="J4" s="58">
        <f t="shared" si="1"/>
        <v>0.19462088831309451</v>
      </c>
      <c r="K4" s="199">
        <f t="shared" si="2"/>
        <v>8806595.1961675268</v>
      </c>
    </row>
    <row r="5" spans="1:11" x14ac:dyDescent="0.25">
      <c r="A5" s="42" t="s">
        <v>38</v>
      </c>
      <c r="B5" s="30">
        <f>'Konvertibelt lån - 1 - 45.4'!I5</f>
        <v>29724</v>
      </c>
      <c r="C5" s="43">
        <f>'Konvertibelt lån - 2 - 22.7'!J5</f>
        <v>0.15319348998931989</v>
      </c>
      <c r="D5" s="91"/>
      <c r="E5" s="138" t="s">
        <v>38</v>
      </c>
      <c r="F5" s="30">
        <f t="shared" si="3"/>
        <v>29724</v>
      </c>
      <c r="G5" s="30">
        <f t="shared" si="0"/>
        <v>0</v>
      </c>
      <c r="H5" s="186">
        <v>0</v>
      </c>
      <c r="I5" s="30">
        <f t="shared" si="4"/>
        <v>29724</v>
      </c>
      <c r="J5" s="58">
        <f t="shared" si="1"/>
        <v>0.15223400835452658</v>
      </c>
      <c r="K5" s="199">
        <f t="shared" si="2"/>
        <v>6888588.8780423272</v>
      </c>
    </row>
    <row r="6" spans="1:11" x14ac:dyDescent="0.25">
      <c r="A6" s="42" t="s">
        <v>1</v>
      </c>
      <c r="B6" s="30">
        <f>'Konvertibelt lån - 1 - 45.4'!I6</f>
        <v>32634.009691629955</v>
      </c>
      <c r="C6" s="43">
        <f>'Konvertibelt lån - 2 - 22.7'!J6</f>
        <v>0.16819128774747955</v>
      </c>
      <c r="D6" s="91"/>
      <c r="E6" s="138" t="s">
        <v>1</v>
      </c>
      <c r="F6" s="30">
        <f t="shared" si="3"/>
        <v>32634.009691629955</v>
      </c>
      <c r="G6" s="30">
        <f t="shared" si="0"/>
        <v>2110.3765183388609</v>
      </c>
      <c r="H6" s="217">
        <f>'Komitert Kap oversikt'!E20</f>
        <v>500000</v>
      </c>
      <c r="I6" s="30">
        <f t="shared" si="4"/>
        <v>34744.386209968819</v>
      </c>
      <c r="J6" s="58">
        <f t="shared" si="1"/>
        <v>0.17794634573278467</v>
      </c>
      <c r="K6" s="199">
        <f t="shared" si="2"/>
        <v>8052072.1444085063</v>
      </c>
    </row>
    <row r="7" spans="1:11" x14ac:dyDescent="0.25">
      <c r="A7" s="42" t="s">
        <v>87</v>
      </c>
      <c r="B7" s="30">
        <f>'Konvertibelt lån - 1 - 45.4'!I7</f>
        <v>12000</v>
      </c>
      <c r="C7" s="43">
        <f>'Konvertibelt lån - 2 - 22.7'!J7</f>
        <v>6.1846382716721798E-2</v>
      </c>
      <c r="D7" s="91"/>
      <c r="E7" s="138" t="s">
        <v>87</v>
      </c>
      <c r="F7" s="30">
        <f t="shared" si="3"/>
        <v>12000</v>
      </c>
      <c r="G7" s="30">
        <f t="shared" si="0"/>
        <v>0</v>
      </c>
      <c r="H7" s="186">
        <v>0</v>
      </c>
      <c r="I7" s="30">
        <f t="shared" si="4"/>
        <v>12000</v>
      </c>
      <c r="J7" s="58">
        <f t="shared" si="1"/>
        <v>6.1459026384548476E-2</v>
      </c>
      <c r="K7" s="199">
        <f t="shared" si="2"/>
        <v>2781020.9439008185</v>
      </c>
    </row>
    <row r="8" spans="1:11" x14ac:dyDescent="0.25">
      <c r="A8" s="42" t="s">
        <v>3</v>
      </c>
      <c r="B8" s="30">
        <f>'Konvertibelt lån - 1 - 45.4'!I8</f>
        <v>4952.2995594713657</v>
      </c>
      <c r="C8" s="43">
        <f>'Konvertibelt lån - 2 - 22.7'!J8</f>
        <v>2.5523484490243237E-2</v>
      </c>
      <c r="D8" s="91"/>
      <c r="E8" s="138" t="s">
        <v>3</v>
      </c>
      <c r="F8" s="30">
        <f t="shared" si="3"/>
        <v>4952.2995594713657</v>
      </c>
      <c r="G8" s="30">
        <f t="shared" si="0"/>
        <v>1266.2259110033165</v>
      </c>
      <c r="H8" s="217">
        <f>'Komitert Kap oversikt'!E21</f>
        <v>300000</v>
      </c>
      <c r="I8" s="30">
        <f t="shared" si="4"/>
        <v>6218.5254704746822</v>
      </c>
      <c r="J8" s="58">
        <f t="shared" si="1"/>
        <v>3.1848710080240851E-2</v>
      </c>
      <c r="K8" s="199">
        <f t="shared" si="2"/>
        <v>1441154.1311308986</v>
      </c>
    </row>
    <row r="9" spans="1:11" x14ac:dyDescent="0.25">
      <c r="A9" s="24" t="s">
        <v>2</v>
      </c>
      <c r="B9" s="30">
        <f>'Konvertibelt lån - 1 - 45.4'!I9</f>
        <v>2695</v>
      </c>
      <c r="C9" s="43">
        <f>'Konvertibelt lån - 2 - 22.7'!J9</f>
        <v>1.3889666785130437E-2</v>
      </c>
      <c r="D9" s="91"/>
      <c r="E9" s="138" t="s">
        <v>2</v>
      </c>
      <c r="F9" s="30">
        <f t="shared" si="3"/>
        <v>2695</v>
      </c>
      <c r="G9" s="30">
        <f t="shared" si="0"/>
        <v>0</v>
      </c>
      <c r="H9" s="186">
        <v>0</v>
      </c>
      <c r="I9" s="30">
        <f t="shared" si="4"/>
        <v>2695</v>
      </c>
      <c r="J9" s="58">
        <f t="shared" si="1"/>
        <v>1.3802673008863179E-2</v>
      </c>
      <c r="K9" s="199">
        <f t="shared" si="2"/>
        <v>624570.95365105884</v>
      </c>
    </row>
    <row r="10" spans="1:11" x14ac:dyDescent="0.25">
      <c r="A10" s="42" t="s">
        <v>72</v>
      </c>
      <c r="B10" s="30">
        <f>'Konvertibelt lån - 1 - 45.4'!I10</f>
        <v>916.51982378854632</v>
      </c>
      <c r="C10" s="43">
        <f>'Konvertibelt lån - 2 - 22.7'!J10</f>
        <v>4.7236196491240714E-3</v>
      </c>
      <c r="D10" s="91"/>
      <c r="E10" s="138" t="s">
        <v>102</v>
      </c>
      <c r="F10" s="30">
        <f t="shared" si="3"/>
        <v>916.51982378854632</v>
      </c>
      <c r="G10" s="30">
        <f t="shared" si="0"/>
        <v>337.66024293421771</v>
      </c>
      <c r="H10" s="217">
        <f>'Komitert Kap oversikt'!E24</f>
        <v>80000</v>
      </c>
      <c r="I10" s="30">
        <f t="shared" si="4"/>
        <v>1254.180066722764</v>
      </c>
      <c r="J10" s="58">
        <f t="shared" si="1"/>
        <v>6.4233904843074268E-3</v>
      </c>
      <c r="K10" s="199">
        <f t="shared" si="2"/>
        <v>290658.41941491107</v>
      </c>
    </row>
    <row r="11" spans="1:11" x14ac:dyDescent="0.25">
      <c r="A11" s="42" t="s">
        <v>86</v>
      </c>
      <c r="B11" s="30">
        <f>'Konvertibelt lån - 1 - 45.4'!I11</f>
        <v>320</v>
      </c>
      <c r="C11" s="43">
        <f>'Konvertibelt lån - 2 - 22.7'!J11</f>
        <v>1.6492368724459147E-3</v>
      </c>
      <c r="D11" s="91"/>
      <c r="E11" s="138" t="s">
        <v>103</v>
      </c>
      <c r="F11" s="30">
        <f t="shared" si="3"/>
        <v>320</v>
      </c>
      <c r="G11" s="30">
        <f t="shared" si="0"/>
        <v>253.24518220066329</v>
      </c>
      <c r="H11" s="217">
        <f>'Komitert Kap oversikt'!E27</f>
        <v>60000</v>
      </c>
      <c r="I11" s="30">
        <f t="shared" si="4"/>
        <v>573.24518220066329</v>
      </c>
      <c r="J11" s="58">
        <f t="shared" si="1"/>
        <v>2.9359242314738222E-3</v>
      </c>
      <c r="K11" s="199">
        <f t="shared" si="2"/>
        <v>132850.57147419045</v>
      </c>
    </row>
    <row r="12" spans="1:11" x14ac:dyDescent="0.25">
      <c r="A12" s="42" t="s">
        <v>73</v>
      </c>
      <c r="B12" s="30">
        <f>'Konvertibelt lån - 1 - 45.4'!I12</f>
        <v>596.51982378854632</v>
      </c>
      <c r="C12" s="43">
        <f>'Konvertibelt lån - 2 - 22.7'!J12</f>
        <v>3.0743827766781568E-3</v>
      </c>
      <c r="D12" s="91"/>
      <c r="E12" s="138" t="s">
        <v>104</v>
      </c>
      <c r="F12" s="30">
        <f t="shared" si="3"/>
        <v>596.51982378854632</v>
      </c>
      <c r="G12" s="30">
        <f t="shared" si="0"/>
        <v>253.24518220066329</v>
      </c>
      <c r="H12" s="217">
        <f>'Komitert Kap oversikt'!E25</f>
        <v>60000</v>
      </c>
      <c r="I12" s="30">
        <f t="shared" si="4"/>
        <v>849.76500598920961</v>
      </c>
      <c r="J12" s="58">
        <f t="shared" si="1"/>
        <v>4.3521441603130689E-3</v>
      </c>
      <c r="K12" s="199">
        <f t="shared" si="2"/>
        <v>196934.52325416636</v>
      </c>
    </row>
    <row r="13" spans="1:11" x14ac:dyDescent="0.25">
      <c r="A13" s="24" t="s">
        <v>74</v>
      </c>
      <c r="B13" s="30">
        <f>'Konvertibelt lån - 1 - 45.4'!I13</f>
        <v>716.51982378854632</v>
      </c>
      <c r="C13" s="43">
        <f>'Konvertibelt lån - 2 - 22.7'!J13</f>
        <v>3.6928466038453748E-3</v>
      </c>
      <c r="D13" s="91"/>
      <c r="E13" s="138" t="s">
        <v>105</v>
      </c>
      <c r="F13" s="30">
        <f t="shared" si="3"/>
        <v>716.51982378854632</v>
      </c>
      <c r="G13" s="30">
        <f t="shared" si="0"/>
        <v>253.24518220066329</v>
      </c>
      <c r="H13" s="217">
        <f>'Komitert Kap oversikt'!E26</f>
        <v>60000</v>
      </c>
      <c r="I13" s="30">
        <f t="shared" si="4"/>
        <v>969.76500598920961</v>
      </c>
      <c r="J13" s="58">
        <f t="shared" si="1"/>
        <v>4.9667344241585542E-3</v>
      </c>
      <c r="K13" s="199">
        <f t="shared" si="2"/>
        <v>224744.73269317456</v>
      </c>
    </row>
    <row r="14" spans="1:11" x14ac:dyDescent="0.25">
      <c r="A14" t="s">
        <v>180</v>
      </c>
      <c r="B14" s="30">
        <f>'Konvertibelt lån - 1 - 45.4'!I14</f>
        <v>0</v>
      </c>
      <c r="C14" s="43">
        <f>'Konvertibelt lån - 2 - 22.7'!C14</f>
        <v>0</v>
      </c>
      <c r="D14" s="91"/>
      <c r="E14" s="138" t="s">
        <v>121</v>
      </c>
      <c r="F14" s="30">
        <f t="shared" si="3"/>
        <v>0</v>
      </c>
      <c r="G14" s="30">
        <f t="shared" si="0"/>
        <v>1266.2259110033165</v>
      </c>
      <c r="H14" s="217">
        <f>'Komitert Kap oversikt'!E31</f>
        <v>300000</v>
      </c>
      <c r="I14" s="30">
        <f t="shared" si="4"/>
        <v>1266.2259110033165</v>
      </c>
      <c r="J14" s="58">
        <f t="shared" si="1"/>
        <v>6.4850843060959805E-3</v>
      </c>
      <c r="K14" s="199">
        <f t="shared" si="2"/>
        <v>293450.0648508431</v>
      </c>
    </row>
    <row r="15" spans="1:11" x14ac:dyDescent="0.25">
      <c r="A15" t="s">
        <v>179</v>
      </c>
      <c r="B15" s="30">
        <f>'Konvertibelt lån - 1 - 45.4'!I15</f>
        <v>1054.742731277533</v>
      </c>
      <c r="C15" s="43">
        <f>'Konvertibelt lån - 2 - 22.7'!C15</f>
        <v>5.6156054720486398E-3</v>
      </c>
      <c r="D15" s="91"/>
      <c r="E15" s="200" t="s">
        <v>179</v>
      </c>
      <c r="F15" s="30">
        <f t="shared" si="3"/>
        <v>1054.742731277533</v>
      </c>
      <c r="G15" s="30">
        <f t="shared" si="0"/>
        <v>0</v>
      </c>
      <c r="H15" s="186">
        <v>0</v>
      </c>
      <c r="I15" s="30">
        <f t="shared" si="4"/>
        <v>1054.742731277533</v>
      </c>
      <c r="J15" s="58">
        <f t="shared" si="1"/>
        <v>5.4019551125413859E-3</v>
      </c>
      <c r="K15" s="199">
        <f t="shared" si="2"/>
        <v>244438.46884249771</v>
      </c>
    </row>
    <row r="16" spans="1:11" x14ac:dyDescent="0.25">
      <c r="A16" t="s">
        <v>109</v>
      </c>
      <c r="B16" s="30">
        <f>'Konvertibelt lån - 1 - 45.4'!I16</f>
        <v>500</v>
      </c>
      <c r="C16" s="43">
        <f>'Konvertibelt lån - 2 - 22.7'!C16</f>
        <v>2.6620735585666782E-3</v>
      </c>
      <c r="D16" s="91"/>
      <c r="E16" s="200" t="s">
        <v>184</v>
      </c>
      <c r="F16" s="30">
        <f t="shared" si="3"/>
        <v>500</v>
      </c>
      <c r="G16" s="30">
        <f t="shared" si="0"/>
        <v>422.07530366777212</v>
      </c>
      <c r="H16" s="217">
        <f>'Komitert Kap oversikt'!E23</f>
        <v>100000</v>
      </c>
      <c r="I16" s="30">
        <f t="shared" si="4"/>
        <v>922.07530366777212</v>
      </c>
      <c r="J16" s="58">
        <f t="shared" si="1"/>
        <v>4.7224875347215128E-3</v>
      </c>
      <c r="K16" s="199">
        <f t="shared" si="2"/>
        <v>213692.56094614844</v>
      </c>
    </row>
    <row r="17" spans="1:11" x14ac:dyDescent="0.25">
      <c r="B17" s="30"/>
      <c r="C17" s="43"/>
      <c r="D17" s="91"/>
      <c r="E17" s="200" t="str">
        <f>'Komitert Kap oversikt'!B28</f>
        <v>New: Soleklar Holding (FO AS)</v>
      </c>
      <c r="F17" s="30"/>
      <c r="G17" s="30">
        <f t="shared" si="0"/>
        <v>422.07530366777212</v>
      </c>
      <c r="H17" s="217">
        <f>'Komitert Kap oversikt'!E28</f>
        <v>100000</v>
      </c>
      <c r="I17" s="30">
        <f t="shared" si="4"/>
        <v>422.07530366777212</v>
      </c>
      <c r="J17" s="58">
        <f t="shared" si="1"/>
        <v>2.1616947686986599E-3</v>
      </c>
      <c r="K17" s="199">
        <f t="shared" si="2"/>
        <v>97816.688283614363</v>
      </c>
    </row>
    <row r="18" spans="1:11" x14ac:dyDescent="0.25">
      <c r="B18" s="30"/>
      <c r="C18" s="43"/>
      <c r="D18" s="91"/>
      <c r="E18" s="200" t="str">
        <f>'Komitert Kap oversikt'!B29</f>
        <v>New: Havi Invest AS</v>
      </c>
      <c r="F18" s="30"/>
      <c r="G18" s="30">
        <f t="shared" si="0"/>
        <v>303.89421864079594</v>
      </c>
      <c r="H18" s="217">
        <f>'Komitert Kap oversikt'!E29</f>
        <v>72000</v>
      </c>
      <c r="I18" s="30">
        <f t="shared" si="4"/>
        <v>303.89421864079594</v>
      </c>
      <c r="J18" s="58">
        <f t="shared" si="1"/>
        <v>1.5564202334630351E-3</v>
      </c>
      <c r="K18" s="199">
        <f t="shared" si="2"/>
        <v>70428.015564202346</v>
      </c>
    </row>
    <row r="19" spans="1:11" x14ac:dyDescent="0.25">
      <c r="B19" s="30"/>
      <c r="C19" s="43"/>
      <c r="D19" s="91"/>
      <c r="E19" s="200" t="str">
        <f>'Komitert Kap oversikt'!B30</f>
        <v>New: Holme Holding AS (FO AS)</v>
      </c>
      <c r="F19" s="30"/>
      <c r="G19" s="30">
        <f t="shared" si="0"/>
        <v>422.07530366777212</v>
      </c>
      <c r="H19" s="217">
        <f>'Komitert Kap oversikt'!E30</f>
        <v>100000</v>
      </c>
      <c r="I19" s="30">
        <f t="shared" si="4"/>
        <v>422.07530366777212</v>
      </c>
      <c r="J19" s="58">
        <f t="shared" si="1"/>
        <v>2.1616947686986599E-3</v>
      </c>
      <c r="K19" s="199">
        <f t="shared" si="2"/>
        <v>97816.688283614363</v>
      </c>
    </row>
    <row r="20" spans="1:11" x14ac:dyDescent="0.25">
      <c r="B20" s="30"/>
      <c r="C20" s="43"/>
      <c r="D20" s="91"/>
      <c r="E20" s="200" t="str">
        <f>'Komitert Kap oversikt'!B32</f>
        <v>New: Fivel Holding AS (FO AS)</v>
      </c>
      <c r="F20" s="30"/>
      <c r="G20" s="30">
        <f t="shared" si="0"/>
        <v>2110.3765183388609</v>
      </c>
      <c r="H20" s="217">
        <f>'Komitert Kap oversikt'!E32</f>
        <v>500000</v>
      </c>
      <c r="I20" s="30">
        <f t="shared" si="4"/>
        <v>2110.3765183388609</v>
      </c>
      <c r="J20" s="58">
        <f t="shared" si="1"/>
        <v>1.08084738434933E-2</v>
      </c>
      <c r="K20" s="199">
        <f t="shared" si="2"/>
        <v>489083.44141807186</v>
      </c>
    </row>
    <row r="21" spans="1:11" x14ac:dyDescent="0.25">
      <c r="B21" s="30"/>
      <c r="C21" s="43"/>
      <c r="D21" s="91"/>
      <c r="E21" s="200" t="str">
        <f>'Komitert Kap oversikt'!B33</f>
        <v>New: Stanjo AS (FO AS)</v>
      </c>
      <c r="F21" s="30"/>
      <c r="G21" s="30">
        <f t="shared" si="0"/>
        <v>1055.1882591694305</v>
      </c>
      <c r="H21" s="217">
        <f>'Komitert Kap oversikt'!E33</f>
        <v>250000</v>
      </c>
      <c r="I21" s="30">
        <f t="shared" si="4"/>
        <v>1055.1882591694305</v>
      </c>
      <c r="J21" s="58">
        <f t="shared" si="1"/>
        <v>5.4042369217466501E-3</v>
      </c>
      <c r="K21" s="199">
        <f t="shared" si="2"/>
        <v>244541.72070903593</v>
      </c>
    </row>
    <row r="22" spans="1:11" x14ac:dyDescent="0.25">
      <c r="A22" s="45" t="s">
        <v>18</v>
      </c>
      <c r="B22" s="35">
        <f>SUM(B3:B16)</f>
        <v>187823.51013215861</v>
      </c>
      <c r="C22" s="61">
        <f>SUM(C3:C16)</f>
        <v>1.000264744531896</v>
      </c>
      <c r="E22" s="201" t="s">
        <v>18</v>
      </c>
      <c r="F22" s="202">
        <f>SUM(F3:F16)</f>
        <v>187823.51013215861</v>
      </c>
      <c r="G22" s="202">
        <f>SUM(G3:G16)</f>
        <v>7428.5253445527896</v>
      </c>
      <c r="H22" s="203">
        <f>SUM(H3:H21)</f>
        <v>2782000</v>
      </c>
      <c r="I22" s="202">
        <f>SUM(I3:I16)</f>
        <v>195252.03547671137</v>
      </c>
      <c r="J22" s="204">
        <f>SUM(J3:J16)</f>
        <v>0.99999999999999989</v>
      </c>
      <c r="K22" s="205">
        <f>SUM(K3:K16)</f>
        <v>45249999.999999993</v>
      </c>
    </row>
    <row r="23" spans="1:11" ht="15.75" thickBot="1" x14ac:dyDescent="0.3">
      <c r="A23" s="46"/>
      <c r="B23" s="47"/>
      <c r="C23" s="48"/>
      <c r="E23" s="142"/>
      <c r="F23" s="143"/>
      <c r="G23" s="143"/>
      <c r="H23" s="143"/>
      <c r="I23" s="143"/>
      <c r="J23" s="143"/>
      <c r="K23" s="160"/>
    </row>
    <row r="24" spans="1:11" ht="15.75" thickBot="1" x14ac:dyDescent="0.3">
      <c r="A24" s="42"/>
      <c r="F24" s="30"/>
      <c r="K24" s="88"/>
    </row>
    <row r="25" spans="1:11" ht="16.5" thickBot="1" x14ac:dyDescent="0.3">
      <c r="A25" s="65" t="s">
        <v>67</v>
      </c>
      <c r="B25" s="66"/>
    </row>
    <row r="26" spans="1:11" x14ac:dyDescent="0.25">
      <c r="A26" s="56" t="s">
        <v>63</v>
      </c>
      <c r="B26" s="72"/>
    </row>
    <row r="27" spans="1:11" x14ac:dyDescent="0.25">
      <c r="A27" s="67" t="s">
        <v>68</v>
      </c>
      <c r="B27" s="68">
        <f>B22</f>
        <v>187823.51013215861</v>
      </c>
    </row>
    <row r="28" spans="1:11" x14ac:dyDescent="0.25">
      <c r="A28" s="69" t="s">
        <v>57</v>
      </c>
      <c r="B28" s="70">
        <v>44500000</v>
      </c>
      <c r="C28" s="93"/>
    </row>
    <row r="29" spans="1:11" x14ac:dyDescent="0.25">
      <c r="A29" s="67" t="s">
        <v>58</v>
      </c>
      <c r="B29" s="82">
        <f>B28/B27</f>
        <v>236.92454671243436</v>
      </c>
    </row>
    <row r="30" spans="1:11" x14ac:dyDescent="0.25">
      <c r="A30" s="67"/>
      <c r="B30" s="72"/>
    </row>
    <row r="31" spans="1:11" x14ac:dyDescent="0.25">
      <c r="A31" s="67" t="s">
        <v>60</v>
      </c>
      <c r="B31" s="70">
        <v>750000</v>
      </c>
      <c r="C31" s="73"/>
    </row>
    <row r="32" spans="1:11" x14ac:dyDescent="0.25">
      <c r="A32" s="67" t="s">
        <v>61</v>
      </c>
      <c r="B32" s="74">
        <f>B31/B29</f>
        <v>3165.5647775082912</v>
      </c>
    </row>
    <row r="33" spans="1:2" x14ac:dyDescent="0.25">
      <c r="A33" s="67" t="s">
        <v>59</v>
      </c>
      <c r="B33" s="68">
        <f>B31+B28</f>
        <v>45250000</v>
      </c>
    </row>
    <row r="34" spans="1:2" x14ac:dyDescent="0.25">
      <c r="A34" s="67" t="s">
        <v>69</v>
      </c>
      <c r="B34" s="74">
        <f>B27+B32</f>
        <v>190989.0749096669</v>
      </c>
    </row>
    <row r="35" spans="1:2" ht="15.75" thickBot="1" x14ac:dyDescent="0.3">
      <c r="A35" s="75" t="s">
        <v>62</v>
      </c>
      <c r="B35" s="76">
        <f>B32/B34</f>
        <v>1.6574585635359115E-2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A683-B5DC-45F6-AF4C-F373A3D59F9F}">
  <dimension ref="A1:K35"/>
  <sheetViews>
    <sheetView tabSelected="1" workbookViewId="0">
      <selection activeCell="H15" sqref="H15"/>
    </sheetView>
  </sheetViews>
  <sheetFormatPr baseColWidth="10" defaultRowHeight="15" x14ac:dyDescent="0.25"/>
  <cols>
    <col min="1" max="1" width="54" bestFit="1" customWidth="1"/>
    <col min="5" max="5" width="52.140625" bestFit="1" customWidth="1"/>
    <col min="8" max="8" width="17" bestFit="1" customWidth="1"/>
    <col min="11" max="11" width="13.42578125" bestFit="1" customWidth="1"/>
  </cols>
  <sheetData>
    <row r="1" spans="1:11" x14ac:dyDescent="0.25">
      <c r="A1" s="54" t="s">
        <v>110</v>
      </c>
      <c r="B1" s="38"/>
      <c r="C1" s="39"/>
      <c r="E1" s="195" t="s">
        <v>99</v>
      </c>
      <c r="F1" s="148"/>
      <c r="G1" s="196"/>
      <c r="H1" s="237" t="s">
        <v>106</v>
      </c>
      <c r="I1" s="148"/>
      <c r="J1" s="148"/>
      <c r="K1" s="150"/>
    </row>
    <row r="2" spans="1:11" ht="30" x14ac:dyDescent="0.25">
      <c r="A2" s="40" t="s">
        <v>192</v>
      </c>
      <c r="B2" s="33" t="s">
        <v>10</v>
      </c>
      <c r="C2" s="41" t="s">
        <v>55</v>
      </c>
      <c r="E2" s="197" t="s">
        <v>193</v>
      </c>
      <c r="F2" s="33" t="s">
        <v>100</v>
      </c>
      <c r="G2" s="33" t="s">
        <v>101</v>
      </c>
      <c r="H2" s="33" t="s">
        <v>107</v>
      </c>
      <c r="I2" s="33" t="s">
        <v>64</v>
      </c>
      <c r="J2" s="34" t="s">
        <v>65</v>
      </c>
      <c r="K2" s="198" t="s">
        <v>66</v>
      </c>
    </row>
    <row r="3" spans="1:11" x14ac:dyDescent="0.25">
      <c r="A3" s="42" t="s">
        <v>9</v>
      </c>
      <c r="B3" s="30">
        <f>'Konvertibelt lån -  - 44.5'!I3</f>
        <v>64980</v>
      </c>
      <c r="C3" s="43">
        <f>'Konvertibelt lån -  - 44.5'!J3</f>
        <v>0.33280062787233</v>
      </c>
      <c r="D3" s="91">
        <v>0</v>
      </c>
      <c r="E3" s="138" t="s">
        <v>9</v>
      </c>
      <c r="F3" s="30">
        <f>B3</f>
        <v>64980</v>
      </c>
      <c r="G3" s="30">
        <f t="shared" ref="G3:G21" si="0">H3/$B$29</f>
        <v>0</v>
      </c>
      <c r="H3" s="185">
        <v>0</v>
      </c>
      <c r="I3" s="30">
        <f>F3+G3</f>
        <v>64980</v>
      </c>
      <c r="J3" s="58">
        <f t="shared" ref="J3:J21" si="1">I3/$I$22</f>
        <v>0.27733385656027498</v>
      </c>
      <c r="K3" s="199">
        <f t="shared" ref="K3:K21" si="2">$B$33*J3</f>
        <v>2981338.9580229563</v>
      </c>
    </row>
    <row r="4" spans="1:11" x14ac:dyDescent="0.25">
      <c r="A4" s="42" t="s">
        <v>37</v>
      </c>
      <c r="B4" s="30">
        <f>'Konvertibelt lån -  - 44.5'!I4</f>
        <v>38000.124589417414</v>
      </c>
      <c r="C4" s="43">
        <f>'Konvertibelt lån -  - 44.5'!J4</f>
        <v>0.19462088831309451</v>
      </c>
      <c r="D4" s="91"/>
      <c r="E4" s="138" t="s">
        <v>37</v>
      </c>
      <c r="F4" s="30">
        <f t="shared" ref="F4:F21" si="3">B4</f>
        <v>38000.124589417414</v>
      </c>
      <c r="G4" s="30">
        <f t="shared" si="0"/>
        <v>0</v>
      </c>
      <c r="H4" s="186">
        <v>0</v>
      </c>
      <c r="I4" s="30">
        <f t="shared" ref="I4:I21" si="4">F4+G4</f>
        <v>38000.124589417414</v>
      </c>
      <c r="J4" s="58">
        <f t="shared" si="1"/>
        <v>0.16218407359424541</v>
      </c>
      <c r="K4" s="199">
        <f t="shared" si="2"/>
        <v>1743478.7911381382</v>
      </c>
    </row>
    <row r="5" spans="1:11" x14ac:dyDescent="0.25">
      <c r="A5" s="42" t="s">
        <v>38</v>
      </c>
      <c r="B5" s="30">
        <f>'Konvertibelt lån -  - 44.5'!I5</f>
        <v>29724</v>
      </c>
      <c r="C5" s="43">
        <f>'Konvertibelt lån -  - 44.5'!J5</f>
        <v>0.15223400835452658</v>
      </c>
      <c r="D5" s="91">
        <v>0</v>
      </c>
      <c r="E5" s="138" t="s">
        <v>38</v>
      </c>
      <c r="F5" s="30">
        <f t="shared" si="3"/>
        <v>29724</v>
      </c>
      <c r="G5" s="30">
        <f t="shared" si="0"/>
        <v>0</v>
      </c>
      <c r="H5" s="186">
        <v>0</v>
      </c>
      <c r="I5" s="30">
        <f t="shared" si="4"/>
        <v>29724</v>
      </c>
      <c r="J5" s="58">
        <f t="shared" si="1"/>
        <v>0.12686167362877215</v>
      </c>
      <c r="K5" s="199">
        <f t="shared" si="2"/>
        <v>1363762.9915093007</v>
      </c>
    </row>
    <row r="6" spans="1:11" x14ac:dyDescent="0.25">
      <c r="A6" s="42" t="s">
        <v>1</v>
      </c>
      <c r="B6" s="30">
        <f>'Konvertibelt lån -  - 44.5'!I6</f>
        <v>34744.386209968819</v>
      </c>
      <c r="C6" s="43">
        <f>'Konvertibelt lån -  - 44.5'!J6</f>
        <v>0.17794634573278467</v>
      </c>
      <c r="D6" s="91">
        <v>0</v>
      </c>
      <c r="E6" s="138" t="s">
        <v>1</v>
      </c>
      <c r="F6" s="30">
        <f t="shared" si="3"/>
        <v>34744.386209968819</v>
      </c>
      <c r="G6" s="30">
        <f t="shared" si="0"/>
        <v>0</v>
      </c>
      <c r="H6" s="186">
        <v>0</v>
      </c>
      <c r="I6" s="30">
        <f t="shared" si="4"/>
        <v>34744.386209968819</v>
      </c>
      <c r="J6" s="58">
        <f t="shared" si="1"/>
        <v>0.14828862144398722</v>
      </c>
      <c r="K6" s="199">
        <f t="shared" si="2"/>
        <v>1594102.6805228626</v>
      </c>
    </row>
    <row r="7" spans="1:11" x14ac:dyDescent="0.25">
      <c r="A7" s="42" t="s">
        <v>87</v>
      </c>
      <c r="B7" s="30">
        <f>'Konvertibelt lån -  - 44.5'!I7</f>
        <v>12000</v>
      </c>
      <c r="C7" s="43">
        <f>'Konvertibelt lån -  - 44.5'!J7</f>
        <v>6.1459026384548476E-2</v>
      </c>
      <c r="D7" s="91">
        <v>0</v>
      </c>
      <c r="E7" s="138" t="s">
        <v>87</v>
      </c>
      <c r="F7" s="30">
        <f t="shared" si="3"/>
        <v>12000</v>
      </c>
      <c r="G7" s="30">
        <f t="shared" si="0"/>
        <v>0</v>
      </c>
      <c r="H7" s="186">
        <v>0</v>
      </c>
      <c r="I7" s="30">
        <f t="shared" si="4"/>
        <v>12000</v>
      </c>
      <c r="J7" s="58">
        <f t="shared" si="1"/>
        <v>5.1215855320457061E-2</v>
      </c>
      <c r="K7" s="199">
        <f t="shared" si="2"/>
        <v>550570.44469491346</v>
      </c>
    </row>
    <row r="8" spans="1:11" x14ac:dyDescent="0.25">
      <c r="A8" s="42" t="s">
        <v>3</v>
      </c>
      <c r="B8" s="30">
        <f>'Konvertibelt lån -  - 44.5'!I8</f>
        <v>6218.5254704746822</v>
      </c>
      <c r="C8" s="43">
        <f>'Konvertibelt lån -  - 44.5'!J8</f>
        <v>3.1848710080240851E-2</v>
      </c>
      <c r="D8" s="91"/>
      <c r="E8" s="138" t="s">
        <v>3</v>
      </c>
      <c r="F8" s="30">
        <f t="shared" si="3"/>
        <v>6218.5254704746822</v>
      </c>
      <c r="G8" s="30">
        <f t="shared" si="0"/>
        <v>19525.203547671139</v>
      </c>
      <c r="H8" s="217">
        <v>1000000</v>
      </c>
      <c r="I8" s="30">
        <f t="shared" si="4"/>
        <v>25743.729018145823</v>
      </c>
      <c r="J8" s="58">
        <f t="shared" si="1"/>
        <v>0.10987392506686738</v>
      </c>
      <c r="K8" s="199">
        <f t="shared" si="2"/>
        <v>1181144.6944688244</v>
      </c>
    </row>
    <row r="9" spans="1:11" x14ac:dyDescent="0.25">
      <c r="A9" s="24" t="s">
        <v>2</v>
      </c>
      <c r="B9" s="30">
        <f>'Konvertibelt lån -  - 44.5'!I9</f>
        <v>2695</v>
      </c>
      <c r="C9" s="43">
        <f>'Konvertibelt lån -  - 44.5'!J9</f>
        <v>1.3802673008863179E-2</v>
      </c>
      <c r="D9" s="91"/>
      <c r="E9" s="138" t="s">
        <v>2</v>
      </c>
      <c r="F9" s="30">
        <f t="shared" si="3"/>
        <v>2695</v>
      </c>
      <c r="G9" s="30">
        <f t="shared" si="0"/>
        <v>0</v>
      </c>
      <c r="H9" s="186">
        <v>0</v>
      </c>
      <c r="I9" s="30">
        <f t="shared" si="4"/>
        <v>2695</v>
      </c>
      <c r="J9" s="58">
        <f t="shared" si="1"/>
        <v>1.1502227507385982E-2</v>
      </c>
      <c r="K9" s="199">
        <f t="shared" si="2"/>
        <v>123648.94570439932</v>
      </c>
    </row>
    <row r="10" spans="1:11" x14ac:dyDescent="0.25">
      <c r="A10" s="42" t="s">
        <v>72</v>
      </c>
      <c r="B10" s="30">
        <f>'Konvertibelt lån -  - 44.5'!I10</f>
        <v>1254.180066722764</v>
      </c>
      <c r="C10" s="43">
        <f>'Konvertibelt lån -  - 44.5'!J10</f>
        <v>6.4233904843074268E-3</v>
      </c>
      <c r="D10" s="91">
        <v>0</v>
      </c>
      <c r="E10" s="138" t="s">
        <v>102</v>
      </c>
      <c r="F10" s="30">
        <f t="shared" si="3"/>
        <v>1254.180066722764</v>
      </c>
      <c r="G10" s="30">
        <f t="shared" si="0"/>
        <v>19525.203547671139</v>
      </c>
      <c r="H10" s="186">
        <v>1000000</v>
      </c>
      <c r="I10" s="30">
        <f t="shared" si="4"/>
        <v>20779.383614393904</v>
      </c>
      <c r="J10" s="58">
        <f t="shared" si="1"/>
        <v>8.8686158736922857E-2</v>
      </c>
      <c r="K10" s="199">
        <f t="shared" si="2"/>
        <v>953376.20642192068</v>
      </c>
    </row>
    <row r="11" spans="1:11" x14ac:dyDescent="0.25">
      <c r="A11" s="42" t="s">
        <v>86</v>
      </c>
      <c r="B11" s="30">
        <f>'Konvertibelt lån -  - 44.5'!I11</f>
        <v>573.24518220066329</v>
      </c>
      <c r="C11" s="43">
        <f>'Konvertibelt lån -  - 44.5'!J11</f>
        <v>2.9359242314738222E-3</v>
      </c>
      <c r="D11" s="91">
        <v>0</v>
      </c>
      <c r="E11" s="138" t="s">
        <v>103</v>
      </c>
      <c r="F11" s="30">
        <f t="shared" si="3"/>
        <v>573.24518220066329</v>
      </c>
      <c r="G11" s="30">
        <f t="shared" si="0"/>
        <v>0</v>
      </c>
      <c r="H11" s="186">
        <v>0</v>
      </c>
      <c r="I11" s="30">
        <f t="shared" si="4"/>
        <v>573.24518220066329</v>
      </c>
      <c r="J11" s="58">
        <f t="shared" si="1"/>
        <v>2.446603526228185E-3</v>
      </c>
      <c r="K11" s="199">
        <f t="shared" si="2"/>
        <v>26300.987906952989</v>
      </c>
    </row>
    <row r="12" spans="1:11" x14ac:dyDescent="0.25">
      <c r="A12" s="42" t="s">
        <v>73</v>
      </c>
      <c r="B12" s="30">
        <f>'Konvertibelt lån -  - 44.5'!I12</f>
        <v>849.76500598920961</v>
      </c>
      <c r="C12" s="43">
        <f>'Konvertibelt lån -  - 44.5'!J11</f>
        <v>2.9359242314738222E-3</v>
      </c>
      <c r="D12" s="91">
        <v>0</v>
      </c>
      <c r="E12" s="138" t="s">
        <v>104</v>
      </c>
      <c r="F12" s="30">
        <f t="shared" si="3"/>
        <v>849.76500598920961</v>
      </c>
      <c r="G12" s="30">
        <f t="shared" si="0"/>
        <v>0</v>
      </c>
      <c r="H12" s="186">
        <v>0</v>
      </c>
      <c r="I12" s="30">
        <f t="shared" si="4"/>
        <v>849.76500598920961</v>
      </c>
      <c r="J12" s="58">
        <f t="shared" si="1"/>
        <v>3.6267868002608909E-3</v>
      </c>
      <c r="K12" s="199">
        <f t="shared" si="2"/>
        <v>38987.95810280458</v>
      </c>
    </row>
    <row r="13" spans="1:11" x14ac:dyDescent="0.25">
      <c r="A13" s="24" t="s">
        <v>74</v>
      </c>
      <c r="B13" s="30">
        <f>'Konvertibelt lån -  - 44.5'!I13</f>
        <v>969.76500598920961</v>
      </c>
      <c r="C13" s="43">
        <f>'Konvertibelt lån -  - 44.5'!J13</f>
        <v>4.9667344241585542E-3</v>
      </c>
      <c r="D13" s="91">
        <v>0</v>
      </c>
      <c r="E13" s="138" t="s">
        <v>105</v>
      </c>
      <c r="F13" s="30">
        <f t="shared" si="3"/>
        <v>969.76500598920961</v>
      </c>
      <c r="G13" s="30">
        <f t="shared" si="0"/>
        <v>0</v>
      </c>
      <c r="H13" s="186"/>
      <c r="I13" s="30">
        <f t="shared" si="4"/>
        <v>969.76500598920961</v>
      </c>
      <c r="J13" s="58">
        <f t="shared" si="1"/>
        <v>4.1389453534654615E-3</v>
      </c>
      <c r="K13" s="199">
        <f t="shared" si="2"/>
        <v>44493.66254975371</v>
      </c>
    </row>
    <row r="14" spans="1:11" x14ac:dyDescent="0.25">
      <c r="A14" t="s">
        <v>180</v>
      </c>
      <c r="B14" s="30">
        <f>'Konvertibelt lån -  - 44.5'!I14</f>
        <v>1266.2259110033165</v>
      </c>
      <c r="C14" s="43">
        <f>'Konvertibelt lån -  - 44.5'!J14</f>
        <v>6.4850843060959805E-3</v>
      </c>
      <c r="D14" s="91">
        <v>0</v>
      </c>
      <c r="E14" s="138" t="s">
        <v>121</v>
      </c>
      <c r="F14" s="30">
        <f t="shared" si="3"/>
        <v>1266.2259110033165</v>
      </c>
      <c r="G14" s="30">
        <f t="shared" si="0"/>
        <v>0</v>
      </c>
      <c r="H14" s="186">
        <v>0</v>
      </c>
      <c r="I14" s="30">
        <f t="shared" si="4"/>
        <v>1266.2259110033165</v>
      </c>
      <c r="J14" s="58">
        <f t="shared" si="1"/>
        <v>5.4042369217466493E-3</v>
      </c>
      <c r="K14" s="199">
        <f t="shared" si="2"/>
        <v>58095.54690877648</v>
      </c>
    </row>
    <row r="15" spans="1:11" x14ac:dyDescent="0.25">
      <c r="A15" t="s">
        <v>179</v>
      </c>
      <c r="B15" s="30">
        <f>'Konvertibelt lån -  - 44.5'!I15</f>
        <v>1054.742731277533</v>
      </c>
      <c r="C15" s="43">
        <f>'Konvertibelt lån -  - 44.5'!J15</f>
        <v>5.4019551125413859E-3</v>
      </c>
      <c r="D15" s="91">
        <v>0</v>
      </c>
      <c r="E15" s="200" t="s">
        <v>179</v>
      </c>
      <c r="F15" s="30">
        <f t="shared" si="3"/>
        <v>1054.742731277533</v>
      </c>
      <c r="G15" s="30">
        <f t="shared" si="0"/>
        <v>0</v>
      </c>
      <c r="H15" s="186">
        <v>0</v>
      </c>
      <c r="I15" s="30">
        <f t="shared" si="4"/>
        <v>1054.742731277533</v>
      </c>
      <c r="J15" s="58">
        <f t="shared" si="1"/>
        <v>4.5016292604511546E-3</v>
      </c>
      <c r="K15" s="199">
        <f t="shared" si="2"/>
        <v>48392.514549849911</v>
      </c>
    </row>
    <row r="16" spans="1:11" x14ac:dyDescent="0.25">
      <c r="A16" t="s">
        <v>109</v>
      </c>
      <c r="B16" s="30">
        <f>'Konvertibelt lån -  - 44.5'!I16</f>
        <v>922.07530366777212</v>
      </c>
      <c r="C16" s="43">
        <f>'Konvertibelt lån -  - 44.5'!J16</f>
        <v>4.7224875347215128E-3</v>
      </c>
      <c r="D16" s="91">
        <v>0</v>
      </c>
      <c r="E16" s="200" t="s">
        <v>184</v>
      </c>
      <c r="F16" s="30">
        <f t="shared" si="3"/>
        <v>922.07530366777212</v>
      </c>
      <c r="G16" s="30">
        <f t="shared" si="0"/>
        <v>0</v>
      </c>
      <c r="H16" s="186">
        <v>0</v>
      </c>
      <c r="I16" s="30">
        <f t="shared" si="4"/>
        <v>922.07530366777212</v>
      </c>
      <c r="J16" s="58">
        <f t="shared" si="1"/>
        <v>3.935406278934594E-3</v>
      </c>
      <c r="K16" s="199">
        <f t="shared" si="2"/>
        <v>42305.617498546882</v>
      </c>
    </row>
    <row r="17" spans="1:11" x14ac:dyDescent="0.25">
      <c r="A17" t="s">
        <v>187</v>
      </c>
      <c r="B17" s="30">
        <f>'Konvertibelt lån -  - 44.5'!I17</f>
        <v>422.07530366777212</v>
      </c>
      <c r="C17" s="43">
        <f>'Konvertibelt lån -  - 44.5'!J17</f>
        <v>2.1616947686986599E-3</v>
      </c>
      <c r="D17" s="91"/>
      <c r="E17" s="200" t="str">
        <f>'Komitert Kap oversikt'!B28</f>
        <v>New: Soleklar Holding (FO AS)</v>
      </c>
      <c r="F17" s="30">
        <f t="shared" si="3"/>
        <v>422.07530366777212</v>
      </c>
      <c r="G17" s="30">
        <f t="shared" si="0"/>
        <v>0</v>
      </c>
      <c r="H17" s="186">
        <v>0</v>
      </c>
      <c r="I17" s="30">
        <f t="shared" si="4"/>
        <v>422.07530366777212</v>
      </c>
      <c r="J17" s="58">
        <f t="shared" si="1"/>
        <v>1.8014123072488831E-3</v>
      </c>
      <c r="K17" s="199">
        <f t="shared" si="2"/>
        <v>19365.182302925492</v>
      </c>
    </row>
    <row r="18" spans="1:11" x14ac:dyDescent="0.25">
      <c r="A18" t="s">
        <v>188</v>
      </c>
      <c r="B18" s="30">
        <f>'Konvertibelt lån -  - 44.5'!I18</f>
        <v>303.89421864079594</v>
      </c>
      <c r="C18" s="43">
        <f>'Konvertibelt lån -  - 44.5'!J18</f>
        <v>1.5564202334630351E-3</v>
      </c>
      <c r="D18" s="91"/>
      <c r="E18" s="200" t="str">
        <f>'Komitert Kap oversikt'!B29</f>
        <v>New: Havi Invest AS</v>
      </c>
      <c r="F18" s="30">
        <f t="shared" si="3"/>
        <v>303.89421864079594</v>
      </c>
      <c r="G18" s="30">
        <f t="shared" si="0"/>
        <v>0</v>
      </c>
      <c r="H18" s="186">
        <v>0</v>
      </c>
      <c r="I18" s="30">
        <f t="shared" si="4"/>
        <v>303.89421864079594</v>
      </c>
      <c r="J18" s="58">
        <f t="shared" si="1"/>
        <v>1.2970168612191958E-3</v>
      </c>
      <c r="K18" s="199">
        <f t="shared" si="2"/>
        <v>13942.931258106355</v>
      </c>
    </row>
    <row r="19" spans="1:11" x14ac:dyDescent="0.25">
      <c r="A19" t="s">
        <v>190</v>
      </c>
      <c r="B19" s="30">
        <f>'Konvertibelt lån -  - 44.5'!I19</f>
        <v>422.07530366777212</v>
      </c>
      <c r="C19" s="43">
        <f>'Konvertibelt lån -  - 44.5'!J19</f>
        <v>2.1616947686986599E-3</v>
      </c>
      <c r="D19" s="91"/>
      <c r="E19" s="200" t="str">
        <f>'Komitert Kap oversikt'!B30</f>
        <v>New: Holme Holding AS (FO AS)</v>
      </c>
      <c r="F19" s="30">
        <f t="shared" si="3"/>
        <v>422.07530366777212</v>
      </c>
      <c r="G19" s="30">
        <f t="shared" si="0"/>
        <v>0</v>
      </c>
      <c r="H19" s="186">
        <v>0</v>
      </c>
      <c r="I19" s="30">
        <f t="shared" si="4"/>
        <v>422.07530366777212</v>
      </c>
      <c r="J19" s="58">
        <f t="shared" si="1"/>
        <v>1.8014123072488831E-3</v>
      </c>
      <c r="K19" s="199">
        <f t="shared" si="2"/>
        <v>19365.182302925492</v>
      </c>
    </row>
    <row r="20" spans="1:11" x14ac:dyDescent="0.25">
      <c r="A20" t="s">
        <v>189</v>
      </c>
      <c r="B20" s="30">
        <f>'Konvertibelt lån -  - 44.5'!I20</f>
        <v>2110.3765183388609</v>
      </c>
      <c r="C20" s="43">
        <f>'Konvertibelt lån -  - 44.5'!J20</f>
        <v>1.08084738434933E-2</v>
      </c>
      <c r="D20" s="91"/>
      <c r="E20" s="200" t="str">
        <f>'Komitert Kap oversikt'!B32</f>
        <v>New: Fivel Holding AS (FO AS)</v>
      </c>
      <c r="F20" s="30">
        <f t="shared" si="3"/>
        <v>2110.3765183388609</v>
      </c>
      <c r="G20" s="30">
        <f t="shared" si="0"/>
        <v>0</v>
      </c>
      <c r="H20" s="186">
        <v>0</v>
      </c>
      <c r="I20" s="30">
        <f t="shared" si="4"/>
        <v>2110.3765183388609</v>
      </c>
      <c r="J20" s="58">
        <f t="shared" si="1"/>
        <v>9.0070615362444172E-3</v>
      </c>
      <c r="K20" s="199">
        <f t="shared" si="2"/>
        <v>96825.911514627485</v>
      </c>
    </row>
    <row r="21" spans="1:11" x14ac:dyDescent="0.25">
      <c r="A21" t="s">
        <v>191</v>
      </c>
      <c r="B21" s="30">
        <f>'Konvertibelt lån -  - 44.5'!I21</f>
        <v>1055.1882591694305</v>
      </c>
      <c r="C21" s="43">
        <f>'Konvertibelt lån -  - 44.5'!J21</f>
        <v>5.4042369217466501E-3</v>
      </c>
      <c r="D21" s="91"/>
      <c r="E21" s="200" t="str">
        <f>'Komitert Kap oversikt'!B33</f>
        <v>New: Stanjo AS (FO AS)</v>
      </c>
      <c r="F21" s="30">
        <f t="shared" si="3"/>
        <v>1055.1882591694305</v>
      </c>
      <c r="G21" s="30">
        <f t="shared" si="0"/>
        <v>0</v>
      </c>
      <c r="H21" s="186">
        <v>0</v>
      </c>
      <c r="I21" s="30">
        <f t="shared" si="4"/>
        <v>1055.1882591694305</v>
      </c>
      <c r="J21" s="58">
        <f t="shared" si="1"/>
        <v>4.5035307681222086E-3</v>
      </c>
      <c r="K21" s="199">
        <f t="shared" si="2"/>
        <v>48412.955757313743</v>
      </c>
    </row>
    <row r="22" spans="1:11" x14ac:dyDescent="0.25">
      <c r="A22" s="45" t="s">
        <v>18</v>
      </c>
      <c r="B22" s="35">
        <f>SUM(B3:B16)</f>
        <v>195252.03547671137</v>
      </c>
      <c r="C22" s="61">
        <f>SUM(C3:C16)</f>
        <v>0.99858378007116066</v>
      </c>
      <c r="E22" s="201" t="s">
        <v>18</v>
      </c>
      <c r="F22" s="202">
        <f>SUM(F3:F16)</f>
        <v>195252.03547671137</v>
      </c>
      <c r="G22" s="202">
        <f>SUM(G3:G16)</f>
        <v>39050.407095342278</v>
      </c>
      <c r="H22" s="203">
        <f>SUM(H3:H21)</f>
        <v>2000000</v>
      </c>
      <c r="I22" s="202">
        <f>SUM(I3:I16)</f>
        <v>234302.44257205367</v>
      </c>
      <c r="J22" s="204">
        <f>SUM(J3:J16)</f>
        <v>0.99999999999999989</v>
      </c>
      <c r="K22" s="205">
        <f>SUM(K3:K16)</f>
        <v>10750000</v>
      </c>
    </row>
    <row r="23" spans="1:11" ht="15.75" thickBot="1" x14ac:dyDescent="0.3">
      <c r="A23" s="46"/>
      <c r="B23" s="47"/>
      <c r="C23" s="48"/>
      <c r="E23" s="142"/>
      <c r="F23" s="143"/>
      <c r="G23" s="143"/>
      <c r="H23" s="143"/>
      <c r="I23" s="143"/>
      <c r="J23" s="143"/>
      <c r="K23" s="160"/>
    </row>
    <row r="24" spans="1:11" ht="15.75" thickBot="1" x14ac:dyDescent="0.3">
      <c r="A24" s="42"/>
      <c r="F24" s="30"/>
      <c r="K24" s="88"/>
    </row>
    <row r="25" spans="1:11" ht="16.5" thickBot="1" x14ac:dyDescent="0.3">
      <c r="A25" s="65" t="s">
        <v>67</v>
      </c>
      <c r="B25" s="66"/>
    </row>
    <row r="26" spans="1:11" x14ac:dyDescent="0.25">
      <c r="A26" s="56" t="s">
        <v>63</v>
      </c>
      <c r="B26" s="72"/>
    </row>
    <row r="27" spans="1:11" x14ac:dyDescent="0.25">
      <c r="A27" s="67" t="s">
        <v>68</v>
      </c>
      <c r="B27" s="68">
        <f>B22</f>
        <v>195252.03547671137</v>
      </c>
    </row>
    <row r="28" spans="1:11" x14ac:dyDescent="0.25">
      <c r="A28" s="69" t="s">
        <v>57</v>
      </c>
      <c r="B28" s="70">
        <v>10000000</v>
      </c>
      <c r="C28" s="93"/>
    </row>
    <row r="29" spans="1:11" x14ac:dyDescent="0.25">
      <c r="A29" s="67" t="s">
        <v>58</v>
      </c>
      <c r="B29" s="82">
        <f>B28/B27</f>
        <v>51.215855320457067</v>
      </c>
    </row>
    <row r="30" spans="1:11" x14ac:dyDescent="0.25">
      <c r="A30" s="67"/>
      <c r="B30" s="72"/>
    </row>
    <row r="31" spans="1:11" x14ac:dyDescent="0.25">
      <c r="A31" s="67" t="s">
        <v>60</v>
      </c>
      <c r="B31" s="70">
        <v>750000</v>
      </c>
      <c r="C31" s="73"/>
    </row>
    <row r="32" spans="1:11" x14ac:dyDescent="0.25">
      <c r="A32" s="67" t="s">
        <v>61</v>
      </c>
      <c r="B32" s="74">
        <f>B31/B29</f>
        <v>14643.902660753352</v>
      </c>
    </row>
    <row r="33" spans="1:2" x14ac:dyDescent="0.25">
      <c r="A33" s="67" t="s">
        <v>59</v>
      </c>
      <c r="B33" s="68">
        <f>B31+B28</f>
        <v>10750000</v>
      </c>
    </row>
    <row r="34" spans="1:2" x14ac:dyDescent="0.25">
      <c r="A34" s="67" t="s">
        <v>69</v>
      </c>
      <c r="B34" s="74">
        <f>B27+B32</f>
        <v>209895.93813746472</v>
      </c>
    </row>
    <row r="35" spans="1:2" ht="15.75" thickBot="1" x14ac:dyDescent="0.3">
      <c r="A35" s="75" t="s">
        <v>62</v>
      </c>
      <c r="B35" s="76">
        <f>B32/B34</f>
        <v>6.9767441860465115E-2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A14C-675D-4B61-B032-A69921A8F7E2}">
  <dimension ref="B1:I58"/>
  <sheetViews>
    <sheetView topLeftCell="A12" workbookViewId="0">
      <selection activeCell="I48" sqref="I48"/>
    </sheetView>
  </sheetViews>
  <sheetFormatPr baseColWidth="10" defaultRowHeight="15" x14ac:dyDescent="0.25"/>
  <cols>
    <col min="2" max="2" width="34.140625" bestFit="1" customWidth="1"/>
    <col min="3" max="3" width="10.5703125" bestFit="1" customWidth="1"/>
    <col min="4" max="4" width="8" bestFit="1" customWidth="1"/>
    <col min="5" max="5" width="23.140625" bestFit="1" customWidth="1"/>
    <col min="6" max="6" width="34.5703125" bestFit="1" customWidth="1"/>
  </cols>
  <sheetData>
    <row r="1" spans="2:6" ht="15.75" thickBot="1" x14ac:dyDescent="0.3"/>
    <row r="2" spans="2:6" ht="15.75" thickBot="1" x14ac:dyDescent="0.3">
      <c r="B2" s="122" t="s">
        <v>176</v>
      </c>
      <c r="C2" s="123"/>
      <c r="D2" s="123"/>
      <c r="E2" s="124">
        <v>6000000</v>
      </c>
    </row>
    <row r="3" spans="2:6" x14ac:dyDescent="0.25">
      <c r="E3" s="101"/>
    </row>
    <row r="4" spans="2:6" x14ac:dyDescent="0.25">
      <c r="B4" s="116" t="s">
        <v>145</v>
      </c>
      <c r="C4" s="117" t="s">
        <v>141</v>
      </c>
      <c r="D4" s="117" t="s">
        <v>142</v>
      </c>
      <c r="E4" s="118" t="s">
        <v>147</v>
      </c>
    </row>
    <row r="5" spans="2:6" x14ac:dyDescent="0.25">
      <c r="B5" s="105" t="s">
        <v>37</v>
      </c>
      <c r="C5" s="108" t="s">
        <v>143</v>
      </c>
      <c r="D5" s="108" t="s">
        <v>143</v>
      </c>
      <c r="E5" s="110">
        <v>1500000</v>
      </c>
      <c r="F5" t="s">
        <v>148</v>
      </c>
    </row>
    <row r="6" spans="2:6" x14ac:dyDescent="0.25">
      <c r="B6" s="24" t="s">
        <v>1</v>
      </c>
      <c r="C6" s="102" t="s">
        <v>143</v>
      </c>
      <c r="D6" s="102" t="s">
        <v>143</v>
      </c>
      <c r="E6" s="111">
        <v>402000</v>
      </c>
    </row>
    <row r="7" spans="2:6" x14ac:dyDescent="0.25">
      <c r="B7" s="24" t="s">
        <v>3</v>
      </c>
      <c r="C7" s="102" t="s">
        <v>143</v>
      </c>
      <c r="D7" s="102" t="s">
        <v>143</v>
      </c>
      <c r="E7" s="111">
        <v>250000</v>
      </c>
    </row>
    <row r="8" spans="2:6" x14ac:dyDescent="0.25">
      <c r="B8" s="24" t="s">
        <v>102</v>
      </c>
      <c r="C8" s="102" t="s">
        <v>143</v>
      </c>
      <c r="D8" s="102" t="s">
        <v>143</v>
      </c>
      <c r="E8" s="111">
        <v>100000</v>
      </c>
    </row>
    <row r="9" spans="2:6" x14ac:dyDescent="0.25">
      <c r="B9" s="24" t="s">
        <v>104</v>
      </c>
      <c r="C9" s="102" t="s">
        <v>143</v>
      </c>
      <c r="D9" s="102" t="s">
        <v>143</v>
      </c>
      <c r="E9" s="111">
        <v>100000</v>
      </c>
    </row>
    <row r="10" spans="2:6" x14ac:dyDescent="0.25">
      <c r="B10" s="24" t="s">
        <v>105</v>
      </c>
      <c r="C10" s="102" t="s">
        <v>143</v>
      </c>
      <c r="D10" s="102" t="s">
        <v>143</v>
      </c>
      <c r="E10" s="111">
        <v>100000</v>
      </c>
    </row>
    <row r="11" spans="2:6" x14ac:dyDescent="0.25">
      <c r="B11" s="26" t="s">
        <v>181</v>
      </c>
      <c r="C11" s="109" t="s">
        <v>143</v>
      </c>
      <c r="D11" s="109" t="s">
        <v>143</v>
      </c>
      <c r="E11" s="112">
        <v>266000</v>
      </c>
    </row>
    <row r="12" spans="2:6" ht="15.75" thickBot="1" x14ac:dyDescent="0.3">
      <c r="B12" s="104" t="s">
        <v>140</v>
      </c>
      <c r="C12" s="115"/>
      <c r="D12" s="115"/>
      <c r="E12" s="113">
        <f>SUM(E5:E11)</f>
        <v>2718000</v>
      </c>
    </row>
    <row r="13" spans="2:6" ht="15.75" thickTop="1" x14ac:dyDescent="0.25"/>
    <row r="14" spans="2:6" x14ac:dyDescent="0.25">
      <c r="B14" s="116" t="s">
        <v>146</v>
      </c>
      <c r="C14" s="119" t="s">
        <v>141</v>
      </c>
      <c r="D14" s="119" t="s">
        <v>142</v>
      </c>
      <c r="E14" s="118" t="s">
        <v>147</v>
      </c>
    </row>
    <row r="15" spans="2:6" x14ac:dyDescent="0.25">
      <c r="B15" s="105" t="s">
        <v>1</v>
      </c>
      <c r="C15" s="106" t="s">
        <v>143</v>
      </c>
      <c r="D15" s="106" t="s">
        <v>143</v>
      </c>
      <c r="E15" s="110">
        <v>400000</v>
      </c>
    </row>
    <row r="16" spans="2:6" x14ac:dyDescent="0.25">
      <c r="B16" s="26" t="s">
        <v>102</v>
      </c>
      <c r="C16" s="107" t="s">
        <v>143</v>
      </c>
      <c r="D16" s="107" t="s">
        <v>143</v>
      </c>
      <c r="E16" s="112">
        <v>100000</v>
      </c>
    </row>
    <row r="17" spans="2:9" ht="15.75" thickBot="1" x14ac:dyDescent="0.3">
      <c r="B17" s="104" t="s">
        <v>144</v>
      </c>
      <c r="C17" s="104"/>
      <c r="D17" s="104"/>
      <c r="E17" s="114">
        <f>SUM(E15:E16)</f>
        <v>500000</v>
      </c>
    </row>
    <row r="18" spans="2:9" ht="15.75" thickTop="1" x14ac:dyDescent="0.25"/>
    <row r="19" spans="2:9" x14ac:dyDescent="0.25">
      <c r="B19" s="116" t="s">
        <v>151</v>
      </c>
      <c r="C19" s="119" t="s">
        <v>141</v>
      </c>
      <c r="D19" s="119" t="s">
        <v>142</v>
      </c>
      <c r="E19" s="118" t="s">
        <v>147</v>
      </c>
    </row>
    <row r="20" spans="2:9" x14ac:dyDescent="0.25">
      <c r="B20" s="105" t="s">
        <v>1</v>
      </c>
      <c r="C20" s="106" t="s">
        <v>143</v>
      </c>
      <c r="D20" s="103" t="s">
        <v>143</v>
      </c>
      <c r="E20" s="110">
        <v>500000</v>
      </c>
    </row>
    <row r="21" spans="2:9" x14ac:dyDescent="0.25">
      <c r="B21" s="24" t="s">
        <v>3</v>
      </c>
      <c r="C21" s="103" t="s">
        <v>143</v>
      </c>
      <c r="D21" s="103" t="s">
        <v>143</v>
      </c>
      <c r="E21" s="111">
        <v>300000</v>
      </c>
    </row>
    <row r="22" spans="2:9" x14ac:dyDescent="0.25">
      <c r="B22" s="24" t="s">
        <v>149</v>
      </c>
      <c r="C22" s="103" t="s">
        <v>143</v>
      </c>
      <c r="D22" s="103" t="s">
        <v>143</v>
      </c>
      <c r="E22" s="111">
        <v>300000</v>
      </c>
      <c r="I22" s="99"/>
    </row>
    <row r="23" spans="2:9" x14ac:dyDescent="0.25">
      <c r="B23" s="24" t="s">
        <v>130</v>
      </c>
      <c r="C23" s="103" t="s">
        <v>143</v>
      </c>
      <c r="D23" s="103" t="s">
        <v>143</v>
      </c>
      <c r="E23" s="111">
        <v>100000</v>
      </c>
      <c r="F23" t="s">
        <v>150</v>
      </c>
    </row>
    <row r="24" spans="2:9" x14ac:dyDescent="0.25">
      <c r="B24" s="24" t="s">
        <v>152</v>
      </c>
      <c r="C24" s="103" t="s">
        <v>143</v>
      </c>
      <c r="D24" s="103" t="s">
        <v>143</v>
      </c>
      <c r="E24" s="111">
        <v>80000</v>
      </c>
    </row>
    <row r="25" spans="2:9" x14ac:dyDescent="0.25">
      <c r="B25" s="24" t="s">
        <v>159</v>
      </c>
      <c r="C25" s="103" t="s">
        <v>143</v>
      </c>
      <c r="D25" s="103" t="s">
        <v>143</v>
      </c>
      <c r="E25" s="111">
        <v>60000</v>
      </c>
    </row>
    <row r="26" spans="2:9" x14ac:dyDescent="0.25">
      <c r="B26" s="24" t="s">
        <v>153</v>
      </c>
      <c r="C26" s="103" t="s">
        <v>143</v>
      </c>
      <c r="D26" s="103" t="s">
        <v>143</v>
      </c>
      <c r="E26" s="111">
        <v>60000</v>
      </c>
    </row>
    <row r="27" spans="2:9" x14ac:dyDescent="0.25">
      <c r="B27" s="24" t="s">
        <v>154</v>
      </c>
      <c r="C27" s="103" t="s">
        <v>143</v>
      </c>
      <c r="D27" s="103" t="s">
        <v>143</v>
      </c>
      <c r="E27" s="111">
        <v>60000</v>
      </c>
    </row>
    <row r="28" spans="2:9" x14ac:dyDescent="0.25">
      <c r="B28" s="24" t="s">
        <v>157</v>
      </c>
      <c r="C28" s="103" t="s">
        <v>143</v>
      </c>
      <c r="D28" s="103" t="s">
        <v>143</v>
      </c>
      <c r="E28" s="111">
        <v>100000</v>
      </c>
      <c r="F28" t="s">
        <v>150</v>
      </c>
    </row>
    <row r="29" spans="2:9" x14ac:dyDescent="0.25">
      <c r="B29" s="24" t="s">
        <v>163</v>
      </c>
      <c r="C29" s="103" t="s">
        <v>143</v>
      </c>
      <c r="D29" s="103" t="s">
        <v>143</v>
      </c>
      <c r="E29" s="111">
        <v>72000</v>
      </c>
    </row>
    <row r="30" spans="2:9" x14ac:dyDescent="0.25">
      <c r="B30" s="24" t="s">
        <v>158</v>
      </c>
      <c r="C30" s="103" t="s">
        <v>143</v>
      </c>
      <c r="D30" s="103" t="s">
        <v>143</v>
      </c>
      <c r="E30" s="111">
        <v>100000</v>
      </c>
      <c r="F30" t="s">
        <v>150</v>
      </c>
    </row>
    <row r="31" spans="2:9" x14ac:dyDescent="0.25">
      <c r="B31" s="24" t="s">
        <v>155</v>
      </c>
      <c r="C31" s="103" t="s">
        <v>143</v>
      </c>
      <c r="D31" s="103" t="s">
        <v>143</v>
      </c>
      <c r="E31" s="111">
        <v>300000</v>
      </c>
      <c r="F31" t="s">
        <v>150</v>
      </c>
    </row>
    <row r="32" spans="2:9" x14ac:dyDescent="0.25">
      <c r="B32" s="24" t="s">
        <v>156</v>
      </c>
      <c r="C32" s="103" t="s">
        <v>143</v>
      </c>
      <c r="D32" s="103" t="s">
        <v>143</v>
      </c>
      <c r="E32" s="111">
        <v>500000</v>
      </c>
    </row>
    <row r="33" spans="2:8" x14ac:dyDescent="0.25">
      <c r="B33" s="26" t="s">
        <v>161</v>
      </c>
      <c r="C33" s="107" t="s">
        <v>143</v>
      </c>
      <c r="D33" s="107" t="s">
        <v>143</v>
      </c>
      <c r="E33" s="112">
        <v>250000</v>
      </c>
      <c r="F33" t="s">
        <v>150</v>
      </c>
    </row>
    <row r="34" spans="2:8" ht="15.75" thickBot="1" x14ac:dyDescent="0.3">
      <c r="B34" s="104" t="s">
        <v>160</v>
      </c>
      <c r="C34" s="104"/>
      <c r="D34" s="104"/>
      <c r="E34" s="114">
        <f>SUM(E20:E33)</f>
        <v>2782000</v>
      </c>
    </row>
    <row r="35" spans="2:8" ht="15.75" thickTop="1" x14ac:dyDescent="0.25">
      <c r="F35" s="99"/>
    </row>
    <row r="36" spans="2:8" x14ac:dyDescent="0.25">
      <c r="B36" s="192" t="s">
        <v>173</v>
      </c>
      <c r="C36" s="194" t="s">
        <v>143</v>
      </c>
      <c r="D36" s="126"/>
      <c r="E36" s="193"/>
      <c r="F36" s="99"/>
    </row>
    <row r="37" spans="2:8" ht="15.75" thickBot="1" x14ac:dyDescent="0.3">
      <c r="B37" s="189" t="s">
        <v>112</v>
      </c>
      <c r="C37" s="190"/>
      <c r="D37" s="190"/>
      <c r="E37" s="191">
        <v>120000</v>
      </c>
      <c r="F37" s="99" t="s">
        <v>174</v>
      </c>
    </row>
    <row r="38" spans="2:8" ht="15.75" thickTop="1" x14ac:dyDescent="0.25">
      <c r="F38" s="99"/>
    </row>
    <row r="39" spans="2:8" x14ac:dyDescent="0.25">
      <c r="E39" s="101"/>
    </row>
    <row r="40" spans="2:8" x14ac:dyDescent="0.25">
      <c r="B40" s="116" t="s">
        <v>172</v>
      </c>
      <c r="C40" s="119" t="s">
        <v>141</v>
      </c>
      <c r="D40" s="119" t="s">
        <v>142</v>
      </c>
      <c r="E40" s="118" t="s">
        <v>175</v>
      </c>
    </row>
    <row r="41" spans="2:8" x14ac:dyDescent="0.25">
      <c r="B41" s="105" t="s">
        <v>1</v>
      </c>
      <c r="C41" s="106" t="s">
        <v>143</v>
      </c>
      <c r="D41" s="103" t="s">
        <v>143</v>
      </c>
      <c r="E41" s="110">
        <v>355000</v>
      </c>
    </row>
    <row r="42" spans="2:8" x14ac:dyDescent="0.25">
      <c r="B42" s="24" t="s">
        <v>3</v>
      </c>
      <c r="C42" s="103" t="s">
        <v>143</v>
      </c>
      <c r="D42" s="103"/>
      <c r="E42" s="111">
        <v>100000</v>
      </c>
      <c r="H42" s="125" t="s">
        <v>162</v>
      </c>
    </row>
    <row r="43" spans="2:8" x14ac:dyDescent="0.25">
      <c r="B43" s="24" t="s">
        <v>149</v>
      </c>
      <c r="C43" s="103" t="s">
        <v>143</v>
      </c>
      <c r="D43" s="103"/>
      <c r="E43" s="111">
        <v>250000</v>
      </c>
      <c r="F43" t="s">
        <v>186</v>
      </c>
    </row>
    <row r="44" spans="2:8" x14ac:dyDescent="0.25">
      <c r="B44" s="24" t="s">
        <v>130</v>
      </c>
      <c r="C44" s="103"/>
      <c r="D44" s="103"/>
      <c r="E44" s="111">
        <v>0</v>
      </c>
    </row>
    <row r="45" spans="2:8" x14ac:dyDescent="0.25">
      <c r="B45" s="24" t="s">
        <v>152</v>
      </c>
      <c r="C45" s="103" t="s">
        <v>143</v>
      </c>
      <c r="D45" s="103" t="s">
        <v>143</v>
      </c>
      <c r="E45" s="111">
        <v>75000</v>
      </c>
    </row>
    <row r="46" spans="2:8" x14ac:dyDescent="0.25">
      <c r="B46" s="24" t="s">
        <v>159</v>
      </c>
      <c r="C46" s="103"/>
      <c r="D46" s="103"/>
      <c r="E46" s="111">
        <v>0</v>
      </c>
    </row>
    <row r="47" spans="2:8" x14ac:dyDescent="0.25">
      <c r="B47" s="24" t="s">
        <v>153</v>
      </c>
      <c r="C47" s="103" t="s">
        <v>143</v>
      </c>
      <c r="D47" s="103" t="s">
        <v>143</v>
      </c>
      <c r="E47" s="111">
        <v>75000</v>
      </c>
    </row>
    <row r="48" spans="2:8" x14ac:dyDescent="0.25">
      <c r="B48" s="24" t="s">
        <v>154</v>
      </c>
      <c r="C48" s="103" t="s">
        <v>143</v>
      </c>
      <c r="D48" s="103" t="s">
        <v>143</v>
      </c>
      <c r="E48" s="111">
        <v>75000</v>
      </c>
    </row>
    <row r="49" spans="2:5" x14ac:dyDescent="0.25">
      <c r="B49" s="24" t="s">
        <v>157</v>
      </c>
      <c r="C49" s="103"/>
      <c r="D49" s="103"/>
      <c r="E49" s="111">
        <v>0</v>
      </c>
    </row>
    <row r="50" spans="2:5" x14ac:dyDescent="0.25">
      <c r="B50" s="24" t="s">
        <v>163</v>
      </c>
      <c r="C50" s="103"/>
      <c r="D50" s="103"/>
      <c r="E50" s="111">
        <v>0</v>
      </c>
    </row>
    <row r="51" spans="2:5" x14ac:dyDescent="0.25">
      <c r="B51" s="24" t="s">
        <v>158</v>
      </c>
      <c r="C51" s="103"/>
      <c r="D51" s="103"/>
      <c r="E51" s="111">
        <v>0</v>
      </c>
    </row>
    <row r="52" spans="2:5" x14ac:dyDescent="0.25">
      <c r="B52" s="24" t="s">
        <v>155</v>
      </c>
      <c r="C52" s="103"/>
      <c r="D52" s="103"/>
      <c r="E52" s="111">
        <v>0</v>
      </c>
    </row>
    <row r="53" spans="2:5" x14ac:dyDescent="0.25">
      <c r="B53" s="24" t="s">
        <v>156</v>
      </c>
      <c r="C53" s="103"/>
      <c r="D53" s="103"/>
      <c r="E53" s="111">
        <v>0</v>
      </c>
    </row>
    <row r="54" spans="2:5" x14ac:dyDescent="0.25">
      <c r="B54" s="26" t="s">
        <v>161</v>
      </c>
      <c r="C54" s="107"/>
      <c r="D54" s="107"/>
      <c r="E54" s="112">
        <v>0</v>
      </c>
    </row>
    <row r="55" spans="2:5" ht="15.75" thickBot="1" x14ac:dyDescent="0.3">
      <c r="B55" s="104" t="s">
        <v>160</v>
      </c>
      <c r="C55" s="104"/>
      <c r="D55" s="104"/>
      <c r="E55" s="114">
        <f>SUM(E41:E54)</f>
        <v>930000</v>
      </c>
    </row>
    <row r="56" spans="2:5" ht="15.75" thickTop="1" x14ac:dyDescent="0.25"/>
    <row r="57" spans="2:5" ht="15.75" thickBot="1" x14ac:dyDescent="0.3">
      <c r="B57" s="120" t="s">
        <v>164</v>
      </c>
      <c r="C57" s="120"/>
      <c r="D57" s="120"/>
      <c r="E57" s="121">
        <f>E55-1120000</f>
        <v>-190000</v>
      </c>
    </row>
    <row r="58" spans="2:5" ht="15.75" thickTop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9A7E-89D9-4B91-B20A-BD7180E3DDD8}">
  <dimension ref="A2:D13"/>
  <sheetViews>
    <sheetView workbookViewId="0">
      <selection activeCell="A15" sqref="A15:D15"/>
    </sheetView>
  </sheetViews>
  <sheetFormatPr baseColWidth="10" defaultRowHeight="15" x14ac:dyDescent="0.25"/>
  <cols>
    <col min="1" max="1" width="36.42578125" customWidth="1"/>
    <col min="2" max="2" width="23.140625" customWidth="1"/>
    <col min="3" max="3" width="45" customWidth="1"/>
    <col min="4" max="4" width="20.28515625" customWidth="1"/>
  </cols>
  <sheetData>
    <row r="2" spans="1:4" ht="30" x14ac:dyDescent="0.25">
      <c r="A2" s="92" t="s">
        <v>9</v>
      </c>
      <c r="B2" s="92" t="s">
        <v>111</v>
      </c>
      <c r="C2" s="97" t="s">
        <v>133</v>
      </c>
      <c r="D2" s="92">
        <v>93240417</v>
      </c>
    </row>
    <row r="3" spans="1:4" x14ac:dyDescent="0.25">
      <c r="A3" s="92" t="s">
        <v>37</v>
      </c>
      <c r="B3" s="92" t="s">
        <v>112</v>
      </c>
      <c r="C3" s="95" t="s">
        <v>131</v>
      </c>
      <c r="D3" s="92">
        <v>41628515</v>
      </c>
    </row>
    <row r="4" spans="1:4" x14ac:dyDescent="0.25">
      <c r="A4" s="92" t="s">
        <v>38</v>
      </c>
      <c r="B4" s="92" t="s">
        <v>113</v>
      </c>
      <c r="C4" s="95" t="s">
        <v>136</v>
      </c>
      <c r="D4" s="98" t="s">
        <v>137</v>
      </c>
    </row>
    <row r="5" spans="1:4" x14ac:dyDescent="0.25">
      <c r="A5" s="92" t="s">
        <v>1</v>
      </c>
      <c r="B5" s="92" t="s">
        <v>113</v>
      </c>
      <c r="C5" s="95" t="s">
        <v>136</v>
      </c>
      <c r="D5" s="92"/>
    </row>
    <row r="6" spans="1:4" x14ac:dyDescent="0.25">
      <c r="A6" s="92" t="s">
        <v>87</v>
      </c>
      <c r="B6" s="92" t="s">
        <v>114</v>
      </c>
      <c r="C6" s="95" t="s">
        <v>128</v>
      </c>
      <c r="D6" s="92">
        <v>47203535</v>
      </c>
    </row>
    <row r="7" spans="1:4" x14ac:dyDescent="0.25">
      <c r="A7" s="92" t="s">
        <v>3</v>
      </c>
      <c r="B7" s="92" t="s">
        <v>115</v>
      </c>
      <c r="C7" s="95" t="s">
        <v>129</v>
      </c>
      <c r="D7" s="92">
        <v>46131992</v>
      </c>
    </row>
    <row r="8" spans="1:4" x14ac:dyDescent="0.25">
      <c r="A8" s="92" t="s">
        <v>2</v>
      </c>
      <c r="B8" s="92" t="s">
        <v>116</v>
      </c>
      <c r="C8" s="96" t="s">
        <v>134</v>
      </c>
      <c r="D8" s="92">
        <v>40639606</v>
      </c>
    </row>
    <row r="9" spans="1:4" x14ac:dyDescent="0.25">
      <c r="A9" s="92" t="s">
        <v>102</v>
      </c>
      <c r="B9" s="92" t="s">
        <v>117</v>
      </c>
      <c r="C9" s="95" t="s">
        <v>135</v>
      </c>
      <c r="D9" s="92">
        <v>90548048</v>
      </c>
    </row>
    <row r="10" spans="1:4" x14ac:dyDescent="0.25">
      <c r="A10" s="92" t="s">
        <v>103</v>
      </c>
      <c r="B10" s="92" t="s">
        <v>119</v>
      </c>
      <c r="C10" s="95" t="s">
        <v>127</v>
      </c>
      <c r="D10" s="92">
        <v>95181522</v>
      </c>
    </row>
    <row r="11" spans="1:4" ht="30" x14ac:dyDescent="0.25">
      <c r="A11" s="92" t="s">
        <v>104</v>
      </c>
      <c r="B11" s="92" t="s">
        <v>111</v>
      </c>
      <c r="C11" s="97" t="s">
        <v>133</v>
      </c>
      <c r="D11" s="92">
        <v>93240417</v>
      </c>
    </row>
    <row r="12" spans="1:4" x14ac:dyDescent="0.25">
      <c r="A12" s="92" t="s">
        <v>105</v>
      </c>
      <c r="B12" s="92" t="s">
        <v>118</v>
      </c>
      <c r="C12" s="95" t="s">
        <v>126</v>
      </c>
      <c r="D12" s="92">
        <v>95243342</v>
      </c>
    </row>
    <row r="13" spans="1:4" x14ac:dyDescent="0.25">
      <c r="A13" s="92" t="s">
        <v>130</v>
      </c>
      <c r="B13" s="92" t="s">
        <v>120</v>
      </c>
      <c r="C13" s="95" t="s">
        <v>132</v>
      </c>
      <c r="D13" s="92">
        <v>91396125</v>
      </c>
    </row>
  </sheetData>
  <hyperlinks>
    <hyperlink ref="C12" r:id="rId1" xr:uid="{12508E39-71BA-4D95-8FC8-6FA3D3BF7A5E}"/>
    <hyperlink ref="C10" r:id="rId2" xr:uid="{F88ADC2C-B096-41EF-BE15-9C62E8DA04F8}"/>
    <hyperlink ref="C6" r:id="rId3" xr:uid="{AC4854DB-AEF7-4B5E-BCD1-BADDBC81D703}"/>
    <hyperlink ref="C7" r:id="rId4" xr:uid="{34642F02-EA32-4345-B1B1-0796E2EAB97E}"/>
    <hyperlink ref="C3" r:id="rId5" display="mailto:rasmus@fiska.no" xr:uid="{30BD9646-BA91-4380-9BAE-0694648FDC66}"/>
    <hyperlink ref="C13" r:id="rId6" xr:uid="{263EDC6C-9DB2-4B14-9E1E-3F2B543BBCB7}"/>
    <hyperlink ref="C2" r:id="rId7" display="Bjornar@wefollowheroes.com" xr:uid="{E3B01B91-5F23-4EB5-AC27-E6979138D358}"/>
    <hyperlink ref="C11" r:id="rId8" display="Bjornar@wefollowheroes.com" xr:uid="{F4F280CB-E361-4008-85F7-F60A92D68582}"/>
    <hyperlink ref="C8" r:id="rId9" display="mailto:tasc@svw.no" xr:uid="{A4987981-3993-4FBE-A9E5-7BC0DAF72347}"/>
    <hyperlink ref="C9" r:id="rId10" xr:uid="{BAAD223C-9A66-4C56-92BD-6042B2F37F2C}"/>
    <hyperlink ref="C5" r:id="rId11" xr:uid="{2C4051DF-7AF5-4463-96D3-FCA88E0B1EEE}"/>
    <hyperlink ref="C4" r:id="rId12" xr:uid="{3984B059-8634-4BA4-A55A-9692C0F58C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Shareholder Book</vt:lpstr>
      <vt:lpstr>Share capital history</vt:lpstr>
      <vt:lpstr>Sits and capitalraise 5 simul</vt:lpstr>
      <vt:lpstr>Konvertibelt lån - 1 - 45.4</vt:lpstr>
      <vt:lpstr>Konvertibelt lån - 2 - 22.7</vt:lpstr>
      <vt:lpstr>Konvertibelt lån -  - 44.5</vt:lpstr>
      <vt:lpstr>Konvertibelt lån - 10 </vt:lpstr>
      <vt:lpstr>Komitert Kap oversikt</vt:lpstr>
      <vt:lpstr>Kontaktinfo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John;Kvanli</dc:creator>
  <cp:lastModifiedBy>Tore Ausland</cp:lastModifiedBy>
  <cp:lastPrinted>2023-06-23T10:28:53Z</cp:lastPrinted>
  <dcterms:created xsi:type="dcterms:W3CDTF">2019-11-05T06:58:20Z</dcterms:created>
  <dcterms:modified xsi:type="dcterms:W3CDTF">2025-01-28T19:09:17Z</dcterms:modified>
</cp:coreProperties>
</file>