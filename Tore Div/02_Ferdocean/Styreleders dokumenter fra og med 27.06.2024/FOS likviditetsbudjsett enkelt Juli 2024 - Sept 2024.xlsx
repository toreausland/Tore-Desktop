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https://mnuas-my.sharepoint.com/personal/ta_necia_no/Documents/Skrivebord/Tore Div/FO/Styreleders dokumenter fra og med 27.06.2024/"/>
    </mc:Choice>
  </mc:AlternateContent>
  <xr:revisionPtr revIDLastSave="0" documentId="14_{889736F2-AAE9-4747-8134-F6DBF46561E5}" xr6:coauthVersionLast="47" xr6:coauthVersionMax="47" xr10:uidLastSave="{00000000-0000-0000-0000-000000000000}"/>
  <bookViews>
    <workbookView xWindow="38295" yWindow="0" windowWidth="19410" windowHeight="15585" activeTab="1" xr2:uid="{00000000-000D-0000-FFFF-FFFF00000000}"/>
  </bookViews>
  <sheets>
    <sheet name="Utgifter Ferdocean Shipping AS" sheetId="1" r:id="rId1"/>
    <sheet name="Leverandørfakturaer detaljer Tr" sheetId="2" r:id="rId2"/>
  </sheets>
  <definedNames>
    <definedName name="_xlnm._FilterDatabase" localSheetId="1" hidden="1">'Leverandørfakturaer detaljer Tr'!$A$2:$G$105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1" l="1"/>
  <c r="F17" i="1" l="1"/>
  <c r="F16" i="1"/>
  <c r="F15" i="1"/>
  <c r="F14" i="1"/>
  <c r="F11" i="1"/>
  <c r="F10" i="1"/>
  <c r="F9" i="1"/>
  <c r="D104" i="2"/>
  <c r="F70" i="2"/>
  <c r="C8" i="1"/>
  <c r="D96" i="2" l="1"/>
  <c r="D99" i="2"/>
  <c r="D98" i="2"/>
  <c r="D93" i="2"/>
  <c r="D92" i="2"/>
  <c r="D97" i="2"/>
  <c r="D102" i="2"/>
  <c r="D105" i="2"/>
  <c r="D101" i="2"/>
  <c r="D100" i="2"/>
  <c r="D103" i="2"/>
  <c r="F26" i="2"/>
  <c r="E13" i="1" l="1"/>
  <c r="D13" i="1"/>
  <c r="F13" i="1" s="1"/>
  <c r="C12" i="1"/>
  <c r="C19" i="1" l="1"/>
  <c r="D8" i="1" s="1"/>
  <c r="D19" i="1" s="1"/>
  <c r="E8" i="1" s="1"/>
  <c r="E19" i="1" s="1"/>
  <c r="F8" i="1" s="1"/>
  <c r="F12" i="1"/>
</calcChain>
</file>

<file path=xl/sharedStrings.xml><?xml version="1.0" encoding="utf-8"?>
<sst xmlns="http://schemas.openxmlformats.org/spreadsheetml/2006/main" count="441" uniqueCount="190">
  <si>
    <t>Utgifter Ferdocan Shipping AS</t>
  </si>
  <si>
    <t>Bilag</t>
  </si>
  <si>
    <t>Mottaker</t>
  </si>
  <si>
    <t>Status</t>
  </si>
  <si>
    <t>Forfallsdato</t>
  </si>
  <si>
    <t>Beløp</t>
  </si>
  <si>
    <t>145-2023</t>
  </si>
  <si>
    <t>Ace Winches Norge AS</t>
  </si>
  <si>
    <t>Attestert</t>
  </si>
  <si>
    <t>2023-06-14</t>
  </si>
  <si>
    <t>189-2023</t>
  </si>
  <si>
    <t>IVERSEN ONLINE</t>
  </si>
  <si>
    <t>2023-08-02</t>
  </si>
  <si>
    <t>22-2024</t>
  </si>
  <si>
    <t>DAGENS NÆRINGSLIV AS</t>
  </si>
  <si>
    <t>2023-09-11</t>
  </si>
  <si>
    <t>229-2023</t>
  </si>
  <si>
    <t>Compass Group Norge AS</t>
  </si>
  <si>
    <t>2023-09-20</t>
  </si>
  <si>
    <t>DNB Livsforsikring AS</t>
  </si>
  <si>
    <t>2023-09-25</t>
  </si>
  <si>
    <t>223-2023</t>
  </si>
  <si>
    <t>Achilles Systems AS</t>
  </si>
  <si>
    <t>226-2023</t>
  </si>
  <si>
    <t>Vestre Svanholmen 12 AS</t>
  </si>
  <si>
    <t>2023-10-01</t>
  </si>
  <si>
    <t>277-2023</t>
  </si>
  <si>
    <t>Seabrokers Services AS</t>
  </si>
  <si>
    <t>2023-11-10</t>
  </si>
  <si>
    <t>347-2023</t>
  </si>
  <si>
    <t>Advokatfirmaet Simonsen Vogt Wiig  AS</t>
  </si>
  <si>
    <t>2023-11-22</t>
  </si>
  <si>
    <t>283-2023</t>
  </si>
  <si>
    <t>Undem Invest AS</t>
  </si>
  <si>
    <t>2023-12-10</t>
  </si>
  <si>
    <t>292-2023</t>
  </si>
  <si>
    <t>2023-12-14</t>
  </si>
  <si>
    <t>357-2023</t>
  </si>
  <si>
    <t>IF skadeforsikring</t>
  </si>
  <si>
    <t>2023-12-17</t>
  </si>
  <si>
    <t>302-2023</t>
  </si>
  <si>
    <t>Eurocard Norway</t>
  </si>
  <si>
    <t>2023-12-19</t>
  </si>
  <si>
    <t>118-2024</t>
  </si>
  <si>
    <t>2023-12-20</t>
  </si>
  <si>
    <t>279-2023</t>
  </si>
  <si>
    <t>2023-12-31</t>
  </si>
  <si>
    <t>286-2023</t>
  </si>
  <si>
    <t>289-2023</t>
  </si>
  <si>
    <t>355-2023</t>
  </si>
  <si>
    <t>Visma Financial Solutions AS</t>
  </si>
  <si>
    <t>2024-01-10</t>
  </si>
  <si>
    <t>356-2023</t>
  </si>
  <si>
    <t>333-2023</t>
  </si>
  <si>
    <t>2024-01-11</t>
  </si>
  <si>
    <t>71-2024</t>
  </si>
  <si>
    <t>2024-01-17</t>
  </si>
  <si>
    <t>345-2023</t>
  </si>
  <si>
    <t>2024-01-20</t>
  </si>
  <si>
    <t>19-2024</t>
  </si>
  <si>
    <t>Stiftelsen Maritime Bergen</t>
  </si>
  <si>
    <t>2024-01-23</t>
  </si>
  <si>
    <t>342-2023</t>
  </si>
  <si>
    <t>2024-02-09</t>
  </si>
  <si>
    <t>12-2024</t>
  </si>
  <si>
    <t>2024-02-14</t>
  </si>
  <si>
    <t>117-2024</t>
  </si>
  <si>
    <t>Elleve AS</t>
  </si>
  <si>
    <t>2024-02-19</t>
  </si>
  <si>
    <t>Skatteetaten - Skatteinnkreving</t>
  </si>
  <si>
    <t>70-2024</t>
  </si>
  <si>
    <t>DNB BANK ASA</t>
  </si>
  <si>
    <t>2024-02-28</t>
  </si>
  <si>
    <t>13-2024</t>
  </si>
  <si>
    <t>Ship &amp; Rig Service AS</t>
  </si>
  <si>
    <t>2024-03-02</t>
  </si>
  <si>
    <t>0-2024</t>
  </si>
  <si>
    <t>116-2024</t>
  </si>
  <si>
    <t>Ørn Software AS</t>
  </si>
  <si>
    <t>2024-03-07</t>
  </si>
  <si>
    <t>65-2024</t>
  </si>
  <si>
    <t>2024-03-14</t>
  </si>
  <si>
    <t>59-2024</t>
  </si>
  <si>
    <t>Jansson og Larsen Regnskap AS</t>
  </si>
  <si>
    <t>62-2024</t>
  </si>
  <si>
    <t>GlobalConnect AS</t>
  </si>
  <si>
    <t>66-2024</t>
  </si>
  <si>
    <t>2024-03-15</t>
  </si>
  <si>
    <t>Tripletex AS</t>
  </si>
  <si>
    <t>64-2024</t>
  </si>
  <si>
    <t>2024-03-31</t>
  </si>
  <si>
    <t>113-2024</t>
  </si>
  <si>
    <t>60-2024</t>
  </si>
  <si>
    <t>2024-04-01</t>
  </si>
  <si>
    <t>56-2024</t>
  </si>
  <si>
    <t>61-2024</t>
  </si>
  <si>
    <t>2024-04-07</t>
  </si>
  <si>
    <t>92-2024</t>
  </si>
  <si>
    <t>2024-04-11</t>
  </si>
  <si>
    <t>112-2024</t>
  </si>
  <si>
    <t>2024-04-12</t>
  </si>
  <si>
    <t>110-2024</t>
  </si>
  <si>
    <t>2024-04-14</t>
  </si>
  <si>
    <t>111-2024</t>
  </si>
  <si>
    <t>Tryg Forsikring</t>
  </si>
  <si>
    <t>2024-04-16</t>
  </si>
  <si>
    <t>108-2024</t>
  </si>
  <si>
    <t>2024-04-20</t>
  </si>
  <si>
    <t>106-2024</t>
  </si>
  <si>
    <t>2024-04-26</t>
  </si>
  <si>
    <t>114-2024</t>
  </si>
  <si>
    <t>2024-04-29</t>
  </si>
  <si>
    <t>109-2024</t>
  </si>
  <si>
    <t>2024-05-01</t>
  </si>
  <si>
    <t>107-2024</t>
  </si>
  <si>
    <t>2024-05-05</t>
  </si>
  <si>
    <t>94-2024</t>
  </si>
  <si>
    <t>2024-05-10</t>
  </si>
  <si>
    <t>102-2024</t>
  </si>
  <si>
    <t>2024-05-14</t>
  </si>
  <si>
    <t>103-2024</t>
  </si>
  <si>
    <t>101-2024</t>
  </si>
  <si>
    <t>Sirkel IT AS</t>
  </si>
  <si>
    <t>105-2024</t>
  </si>
  <si>
    <t>Telia Bedrift</t>
  </si>
  <si>
    <t>2024-05-15</t>
  </si>
  <si>
    <t>2024-05-22</t>
  </si>
  <si>
    <t>Petro.no AS</t>
  </si>
  <si>
    <t>2024-06-01</t>
  </si>
  <si>
    <t>100-2024</t>
  </si>
  <si>
    <t>99-2024</t>
  </si>
  <si>
    <t>2024-06-02</t>
  </si>
  <si>
    <t>2024-06-07</t>
  </si>
  <si>
    <t>2024-06-12</t>
  </si>
  <si>
    <t>2024-06-13</t>
  </si>
  <si>
    <t>2024-06-14</t>
  </si>
  <si>
    <t>2024-06-24</t>
  </si>
  <si>
    <t>2024-06-27</t>
  </si>
  <si>
    <t>2024-06-30</t>
  </si>
  <si>
    <t>2024-07-01</t>
  </si>
  <si>
    <t>Fjellsdalen 3 Bergen AS</t>
  </si>
  <si>
    <t>Halden Brygge AS</t>
  </si>
  <si>
    <t>2024-07-03</t>
  </si>
  <si>
    <t>2024-07-11</t>
  </si>
  <si>
    <t>2024-07-15</t>
  </si>
  <si>
    <t>Dovre Sertifisering AS</t>
  </si>
  <si>
    <t>2024-07-21</t>
  </si>
  <si>
    <t>Leverandørfakturaer</t>
  </si>
  <si>
    <t>Innbetalinger</t>
  </si>
  <si>
    <t>IB Bank</t>
  </si>
  <si>
    <t>UB Bank</t>
  </si>
  <si>
    <t>Juli</t>
  </si>
  <si>
    <t>August</t>
  </si>
  <si>
    <t>83-2024</t>
  </si>
  <si>
    <t>84-2024</t>
  </si>
  <si>
    <t>85-2024</t>
  </si>
  <si>
    <t>BDO</t>
  </si>
  <si>
    <t>343-2023</t>
  </si>
  <si>
    <t>491-2022</t>
  </si>
  <si>
    <t>Stamas Engineering AS</t>
  </si>
  <si>
    <t>Stamas Solution AS</t>
  </si>
  <si>
    <t>10000082-2021</t>
  </si>
  <si>
    <t>KPMG</t>
  </si>
  <si>
    <t>Fjellsdalen, Leie Aug</t>
  </si>
  <si>
    <t>Fjellsdalen, Leie Sept</t>
  </si>
  <si>
    <t>Estimert</t>
  </si>
  <si>
    <t>Måned</t>
  </si>
  <si>
    <t>Innbetalinger MVA</t>
  </si>
  <si>
    <t>Lønn</t>
  </si>
  <si>
    <t>AGA</t>
  </si>
  <si>
    <t>Feriepenger inkl sluttoppgjør John</t>
  </si>
  <si>
    <t>Totalt</t>
  </si>
  <si>
    <t>Leverandørfakturaer forfalt tom Juni (Eksl internt til FO)</t>
  </si>
  <si>
    <t>Radetiketter</t>
  </si>
  <si>
    <t>Totalsum</t>
  </si>
  <si>
    <t>Summer av Beløp</t>
  </si>
  <si>
    <t>Kolonneetiketter</t>
  </si>
  <si>
    <t>Enkelt Likviditetsbudsjett</t>
  </si>
  <si>
    <t>Se detaljer nedenfor og eget ark</t>
  </si>
  <si>
    <t>September</t>
  </si>
  <si>
    <t>IB Saldo bank er inkl -3.500.000,- og skyldes i kassekreditt, og inkludert feriepengekonto og Emisjonskonto</t>
  </si>
  <si>
    <t>174-2024</t>
  </si>
  <si>
    <t>16-2024</t>
  </si>
  <si>
    <t>Til godkjenning</t>
  </si>
  <si>
    <t>184-2024</t>
  </si>
  <si>
    <t>159-2024</t>
  </si>
  <si>
    <t>165-2024</t>
  </si>
  <si>
    <t>(Juni-lønn ikke utbetalt enda, derfor lagt inn dobbel utgift i Juli)</t>
  </si>
  <si>
    <t>Utleggsforetning på AGA 59.900,- som forfalt i Juli</t>
  </si>
  <si>
    <t>Se detaljer nedenfor og eget ark, noen estimerte kostnader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</si>
</sst>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sz val="11"/>
      <name val="Calibri"/>
      <family val="2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thin">
        <color indexed="8"/>
      </left>
      <right/>
      <top style="medium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3" fillId="0" borderId="0" xfId="0" applyFont="1" applyAlignment="1">
      <alignment vertical="center" indent="1"/>
    </xf>
    <xf numFmtId="14" fontId="0" fillId="0" borderId="0" xfId="0" applyNumberFormat="1"/>
    <xf numFmtId="43" fontId="0" fillId="0" borderId="0" xfId="1" applyFont="1"/>
    <xf numFmtId="0" fontId="2" fillId="0" borderId="2" xfId="0" applyFont="1" applyBorder="1" applyAlignment="1">
      <alignment vertical="center" indent="1"/>
    </xf>
    <xf numFmtId="0" fontId="2" fillId="0" borderId="3" xfId="0" applyFont="1" applyBorder="1" applyAlignment="1">
      <alignment vertical="center" indent="1"/>
    </xf>
    <xf numFmtId="14" fontId="2" fillId="0" borderId="3" xfId="0" applyNumberFormat="1" applyFont="1" applyBorder="1" applyAlignment="1">
      <alignment vertical="center" indent="1"/>
    </xf>
    <xf numFmtId="43" fontId="2" fillId="0" borderId="3" xfId="1" applyFont="1" applyFill="1" applyBorder="1" applyAlignment="1">
      <alignment vertical="center" indent="1"/>
    </xf>
    <xf numFmtId="0" fontId="3" fillId="0" borderId="1" xfId="0" applyFont="1" applyBorder="1" applyAlignment="1">
      <alignment vertical="center" indent="1"/>
    </xf>
    <xf numFmtId="0" fontId="4" fillId="0" borderId="1" xfId="0" applyFont="1" applyBorder="1" applyAlignment="1">
      <alignment vertical="center" indent="1"/>
    </xf>
    <xf numFmtId="14" fontId="3" fillId="0" borderId="1" xfId="0" applyNumberFormat="1" applyFont="1" applyBorder="1" applyAlignment="1">
      <alignment vertical="center" indent="1"/>
    </xf>
    <xf numFmtId="0" fontId="0" fillId="2" borderId="1" xfId="0" applyFill="1" applyBorder="1"/>
    <xf numFmtId="14" fontId="0" fillId="2" borderId="1" xfId="0" applyNumberFormat="1" applyFill="1" applyBorder="1"/>
    <xf numFmtId="0" fontId="3" fillId="0" borderId="5" xfId="0" applyFont="1" applyBorder="1" applyAlignment="1">
      <alignment vertical="center" indent="1"/>
    </xf>
    <xf numFmtId="14" fontId="3" fillId="0" borderId="5" xfId="0" applyNumberFormat="1" applyFont="1" applyBorder="1" applyAlignment="1">
      <alignment vertical="center" indent="1"/>
    </xf>
    <xf numFmtId="43" fontId="3" fillId="0" borderId="6" xfId="1" applyFont="1" applyFill="1" applyBorder="1" applyAlignment="1">
      <alignment vertical="center" indent="1"/>
    </xf>
    <xf numFmtId="0" fontId="4" fillId="0" borderId="7" xfId="0" applyFont="1" applyBorder="1" applyAlignment="1">
      <alignment vertical="center" indent="1"/>
    </xf>
    <xf numFmtId="43" fontId="3" fillId="0" borderId="8" xfId="1" applyFont="1" applyFill="1" applyBorder="1" applyAlignment="1">
      <alignment vertical="center" indent="1"/>
    </xf>
    <xf numFmtId="0" fontId="3" fillId="0" borderId="7" xfId="0" applyFont="1" applyBorder="1" applyAlignment="1">
      <alignment vertical="center" indent="1"/>
    </xf>
    <xf numFmtId="0" fontId="0" fillId="0" borderId="7" xfId="0" applyBorder="1"/>
    <xf numFmtId="43" fontId="3" fillId="2" borderId="8" xfId="1" applyFont="1" applyFill="1" applyBorder="1" applyAlignment="1">
      <alignment vertical="center" indent="1"/>
    </xf>
    <xf numFmtId="0" fontId="3" fillId="0" borderId="10" xfId="0" applyFont="1" applyBorder="1" applyAlignment="1">
      <alignment vertical="center" indent="1"/>
    </xf>
    <xf numFmtId="164" fontId="0" fillId="0" borderId="1" xfId="1" applyNumberFormat="1" applyFont="1" applyBorder="1"/>
    <xf numFmtId="0" fontId="0" fillId="0" borderId="12" xfId="0" applyBorder="1"/>
    <xf numFmtId="164" fontId="0" fillId="0" borderId="13" xfId="0" applyNumberFormat="1" applyBorder="1"/>
    <xf numFmtId="164" fontId="0" fillId="0" borderId="14" xfId="0" applyNumberFormat="1" applyBorder="1"/>
    <xf numFmtId="0" fontId="0" fillId="0" borderId="15" xfId="0" applyBorder="1"/>
    <xf numFmtId="164" fontId="0" fillId="0" borderId="5" xfId="1" applyNumberFormat="1" applyFont="1" applyBorder="1"/>
    <xf numFmtId="164" fontId="0" fillId="0" borderId="12" xfId="0" applyNumberFormat="1" applyBorder="1"/>
    <xf numFmtId="164" fontId="0" fillId="0" borderId="10" xfId="1" applyNumberFormat="1" applyFont="1" applyBorder="1"/>
    <xf numFmtId="0" fontId="0" fillId="0" borderId="16" xfId="0" applyBorder="1"/>
    <xf numFmtId="164" fontId="0" fillId="0" borderId="17" xfId="1" applyNumberFormat="1" applyFont="1" applyBorder="1"/>
    <xf numFmtId="164" fontId="0" fillId="0" borderId="0" xfId="1" applyNumberFormat="1" applyFont="1" applyBorder="1"/>
    <xf numFmtId="0" fontId="0" fillId="0" borderId="18" xfId="0" applyBorder="1"/>
    <xf numFmtId="0" fontId="0" fillId="0" borderId="19" xfId="0" applyBorder="1"/>
    <xf numFmtId="0" fontId="0" fillId="0" borderId="13" xfId="0" applyBorder="1"/>
    <xf numFmtId="0" fontId="0" fillId="0" borderId="14" xfId="0" applyBorder="1"/>
    <xf numFmtId="0" fontId="3" fillId="0" borderId="4" xfId="0" applyFont="1" applyBorder="1" applyAlignment="1">
      <alignment vertical="center" inden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6" fillId="0" borderId="0" xfId="0" applyFont="1"/>
    <xf numFmtId="164" fontId="5" fillId="0" borderId="0" xfId="1" applyNumberFormat="1" applyFont="1" applyBorder="1"/>
    <xf numFmtId="164" fontId="0" fillId="0" borderId="20" xfId="1" applyNumberFormat="1" applyFont="1" applyBorder="1"/>
    <xf numFmtId="0" fontId="0" fillId="0" borderId="9" xfId="0" applyBorder="1"/>
    <xf numFmtId="0" fontId="0" fillId="2" borderId="10" xfId="0" applyFill="1" applyBorder="1"/>
    <xf numFmtId="14" fontId="0" fillId="2" borderId="10" xfId="0" applyNumberFormat="1" applyFill="1" applyBorder="1"/>
    <xf numFmtId="43" fontId="3" fillId="2" borderId="11" xfId="1" applyFont="1" applyFill="1" applyBorder="1" applyAlignment="1">
      <alignment vertical="center" indent="1"/>
    </xf>
    <xf numFmtId="14" fontId="0" fillId="0" borderId="1" xfId="0" applyNumberFormat="1" applyBorder="1"/>
    <xf numFmtId="164" fontId="0" fillId="0" borderId="4" xfId="1" applyNumberFormat="1" applyFont="1" applyBorder="1"/>
    <xf numFmtId="164" fontId="0" fillId="0" borderId="7" xfId="1" applyNumberFormat="1" applyFont="1" applyBorder="1"/>
    <xf numFmtId="164" fontId="0" fillId="0" borderId="9" xfId="1" applyNumberFormat="1" applyFont="1" applyBorder="1"/>
  </cellXfs>
  <cellStyles count="2">
    <cellStyle name="Komma" xfId="1" builtinId="3"/>
    <cellStyle name="Normal" xfId="0" builtinId="0"/>
  </cellStyles>
  <dxfs count="3">
    <dxf>
      <numFmt numFmtId="164" formatCode="_-* #,##0_-;\-* #,##0_-;_-* &quot;-&quot;??_-;_-@_-"/>
    </dxf>
    <dxf>
      <numFmt numFmtId="165" formatCode="_-* #,##0.0_-;\-* #,##0.0_-;_-* &quot;-&quot;??_-;_-@_-"/>
    </dxf>
    <dxf>
      <numFmt numFmtId="35" formatCode="_-* #,##0.00_-;\-* #,##0.0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sefin Tangeraas" refreshedDate="45504.44506539352" createdVersion="6" refreshedVersion="6" minRefreshableVersion="3" recordCount="103" xr:uid="{00000000-000A-0000-FFFF-FFFF11000000}">
  <cacheSource type="worksheet">
    <worksheetSource ref="A2:F105" sheet="Leverandørfakturaer detaljer Tr"/>
  </cacheSource>
  <cacheFields count="6">
    <cacheField name="Bilag" numFmtId="0">
      <sharedItems containsBlank="1"/>
    </cacheField>
    <cacheField name="Mottaker" numFmtId="0">
      <sharedItems count="34">
        <s v="Ace Winches Norge AS"/>
        <s v="Achilles Systems AS"/>
        <s v="Advokatfirmaet Simonsen Vogt Wiig  AS"/>
        <s v="Compass Group Norge AS"/>
        <s v="DAGENS NÆRINGSLIV AS"/>
        <s v="DNB BANK ASA"/>
        <s v="DNB Livsforsikring AS"/>
        <s v="Dovre Sertifisering AS"/>
        <s v="Elleve AS"/>
        <s v="Eurocard Norway"/>
        <s v="Fjellsdalen 3 Bergen AS"/>
        <s v="GlobalConnect AS"/>
        <s v="Halden Brygge AS"/>
        <s v="IF skadeforsikring"/>
        <s v="Jansson og Larsen Regnskap AS"/>
        <s v="KPMG"/>
        <s v="Petro.no AS"/>
        <s v="Seabrokers Services AS"/>
        <s v="Ship &amp; Rig Service AS"/>
        <s v="Sirkel IT AS"/>
        <s v="Skatteetaten - Skatteinnkreving"/>
        <s v="Stamas Engineering AS"/>
        <s v="Stamas Solution AS"/>
        <s v="Stiftelsen Maritime Bergen"/>
        <s v="Telia Bedrift"/>
        <s v="Tripletex AS"/>
        <s v="Tryg Forsikring"/>
        <s v="Undem Invest AS"/>
        <s v="Vestre Svanholmen 12 AS"/>
        <s v="Visma Financial Solutions AS"/>
        <s v="Ørn Software AS"/>
        <s v="Fjellsdalen, Leie Aug"/>
        <s v="IVERSEN ONLINE"/>
        <s v="Fjellsdalen, Leie Sept"/>
      </sharedItems>
    </cacheField>
    <cacheField name="Status" numFmtId="0">
      <sharedItems/>
    </cacheField>
    <cacheField name="Måned" numFmtId="0">
      <sharedItems containsSemiMixedTypes="0" containsString="0" containsNumber="1" containsInteger="1" minValue="6" maxValue="9" count="4">
        <n v="7"/>
        <n v="8"/>
        <n v="9"/>
        <n v="6" u="1"/>
      </sharedItems>
    </cacheField>
    <cacheField name="Forfallsdato" numFmtId="14">
      <sharedItems containsDate="1" containsMixedTypes="1" minDate="2021-01-21T00:00:00" maxDate="2024-09-15T00:00:00"/>
    </cacheField>
    <cacheField name="Beløp" numFmtId="43">
      <sharedItems containsSemiMixedTypes="0" containsString="0" containsNumber="1" minValue="-52750" maxValue="478937.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3">
  <r>
    <s v="145-2023"/>
    <x v="0"/>
    <s v="Attestert"/>
    <x v="0"/>
    <s v="2023-06-14"/>
    <n v="31025"/>
  </r>
  <r>
    <s v="223-2023"/>
    <x v="1"/>
    <s v="Attestert"/>
    <x v="0"/>
    <s v="2023-09-25"/>
    <n v="9550"/>
  </r>
  <r>
    <s v="347-2023"/>
    <x v="2"/>
    <s v="Attestert"/>
    <x v="0"/>
    <s v="2023-11-22"/>
    <n v="17500"/>
  </r>
  <r>
    <s v="118-2024"/>
    <x v="2"/>
    <s v="Attestert"/>
    <x v="0"/>
    <s v="2023-12-20"/>
    <n v="145000"/>
  </r>
  <r>
    <s v="106-2024"/>
    <x v="2"/>
    <s v="Attestert"/>
    <x v="0"/>
    <s v="2024-04-26"/>
    <n v="24750"/>
  </r>
  <r>
    <s v="0-2024"/>
    <x v="2"/>
    <s v="Attestert"/>
    <x v="0"/>
    <s v="2024-05-22"/>
    <n v="52750"/>
  </r>
  <r>
    <s v="0-2024"/>
    <x v="2"/>
    <s v="Attestert"/>
    <x v="0"/>
    <s v="2024-06-30"/>
    <n v="48281"/>
  </r>
  <r>
    <s v="174-2024"/>
    <x v="2"/>
    <s v="Attestert"/>
    <x v="0"/>
    <d v="2024-05-31T00:00:00"/>
    <n v="-52750"/>
  </r>
  <r>
    <s v="229-2023"/>
    <x v="3"/>
    <s v="Attestert"/>
    <x v="0"/>
    <s v="2023-09-20"/>
    <n v="681.84"/>
  </r>
  <r>
    <s v="345-2023"/>
    <x v="3"/>
    <s v="Attestert"/>
    <x v="0"/>
    <s v="2024-01-20"/>
    <n v="397.74"/>
  </r>
  <r>
    <s v="108-2024"/>
    <x v="3"/>
    <s v="Attestert"/>
    <x v="0"/>
    <s v="2024-04-20"/>
    <n v="227.29"/>
  </r>
  <r>
    <s v="22-2024"/>
    <x v="4"/>
    <s v="Attestert"/>
    <x v="0"/>
    <s v="2023-09-11"/>
    <n v="5988"/>
  </r>
  <r>
    <s v="114-2024"/>
    <x v="4"/>
    <s v="Attestert"/>
    <x v="0"/>
    <s v="2024-04-29"/>
    <n v="19968"/>
  </r>
  <r>
    <s v="0-2024"/>
    <x v="4"/>
    <s v="Attestert"/>
    <x v="0"/>
    <s v="2024-06-24"/>
    <n v="779.88"/>
  </r>
  <r>
    <s v="0-2024"/>
    <x v="4"/>
    <s v="Attestert"/>
    <x v="0"/>
    <s v="2024-07-15"/>
    <n v="7246.34"/>
  </r>
  <r>
    <s v="70-2024"/>
    <x v="5"/>
    <s v="Attestert"/>
    <x v="0"/>
    <s v="2024-02-28"/>
    <n v="731.7"/>
  </r>
  <r>
    <s v="56-2024"/>
    <x v="5"/>
    <s v="Attestert"/>
    <x v="0"/>
    <s v="2024-04-01"/>
    <n v="75371.429999999993"/>
  </r>
  <r>
    <s v="109-2024"/>
    <x v="5"/>
    <s v="Attestert"/>
    <x v="0"/>
    <s v="2024-05-01"/>
    <n v="75118.75"/>
  </r>
  <r>
    <s v="100-2024"/>
    <x v="5"/>
    <s v="Attestert"/>
    <x v="0"/>
    <s v="2024-06-01"/>
    <n v="75118.75"/>
  </r>
  <r>
    <s v="0-2024"/>
    <x v="5"/>
    <s v="Attestert"/>
    <x v="0"/>
    <s v="2024-07-01"/>
    <n v="146433.75"/>
  </r>
  <r>
    <s v="0-2024"/>
    <x v="6"/>
    <s v="Attestert"/>
    <x v="0"/>
    <s v="2024-06-27"/>
    <n v="56526.03"/>
  </r>
  <r>
    <m/>
    <x v="6"/>
    <s v="Attestert"/>
    <x v="0"/>
    <d v="2024-07-01T00:00:00"/>
    <n v="15332.51"/>
  </r>
  <r>
    <s v="0-2024"/>
    <x v="7"/>
    <s v="Attestert"/>
    <x v="0"/>
    <s v="2024-07-21"/>
    <n v="7500"/>
  </r>
  <r>
    <s v="117-2024"/>
    <x v="8"/>
    <s v="Attestert"/>
    <x v="0"/>
    <s v="2024-02-19"/>
    <n v="106218"/>
  </r>
  <r>
    <s v="302-2023"/>
    <x v="9"/>
    <s v="Attestert"/>
    <x v="0"/>
    <s v="2023-12-19"/>
    <n v="267.22000000000003"/>
  </r>
  <r>
    <s v="66-2024"/>
    <x v="9"/>
    <s v="Attestert"/>
    <x v="0"/>
    <s v="2024-03-15"/>
    <n v="3375.65"/>
  </r>
  <r>
    <s v="92-2024"/>
    <x v="9"/>
    <s v="Attestert"/>
    <x v="0"/>
    <s v="2024-04-11"/>
    <n v="24.91"/>
  </r>
  <r>
    <s v="103-2024"/>
    <x v="9"/>
    <s v="Attestert"/>
    <x v="0"/>
    <s v="2024-05-14"/>
    <n v="111.76"/>
  </r>
  <r>
    <s v="0-2024"/>
    <x v="9"/>
    <s v="Attestert"/>
    <x v="0"/>
    <s v="2024-06-13"/>
    <n v="69.08"/>
  </r>
  <r>
    <m/>
    <x v="9"/>
    <s v="Attestert"/>
    <x v="0"/>
    <d v="2024-07-12T00:00:00"/>
    <n v="589.13"/>
  </r>
  <r>
    <s v="0-2024"/>
    <x v="10"/>
    <s v="Attestert"/>
    <x v="0"/>
    <s v="2024-07-01"/>
    <n v="4725"/>
  </r>
  <r>
    <s v="16-2024"/>
    <x v="10"/>
    <s v="Attestert"/>
    <x v="0"/>
    <d v="2024-07-14T00:00:00"/>
    <n v="1148.75"/>
  </r>
  <r>
    <s v="62-2024"/>
    <x v="11"/>
    <s v="Attestert"/>
    <x v="0"/>
    <s v="2024-03-14"/>
    <n v="5775"/>
  </r>
  <r>
    <s v="0-2024"/>
    <x v="11"/>
    <s v="Attestert"/>
    <x v="0"/>
    <s v="2024-06-12"/>
    <n v="5775"/>
  </r>
  <r>
    <s v="0-2024"/>
    <x v="12"/>
    <s v="Attestert"/>
    <x v="0"/>
    <s v="2024-07-01"/>
    <n v="25397.75"/>
  </r>
  <r>
    <s v="357-2023"/>
    <x v="13"/>
    <s v="Attestert"/>
    <x v="0"/>
    <s v="2023-12-17"/>
    <n v="1440"/>
  </r>
  <r>
    <s v="59-2024"/>
    <x v="14"/>
    <s v="Attestert"/>
    <x v="0"/>
    <s v="2024-03-14"/>
    <n v="24875"/>
  </r>
  <r>
    <s v="110-2024"/>
    <x v="14"/>
    <s v="Attestert"/>
    <x v="0"/>
    <s v="2024-04-14"/>
    <n v="20313"/>
  </r>
  <r>
    <s v="102-2024"/>
    <x v="14"/>
    <s v="Attestert"/>
    <x v="0"/>
    <s v="2024-05-14"/>
    <n v="11375"/>
  </r>
  <r>
    <s v="0-2024"/>
    <x v="14"/>
    <s v="Attestert"/>
    <x v="0"/>
    <s v="2024-06-14"/>
    <n v="28750"/>
  </r>
  <r>
    <s v="184-2024"/>
    <x v="14"/>
    <s v="Attestert"/>
    <x v="0"/>
    <d v="2024-07-14T00:00:00"/>
    <n v="13500"/>
  </r>
  <r>
    <s v="10000082-2021"/>
    <x v="15"/>
    <s v="Attestert"/>
    <x v="0"/>
    <d v="2021-01-21T00:00:00"/>
    <n v="478937.5"/>
  </r>
  <r>
    <s v="0-2024"/>
    <x v="16"/>
    <s v="Attestert"/>
    <x v="0"/>
    <s v="2024-06-01"/>
    <n v="11125"/>
  </r>
  <r>
    <s v="277-2023"/>
    <x v="17"/>
    <s v="Attestert"/>
    <x v="0"/>
    <s v="2023-11-10"/>
    <n v="1665"/>
  </r>
  <r>
    <s v="292-2023"/>
    <x v="17"/>
    <s v="Attestert"/>
    <x v="0"/>
    <s v="2023-12-14"/>
    <n v="1314"/>
  </r>
  <r>
    <s v="279-2023"/>
    <x v="17"/>
    <s v="Attestert"/>
    <x v="0"/>
    <s v="2023-12-31"/>
    <n v="4486"/>
  </r>
  <r>
    <s v="286-2023"/>
    <x v="17"/>
    <s v="Attestert"/>
    <x v="0"/>
    <s v="2023-12-31"/>
    <n v="53255"/>
  </r>
  <r>
    <s v="343-2023"/>
    <x v="17"/>
    <s v="Attestert"/>
    <x v="0"/>
    <s v="2023-12-31"/>
    <n v="-7495"/>
  </r>
  <r>
    <s v="333-2023"/>
    <x v="17"/>
    <s v="Attestert"/>
    <x v="0"/>
    <s v="2024-01-11"/>
    <n v="1314"/>
  </r>
  <r>
    <s v="342-2023"/>
    <x v="17"/>
    <s v="Attestert"/>
    <x v="0"/>
    <s v="2024-02-09"/>
    <n v="1751"/>
  </r>
  <r>
    <s v="65-2024"/>
    <x v="17"/>
    <s v="Attestert"/>
    <x v="0"/>
    <s v="2024-03-14"/>
    <n v="1314"/>
  </r>
  <r>
    <s v="113-2024"/>
    <x v="17"/>
    <s v="Attestert"/>
    <x v="0"/>
    <s v="2024-03-31"/>
    <n v="60554"/>
  </r>
  <r>
    <s v="60-2024"/>
    <x v="17"/>
    <s v="Attestert"/>
    <x v="0"/>
    <s v="2024-03-31"/>
    <n v="4916"/>
  </r>
  <r>
    <s v="112-2024"/>
    <x v="17"/>
    <s v="Attestert"/>
    <x v="0"/>
    <s v="2024-04-12"/>
    <n v="1314"/>
  </r>
  <r>
    <s v="94-2024"/>
    <x v="17"/>
    <s v="Attestert"/>
    <x v="0"/>
    <s v="2024-05-10"/>
    <n v="1789"/>
  </r>
  <r>
    <s v="0-2024"/>
    <x v="17"/>
    <s v="Attestert"/>
    <x v="0"/>
    <s v="2024-06-14"/>
    <n v="1314"/>
  </r>
  <r>
    <s v="0-2024"/>
    <x v="17"/>
    <s v="Attestert"/>
    <x v="0"/>
    <s v="2024-07-01"/>
    <n v="60554"/>
  </r>
  <r>
    <s v="0-2024"/>
    <x v="17"/>
    <s v="Attestert"/>
    <x v="0"/>
    <s v="2024-07-01"/>
    <n v="4701"/>
  </r>
  <r>
    <s v="0-2024"/>
    <x v="17"/>
    <s v="Attestert"/>
    <x v="0"/>
    <s v="2024-07-11"/>
    <n v="1314"/>
  </r>
  <r>
    <s v="13-2024"/>
    <x v="18"/>
    <s v="Attestert"/>
    <x v="0"/>
    <s v="2024-03-02"/>
    <n v="3875"/>
  </r>
  <r>
    <s v="61-2024"/>
    <x v="18"/>
    <s v="Attestert"/>
    <x v="0"/>
    <s v="2024-04-07"/>
    <n v="3625"/>
  </r>
  <r>
    <s v="107-2024"/>
    <x v="18"/>
    <s v="Attestert"/>
    <x v="0"/>
    <s v="2024-05-05"/>
    <n v="3875"/>
  </r>
  <r>
    <s v="99-2024"/>
    <x v="18"/>
    <s v="Attestert"/>
    <x v="0"/>
    <s v="2024-06-02"/>
    <n v="3750"/>
  </r>
  <r>
    <s v="0-2024"/>
    <x v="18"/>
    <s v="Attestert"/>
    <x v="0"/>
    <s v="2024-07-03"/>
    <n v="3875"/>
  </r>
  <r>
    <m/>
    <x v="18"/>
    <s v="Attestert"/>
    <x v="0"/>
    <d v="2024-07-30T00:00:00"/>
    <n v="3750"/>
  </r>
  <r>
    <s v="101-2024"/>
    <x v="19"/>
    <s v="Attestert"/>
    <x v="0"/>
    <s v="2024-05-14"/>
    <n v="3492.5"/>
  </r>
  <r>
    <s v="159-2024"/>
    <x v="19"/>
    <s v="Attestert"/>
    <x v="0"/>
    <d v="2024-07-14T00:00:00"/>
    <n v="3492.5"/>
  </r>
  <r>
    <s v="0-2024"/>
    <x v="20"/>
    <s v="Attestert"/>
    <x v="0"/>
    <s v="2024-06-07"/>
    <n v="1105"/>
  </r>
  <r>
    <s v="491-2022"/>
    <x v="21"/>
    <s v="Attestert"/>
    <x v="0"/>
    <d v="2022-12-31T00:00:00"/>
    <n v="124874"/>
  </r>
  <r>
    <s v="19-2024"/>
    <x v="22"/>
    <s v="Attestert"/>
    <x v="0"/>
    <d v="2024-01-09T00:00:00"/>
    <n v="13256.25"/>
  </r>
  <r>
    <s v="19-2024"/>
    <x v="23"/>
    <s v="Attestert"/>
    <x v="0"/>
    <s v="2024-01-23"/>
    <n v="5145"/>
  </r>
  <r>
    <s v="105-2024"/>
    <x v="24"/>
    <s v="Attestert"/>
    <x v="0"/>
    <s v="2024-05-15"/>
    <n v="1511.51"/>
  </r>
  <r>
    <s v="0-2024"/>
    <x v="24"/>
    <s v="Attestert"/>
    <x v="0"/>
    <s v="2024-06-14"/>
    <n v="1533.14"/>
  </r>
  <r>
    <s v="0-2024"/>
    <x v="24"/>
    <s v="Attestert"/>
    <x v="0"/>
    <s v="2024-07-15"/>
    <n v="1493.82"/>
  </r>
  <r>
    <s v="165-2024"/>
    <x v="25"/>
    <s v="Attestert"/>
    <x v="0"/>
    <d v="2024-07-17T00:00:00"/>
    <n v="3972.5"/>
  </r>
  <r>
    <s v="111-2024"/>
    <x v="26"/>
    <s v="Attestert"/>
    <x v="0"/>
    <s v="2024-04-16"/>
    <n v="16896"/>
  </r>
  <r>
    <s v="283-2023"/>
    <x v="27"/>
    <s v="Attestert"/>
    <x v="0"/>
    <s v="2023-12-10"/>
    <n v="18429.84"/>
  </r>
  <r>
    <s v="226-2023"/>
    <x v="28"/>
    <s v="Attestert"/>
    <x v="0"/>
    <s v="2023-10-01"/>
    <n v="89718.95"/>
  </r>
  <r>
    <s v="289-2023"/>
    <x v="28"/>
    <s v="Attestert"/>
    <x v="0"/>
    <s v="2023-12-31"/>
    <n v="89718.95"/>
  </r>
  <r>
    <s v="12-2024"/>
    <x v="28"/>
    <s v="Attestert"/>
    <x v="0"/>
    <s v="2024-02-14"/>
    <n v="4306.51"/>
  </r>
  <r>
    <s v="64-2024"/>
    <x v="28"/>
    <s v="Attestert"/>
    <x v="0"/>
    <s v="2024-03-31"/>
    <n v="94025.46"/>
  </r>
  <r>
    <s v="0-2024"/>
    <x v="28"/>
    <s v="Attestert"/>
    <x v="0"/>
    <s v="2024-07-01"/>
    <n v="94025.46"/>
  </r>
  <r>
    <s v="83-2024"/>
    <x v="29"/>
    <s v="Attestert"/>
    <x v="0"/>
    <d v="2024-03-19T00:00:00"/>
    <n v="34556.519999999997"/>
  </r>
  <r>
    <s v="84-2024"/>
    <x v="29"/>
    <s v="Attestert"/>
    <x v="0"/>
    <d v="2024-03-19T00:00:00"/>
    <n v="15153.04"/>
  </r>
  <r>
    <s v="85-2024"/>
    <x v="29"/>
    <s v="Attestert"/>
    <x v="0"/>
    <d v="2024-03-19T00:00:00"/>
    <n v="88445.15"/>
  </r>
  <r>
    <s v="355-2023"/>
    <x v="29"/>
    <s v="Attestert"/>
    <x v="0"/>
    <s v="2024-01-10"/>
    <n v="9394.31"/>
  </r>
  <r>
    <s v="356-2023"/>
    <x v="29"/>
    <s v="Attestert"/>
    <x v="0"/>
    <s v="2024-01-10"/>
    <n v="199.61"/>
  </r>
  <r>
    <s v="71-2024"/>
    <x v="29"/>
    <s v="Attestert"/>
    <x v="0"/>
    <s v="2024-01-17"/>
    <n v="1749.14"/>
  </r>
  <r>
    <s v="116-2024"/>
    <x v="30"/>
    <s v="Attestert"/>
    <x v="0"/>
    <s v="2024-03-07"/>
    <n v="77135"/>
  </r>
  <r>
    <m/>
    <x v="5"/>
    <s v="Attestert"/>
    <x v="1"/>
    <d v="2024-08-01T00:00:00"/>
    <n v="146433"/>
  </r>
  <r>
    <m/>
    <x v="31"/>
    <s v="Estimert"/>
    <x v="1"/>
    <d v="2024-08-01T00:00:00"/>
    <n v="4725"/>
  </r>
  <r>
    <s v="189-2023"/>
    <x v="32"/>
    <s v="Attestert"/>
    <x v="1"/>
    <s v="2023-08-02"/>
    <n v="2236.25"/>
  </r>
  <r>
    <m/>
    <x v="32"/>
    <s v="Til godkjenning"/>
    <x v="1"/>
    <d v="2024-08-02T00:00:00"/>
    <n v="2236.25"/>
  </r>
  <r>
    <m/>
    <x v="14"/>
    <s v="Estimert"/>
    <x v="1"/>
    <d v="2024-08-14T00:00:00"/>
    <n v="12000"/>
  </r>
  <r>
    <m/>
    <x v="19"/>
    <s v="Estimert"/>
    <x v="1"/>
    <d v="2024-08-14T00:00:00"/>
    <n v="3500"/>
  </r>
  <r>
    <m/>
    <x v="24"/>
    <s v="Attestert"/>
    <x v="1"/>
    <d v="2024-08-14T00:00:00"/>
    <n v="1233.2"/>
  </r>
  <r>
    <m/>
    <x v="25"/>
    <s v="Estimert"/>
    <x v="1"/>
    <d v="2024-08-14T00:00:00"/>
    <n v="5500"/>
  </r>
  <r>
    <m/>
    <x v="5"/>
    <s v="Estimert"/>
    <x v="2"/>
    <d v="2024-09-01T00:00:00"/>
    <n v="146433"/>
  </r>
  <r>
    <m/>
    <x v="33"/>
    <s v="Estimert"/>
    <x v="2"/>
    <d v="2024-09-01T00:00:00"/>
    <n v="4725"/>
  </r>
  <r>
    <m/>
    <x v="14"/>
    <s v="Estimert"/>
    <x v="2"/>
    <d v="2024-09-14T00:00:00"/>
    <n v="12000"/>
  </r>
  <r>
    <m/>
    <x v="19"/>
    <s v="Estimert"/>
    <x v="2"/>
    <d v="2024-09-14T00:00:00"/>
    <n v="3500"/>
  </r>
  <r>
    <m/>
    <x v="24"/>
    <s v="Estimert"/>
    <x v="2"/>
    <d v="2024-09-14T00:00:00"/>
    <n v="1500"/>
  </r>
  <r>
    <m/>
    <x v="25"/>
    <s v="Estimert"/>
    <x v="2"/>
    <d v="2024-09-14T00:00:00"/>
    <n v="5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ell2" cacheId="0" applyNumberFormats="0" applyBorderFormats="0" applyFontFormats="0" applyPatternFormats="0" applyAlignmentFormats="0" applyWidthHeightFormats="1" dataCaption="Verdier" updatedVersion="6" minRefreshableVersion="3" useAutoFormatting="1" itemPrintTitles="1" createdVersion="6" indent="0" outline="1" outlineData="1" multipleFieldFilters="0">
  <location ref="B28:F64" firstHeaderRow="1" firstDataRow="2" firstDataCol="1"/>
  <pivotFields count="6">
    <pivotField showAll="0"/>
    <pivotField axis="axisRow" showAll="0">
      <items count="35">
        <item x="0"/>
        <item x="1"/>
        <item x="2"/>
        <item x="3"/>
        <item x="4"/>
        <item x="5"/>
        <item x="6"/>
        <item x="7"/>
        <item x="8"/>
        <item x="9"/>
        <item x="10"/>
        <item x="31"/>
        <item x="33"/>
        <item x="11"/>
        <item x="12"/>
        <item x="13"/>
        <item x="32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t="default"/>
      </items>
    </pivotField>
    <pivotField showAll="0"/>
    <pivotField axis="axisCol" showAll="0">
      <items count="5">
        <item m="1" x="3"/>
        <item x="0"/>
        <item x="1"/>
        <item x="2"/>
        <item t="default"/>
      </items>
    </pivotField>
    <pivotField showAll="0"/>
    <pivotField dataField="1" numFmtId="43" showAll="0"/>
  </pivotFields>
  <rowFields count="1">
    <field x="1"/>
  </rowFields>
  <rowItems count="3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 t="grand">
      <x/>
    </i>
  </rowItems>
  <colFields count="1">
    <field x="3"/>
  </colFields>
  <colItems count="4">
    <i>
      <x v="1"/>
    </i>
    <i>
      <x v="2"/>
    </i>
    <i>
      <x v="3"/>
    </i>
    <i t="grand">
      <x/>
    </i>
  </colItems>
  <dataFields count="1">
    <dataField name="Summer av Beløp" fld="5" baseField="0" baseItem="0" numFmtId="164"/>
  </dataFields>
  <formats count="3">
    <format dxfId="2">
      <pivotArea outline="0" collapsedLevelsAreSubtotals="1" fieldPosition="0"/>
    </format>
    <format dxfId="1">
      <pivotArea outline="0" collapsedLevelsAreSubtotals="1" fieldPosition="0"/>
    </format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G1048569"/>
  <sheetViews>
    <sheetView topLeftCell="A56" workbookViewId="0">
      <selection activeCell="G72" sqref="G72"/>
    </sheetView>
  </sheetViews>
  <sheetFormatPr baseColWidth="10" defaultRowHeight="15" x14ac:dyDescent="0.25"/>
  <cols>
    <col min="1" max="1" width="9" customWidth="1"/>
    <col min="2" max="2" width="36.85546875" customWidth="1"/>
    <col min="3" max="3" width="18.7109375" customWidth="1"/>
    <col min="4" max="4" width="10.28515625" bestFit="1" customWidth="1"/>
    <col min="5" max="5" width="10.85546875" bestFit="1" customWidth="1"/>
    <col min="6" max="6" width="10.28515625" customWidth="1"/>
    <col min="7" max="7" width="58.5703125" bestFit="1" customWidth="1"/>
  </cols>
  <sheetData>
    <row r="3" spans="2:7" ht="21" x14ac:dyDescent="0.35">
      <c r="B3" s="41" t="s">
        <v>177</v>
      </c>
    </row>
    <row r="4" spans="2:7" ht="21" x14ac:dyDescent="0.35">
      <c r="B4" s="41" t="s">
        <v>0</v>
      </c>
    </row>
    <row r="5" spans="2:7" x14ac:dyDescent="0.25">
      <c r="C5">
        <v>7</v>
      </c>
      <c r="D5">
        <v>8</v>
      </c>
      <c r="E5">
        <v>9</v>
      </c>
    </row>
    <row r="6" spans="2:7" ht="15.75" thickBot="1" x14ac:dyDescent="0.3"/>
    <row r="7" spans="2:7" ht="15.75" thickBot="1" x14ac:dyDescent="0.3">
      <c r="C7" s="33" t="s">
        <v>151</v>
      </c>
      <c r="D7" s="34" t="s">
        <v>152</v>
      </c>
      <c r="E7" s="34" t="s">
        <v>179</v>
      </c>
      <c r="F7" s="26" t="s">
        <v>171</v>
      </c>
    </row>
    <row r="8" spans="2:7" x14ac:dyDescent="0.25">
      <c r="B8" s="23" t="s">
        <v>149</v>
      </c>
      <c r="C8" s="49">
        <f>-3489182.61+27545.92+13599.94</f>
        <v>-3448036.75</v>
      </c>
      <c r="D8" s="27">
        <f>+C19</f>
        <v>-6743484.6699999999</v>
      </c>
      <c r="E8" s="27">
        <f>+D19</f>
        <v>-7196348.3700000001</v>
      </c>
      <c r="F8" s="28">
        <f>+E19</f>
        <v>-7695006.3700000001</v>
      </c>
    </row>
    <row r="9" spans="2:7" x14ac:dyDescent="0.25">
      <c r="B9" s="35" t="s">
        <v>148</v>
      </c>
      <c r="C9" s="50"/>
      <c r="D9" s="22"/>
      <c r="E9" s="22"/>
      <c r="F9" s="24">
        <f t="shared" ref="F9:F17" si="0">+SUM(C9:E9)</f>
        <v>0</v>
      </c>
    </row>
    <row r="10" spans="2:7" x14ac:dyDescent="0.25">
      <c r="B10" s="35" t="s">
        <v>167</v>
      </c>
      <c r="C10" s="50"/>
      <c r="D10" s="22"/>
      <c r="E10" s="22">
        <v>50000</v>
      </c>
      <c r="F10" s="24">
        <f t="shared" si="0"/>
        <v>50000</v>
      </c>
    </row>
    <row r="11" spans="2:7" x14ac:dyDescent="0.25">
      <c r="B11" s="35"/>
      <c r="C11" s="50"/>
      <c r="D11" s="22"/>
      <c r="E11" s="22"/>
      <c r="F11" s="24">
        <f t="shared" si="0"/>
        <v>0</v>
      </c>
    </row>
    <row r="12" spans="2:7" x14ac:dyDescent="0.25">
      <c r="B12" s="35" t="s">
        <v>172</v>
      </c>
      <c r="C12" s="50">
        <f>+SUMIF('Leverandørfakturaer detaljer Tr'!D:D,C5,'Leverandørfakturaer detaljer Tr'!F:F)</f>
        <v>2517760.92</v>
      </c>
      <c r="D12" s="22"/>
      <c r="E12" s="22"/>
      <c r="F12" s="24">
        <f t="shared" si="0"/>
        <v>2517760.92</v>
      </c>
      <c r="G12" t="s">
        <v>178</v>
      </c>
    </row>
    <row r="13" spans="2:7" x14ac:dyDescent="0.25">
      <c r="B13" s="35" t="s">
        <v>147</v>
      </c>
      <c r="C13" s="50"/>
      <c r="D13" s="22">
        <f>+SUMIF('Leverandørfakturaer detaljer Tr'!$D:$D,D5,'Leverandørfakturaer detaljer Tr'!$F:$F)</f>
        <v>177863.7</v>
      </c>
      <c r="E13" s="22">
        <f>+SUMIF('Leverandørfakturaer detaljer Tr'!$D:$D,E5,'Leverandørfakturaer detaljer Tr'!$F:$F)</f>
        <v>173658</v>
      </c>
      <c r="F13" s="24">
        <f t="shared" si="0"/>
        <v>351521.7</v>
      </c>
      <c r="G13" t="s">
        <v>189</v>
      </c>
    </row>
    <row r="14" spans="2:7" x14ac:dyDescent="0.25">
      <c r="B14" s="35"/>
      <c r="C14" s="50"/>
      <c r="D14" s="22"/>
      <c r="E14" s="22"/>
      <c r="F14" s="24">
        <f t="shared" si="0"/>
        <v>0</v>
      </c>
    </row>
    <row r="15" spans="2:7" x14ac:dyDescent="0.25">
      <c r="B15" s="35" t="s">
        <v>168</v>
      </c>
      <c r="C15" s="50">
        <f>275000*2</f>
        <v>550000</v>
      </c>
      <c r="D15" s="22">
        <v>275000</v>
      </c>
      <c r="E15" s="22">
        <v>275000</v>
      </c>
      <c r="F15" s="24">
        <f t="shared" si="0"/>
        <v>1100000</v>
      </c>
      <c r="G15" t="s">
        <v>187</v>
      </c>
    </row>
    <row r="16" spans="2:7" x14ac:dyDescent="0.25">
      <c r="B16" s="35" t="s">
        <v>169</v>
      </c>
      <c r="C16" s="50">
        <v>59900</v>
      </c>
      <c r="D16" s="22"/>
      <c r="E16" s="22">
        <v>100000</v>
      </c>
      <c r="F16" s="24">
        <f t="shared" si="0"/>
        <v>159900</v>
      </c>
      <c r="G16" t="s">
        <v>188</v>
      </c>
    </row>
    <row r="17" spans="2:7" ht="15.75" thickBot="1" x14ac:dyDescent="0.3">
      <c r="B17" s="36" t="s">
        <v>170</v>
      </c>
      <c r="C17" s="51">
        <v>167787</v>
      </c>
      <c r="D17" s="29"/>
      <c r="E17" s="29"/>
      <c r="F17" s="25">
        <f t="shared" si="0"/>
        <v>167787</v>
      </c>
    </row>
    <row r="18" spans="2:7" ht="15.75" thickBot="1" x14ac:dyDescent="0.3">
      <c r="C18" s="32"/>
      <c r="D18" s="32"/>
      <c r="E18" s="32"/>
      <c r="F18" s="32"/>
      <c r="G18" s="32"/>
    </row>
    <row r="19" spans="2:7" ht="16.5" thickBot="1" x14ac:dyDescent="0.3">
      <c r="B19" s="30" t="s">
        <v>150</v>
      </c>
      <c r="C19" s="31">
        <f>+C8+C9+C10-C12-C13-C15-C16-C17</f>
        <v>-6743484.6699999999</v>
      </c>
      <c r="D19" s="31">
        <f>+D8+D9+D10-D12-D13-D15-D16-D17</f>
        <v>-7196348.3700000001</v>
      </c>
      <c r="E19" s="43">
        <f>+E8+E9+E10-E12-E13-E15-E16-E17</f>
        <v>-7695006.3700000001</v>
      </c>
      <c r="F19" s="32"/>
      <c r="G19" s="42"/>
    </row>
    <row r="20" spans="2:7" x14ac:dyDescent="0.25">
      <c r="C20" s="3"/>
      <c r="D20" s="3"/>
      <c r="E20" s="3"/>
      <c r="F20" s="3"/>
    </row>
    <row r="21" spans="2:7" x14ac:dyDescent="0.25">
      <c r="C21" s="3"/>
      <c r="D21" s="3"/>
      <c r="E21" s="3"/>
      <c r="F21" s="3"/>
    </row>
    <row r="22" spans="2:7" x14ac:dyDescent="0.25">
      <c r="B22" t="s">
        <v>180</v>
      </c>
    </row>
    <row r="28" spans="2:7" x14ac:dyDescent="0.25">
      <c r="B28" s="38" t="s">
        <v>175</v>
      </c>
      <c r="C28" s="38" t="s">
        <v>176</v>
      </c>
    </row>
    <row r="29" spans="2:7" x14ac:dyDescent="0.25">
      <c r="B29" s="38" t="s">
        <v>173</v>
      </c>
      <c r="C29">
        <v>7</v>
      </c>
      <c r="D29">
        <v>8</v>
      </c>
      <c r="E29">
        <v>9</v>
      </c>
      <c r="F29" t="s">
        <v>174</v>
      </c>
    </row>
    <row r="30" spans="2:7" x14ac:dyDescent="0.25">
      <c r="B30" s="39" t="s">
        <v>7</v>
      </c>
      <c r="C30" s="40">
        <v>31025</v>
      </c>
      <c r="D30" s="40"/>
      <c r="E30" s="40"/>
      <c r="F30" s="40">
        <v>31025</v>
      </c>
    </row>
    <row r="31" spans="2:7" x14ac:dyDescent="0.25">
      <c r="B31" s="39" t="s">
        <v>22</v>
      </c>
      <c r="C31" s="40">
        <v>9550</v>
      </c>
      <c r="D31" s="40"/>
      <c r="E31" s="40"/>
      <c r="F31" s="40">
        <v>9550</v>
      </c>
    </row>
    <row r="32" spans="2:7" x14ac:dyDescent="0.25">
      <c r="B32" s="39" t="s">
        <v>30</v>
      </c>
      <c r="C32" s="40">
        <v>235531</v>
      </c>
      <c r="D32" s="40"/>
      <c r="E32" s="40"/>
      <c r="F32" s="40">
        <v>235531</v>
      </c>
    </row>
    <row r="33" spans="2:6" x14ac:dyDescent="0.25">
      <c r="B33" s="39" t="s">
        <v>17</v>
      </c>
      <c r="C33" s="40">
        <v>1306.8699999999999</v>
      </c>
      <c r="D33" s="40"/>
      <c r="E33" s="40"/>
      <c r="F33" s="40">
        <v>1306.8699999999999</v>
      </c>
    </row>
    <row r="34" spans="2:6" x14ac:dyDescent="0.25">
      <c r="B34" s="39" t="s">
        <v>14</v>
      </c>
      <c r="C34" s="40">
        <v>33982.22</v>
      </c>
      <c r="D34" s="40"/>
      <c r="E34" s="40"/>
      <c r="F34" s="40">
        <v>33982.22</v>
      </c>
    </row>
    <row r="35" spans="2:6" x14ac:dyDescent="0.25">
      <c r="B35" s="39" t="s">
        <v>71</v>
      </c>
      <c r="C35" s="40">
        <v>372774.38</v>
      </c>
      <c r="D35" s="40">
        <v>146433</v>
      </c>
      <c r="E35" s="40">
        <v>146433</v>
      </c>
      <c r="F35" s="40">
        <v>665640.38</v>
      </c>
    </row>
    <row r="36" spans="2:6" x14ac:dyDescent="0.25">
      <c r="B36" s="39" t="s">
        <v>19</v>
      </c>
      <c r="C36" s="40">
        <v>71858.539999999994</v>
      </c>
      <c r="D36" s="40"/>
      <c r="E36" s="40"/>
      <c r="F36" s="40">
        <v>71858.539999999994</v>
      </c>
    </row>
    <row r="37" spans="2:6" x14ac:dyDescent="0.25">
      <c r="B37" s="39" t="s">
        <v>145</v>
      </c>
      <c r="C37" s="40">
        <v>7500</v>
      </c>
      <c r="D37" s="40"/>
      <c r="E37" s="40"/>
      <c r="F37" s="40">
        <v>7500</v>
      </c>
    </row>
    <row r="38" spans="2:6" x14ac:dyDescent="0.25">
      <c r="B38" s="39" t="s">
        <v>67</v>
      </c>
      <c r="C38" s="40">
        <v>106218</v>
      </c>
      <c r="D38" s="40"/>
      <c r="E38" s="40"/>
      <c r="F38" s="40">
        <v>106218</v>
      </c>
    </row>
    <row r="39" spans="2:6" x14ac:dyDescent="0.25">
      <c r="B39" s="39" t="s">
        <v>41</v>
      </c>
      <c r="C39" s="40">
        <v>4437.75</v>
      </c>
      <c r="D39" s="40"/>
      <c r="E39" s="40"/>
      <c r="F39" s="40">
        <v>4437.75</v>
      </c>
    </row>
    <row r="40" spans="2:6" x14ac:dyDescent="0.25">
      <c r="B40" s="39" t="s">
        <v>140</v>
      </c>
      <c r="C40" s="40">
        <v>5873.75</v>
      </c>
      <c r="D40" s="40"/>
      <c r="E40" s="40"/>
      <c r="F40" s="40">
        <v>5873.75</v>
      </c>
    </row>
    <row r="41" spans="2:6" x14ac:dyDescent="0.25">
      <c r="B41" s="39" t="s">
        <v>163</v>
      </c>
      <c r="C41" s="40"/>
      <c r="D41" s="40">
        <v>4725</v>
      </c>
      <c r="E41" s="40"/>
      <c r="F41" s="40">
        <v>4725</v>
      </c>
    </row>
    <row r="42" spans="2:6" x14ac:dyDescent="0.25">
      <c r="B42" s="39" t="s">
        <v>164</v>
      </c>
      <c r="C42" s="40"/>
      <c r="D42" s="40"/>
      <c r="E42" s="40">
        <v>4725</v>
      </c>
      <c r="F42" s="40">
        <v>4725</v>
      </c>
    </row>
    <row r="43" spans="2:6" x14ac:dyDescent="0.25">
      <c r="B43" s="39" t="s">
        <v>85</v>
      </c>
      <c r="C43" s="40">
        <v>11550</v>
      </c>
      <c r="D43" s="40"/>
      <c r="E43" s="40"/>
      <c r="F43" s="40">
        <v>11550</v>
      </c>
    </row>
    <row r="44" spans="2:6" x14ac:dyDescent="0.25">
      <c r="B44" s="39" t="s">
        <v>141</v>
      </c>
      <c r="C44" s="40">
        <v>25397.75</v>
      </c>
      <c r="D44" s="40"/>
      <c r="E44" s="40"/>
      <c r="F44" s="40">
        <v>25397.75</v>
      </c>
    </row>
    <row r="45" spans="2:6" x14ac:dyDescent="0.25">
      <c r="B45" s="39" t="s">
        <v>38</v>
      </c>
      <c r="C45" s="40">
        <v>1440</v>
      </c>
      <c r="D45" s="40"/>
      <c r="E45" s="40"/>
      <c r="F45" s="40">
        <v>1440</v>
      </c>
    </row>
    <row r="46" spans="2:6" x14ac:dyDescent="0.25">
      <c r="B46" s="39" t="s">
        <v>11</v>
      </c>
      <c r="C46" s="40"/>
      <c r="D46" s="40">
        <v>4472.5</v>
      </c>
      <c r="E46" s="40"/>
      <c r="F46" s="40">
        <v>4472.5</v>
      </c>
    </row>
    <row r="47" spans="2:6" x14ac:dyDescent="0.25">
      <c r="B47" s="39" t="s">
        <v>83</v>
      </c>
      <c r="C47" s="40">
        <v>98813</v>
      </c>
      <c r="D47" s="40">
        <v>12000</v>
      </c>
      <c r="E47" s="40">
        <v>12000</v>
      </c>
      <c r="F47" s="40">
        <v>122813</v>
      </c>
    </row>
    <row r="48" spans="2:6" x14ac:dyDescent="0.25">
      <c r="B48" s="39" t="s">
        <v>162</v>
      </c>
      <c r="C48" s="40">
        <v>478937.5</v>
      </c>
      <c r="D48" s="40"/>
      <c r="E48" s="40"/>
      <c r="F48" s="40">
        <v>478937.5</v>
      </c>
    </row>
    <row r="49" spans="2:6" x14ac:dyDescent="0.25">
      <c r="B49" s="39" t="s">
        <v>127</v>
      </c>
      <c r="C49" s="40">
        <v>11125</v>
      </c>
      <c r="D49" s="40"/>
      <c r="E49" s="40"/>
      <c r="F49" s="40">
        <v>11125</v>
      </c>
    </row>
    <row r="50" spans="2:6" x14ac:dyDescent="0.25">
      <c r="B50" s="39" t="s">
        <v>27</v>
      </c>
      <c r="C50" s="40">
        <v>194060</v>
      </c>
      <c r="D50" s="40"/>
      <c r="E50" s="40"/>
      <c r="F50" s="40">
        <v>194060</v>
      </c>
    </row>
    <row r="51" spans="2:6" x14ac:dyDescent="0.25">
      <c r="B51" s="39" t="s">
        <v>74</v>
      </c>
      <c r="C51" s="40">
        <v>22750</v>
      </c>
      <c r="D51" s="40"/>
      <c r="E51" s="40"/>
      <c r="F51" s="40">
        <v>22750</v>
      </c>
    </row>
    <row r="52" spans="2:6" x14ac:dyDescent="0.25">
      <c r="B52" s="39" t="s">
        <v>122</v>
      </c>
      <c r="C52" s="40">
        <v>6985</v>
      </c>
      <c r="D52" s="40">
        <v>3500</v>
      </c>
      <c r="E52" s="40">
        <v>3500</v>
      </c>
      <c r="F52" s="40">
        <v>13985</v>
      </c>
    </row>
    <row r="53" spans="2:6" x14ac:dyDescent="0.25">
      <c r="B53" s="39" t="s">
        <v>69</v>
      </c>
      <c r="C53" s="40">
        <v>1105</v>
      </c>
      <c r="D53" s="40"/>
      <c r="E53" s="40"/>
      <c r="F53" s="40">
        <v>1105</v>
      </c>
    </row>
    <row r="54" spans="2:6" x14ac:dyDescent="0.25">
      <c r="B54" s="39" t="s">
        <v>159</v>
      </c>
      <c r="C54" s="40">
        <v>124874</v>
      </c>
      <c r="D54" s="40"/>
      <c r="E54" s="40"/>
      <c r="F54" s="40">
        <v>124874</v>
      </c>
    </row>
    <row r="55" spans="2:6" x14ac:dyDescent="0.25">
      <c r="B55" s="39" t="s">
        <v>160</v>
      </c>
      <c r="C55" s="40">
        <v>13256.25</v>
      </c>
      <c r="D55" s="40"/>
      <c r="E55" s="40"/>
      <c r="F55" s="40">
        <v>13256.25</v>
      </c>
    </row>
    <row r="56" spans="2:6" x14ac:dyDescent="0.25">
      <c r="B56" s="39" t="s">
        <v>60</v>
      </c>
      <c r="C56" s="40">
        <v>5145</v>
      </c>
      <c r="D56" s="40"/>
      <c r="E56" s="40"/>
      <c r="F56" s="40">
        <v>5145</v>
      </c>
    </row>
    <row r="57" spans="2:6" x14ac:dyDescent="0.25">
      <c r="B57" s="39" t="s">
        <v>124</v>
      </c>
      <c r="C57" s="40">
        <v>4538.47</v>
      </c>
      <c r="D57" s="40">
        <v>1233.2</v>
      </c>
      <c r="E57" s="40">
        <v>1500</v>
      </c>
      <c r="F57" s="40">
        <v>7271.67</v>
      </c>
    </row>
    <row r="58" spans="2:6" x14ac:dyDescent="0.25">
      <c r="B58" s="39" t="s">
        <v>88</v>
      </c>
      <c r="C58" s="40">
        <v>3972.5</v>
      </c>
      <c r="D58" s="40">
        <v>5500</v>
      </c>
      <c r="E58" s="40">
        <v>5500</v>
      </c>
      <c r="F58" s="40">
        <v>14972.5</v>
      </c>
    </row>
    <row r="59" spans="2:6" x14ac:dyDescent="0.25">
      <c r="B59" s="39" t="s">
        <v>104</v>
      </c>
      <c r="C59" s="40">
        <v>16896</v>
      </c>
      <c r="D59" s="40"/>
      <c r="E59" s="40"/>
      <c r="F59" s="40">
        <v>16896</v>
      </c>
    </row>
    <row r="60" spans="2:6" x14ac:dyDescent="0.25">
      <c r="B60" s="39" t="s">
        <v>33</v>
      </c>
      <c r="C60" s="40">
        <v>18429.84</v>
      </c>
      <c r="D60" s="40"/>
      <c r="E60" s="40"/>
      <c r="F60" s="40">
        <v>18429.84</v>
      </c>
    </row>
    <row r="61" spans="2:6" x14ac:dyDescent="0.25">
      <c r="B61" s="39" t="s">
        <v>24</v>
      </c>
      <c r="C61" s="40">
        <v>371795.33</v>
      </c>
      <c r="D61" s="40"/>
      <c r="E61" s="40"/>
      <c r="F61" s="40">
        <v>371795.33</v>
      </c>
    </row>
    <row r="62" spans="2:6" x14ac:dyDescent="0.25">
      <c r="B62" s="39" t="s">
        <v>50</v>
      </c>
      <c r="C62" s="40">
        <v>149497.76999999999</v>
      </c>
      <c r="D62" s="40"/>
      <c r="E62" s="40"/>
      <c r="F62" s="40">
        <v>149497.76999999999</v>
      </c>
    </row>
    <row r="63" spans="2:6" x14ac:dyDescent="0.25">
      <c r="B63" s="39" t="s">
        <v>78</v>
      </c>
      <c r="C63" s="40">
        <v>77135</v>
      </c>
      <c r="D63" s="40"/>
      <c r="E63" s="40"/>
      <c r="F63" s="40">
        <v>77135</v>
      </c>
    </row>
    <row r="64" spans="2:6" x14ac:dyDescent="0.25">
      <c r="B64" s="39" t="s">
        <v>174</v>
      </c>
      <c r="C64" s="40">
        <v>2517760.92</v>
      </c>
      <c r="D64" s="40">
        <v>177863.7</v>
      </c>
      <c r="E64" s="40">
        <v>173658</v>
      </c>
      <c r="F64" s="40">
        <v>2869282.6199999996</v>
      </c>
    </row>
    <row r="71" spans="7:7" x14ac:dyDescent="0.25">
      <c r="G71" s="3"/>
    </row>
    <row r="72" spans="7:7" x14ac:dyDescent="0.25">
      <c r="G72" s="3"/>
    </row>
    <row r="1048569" spans="7:7" x14ac:dyDescent="0.25">
      <c r="G1048569" s="24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5"/>
  <sheetViews>
    <sheetView tabSelected="1" topLeftCell="A72" workbookViewId="0">
      <selection activeCell="F85" sqref="F85:F86"/>
    </sheetView>
  </sheetViews>
  <sheetFormatPr baseColWidth="10" defaultRowHeight="15" x14ac:dyDescent="0.25"/>
  <cols>
    <col min="2" max="2" width="38.140625" bestFit="1" customWidth="1"/>
    <col min="3" max="3" width="21.42578125" bestFit="1" customWidth="1"/>
    <col min="4" max="4" width="21.42578125" customWidth="1"/>
    <col min="5" max="5" width="12.85546875" style="2" bestFit="1" customWidth="1"/>
    <col min="6" max="6" width="14.140625" bestFit="1" customWidth="1"/>
    <col min="7" max="7" width="35.7109375" bestFit="1" customWidth="1"/>
  </cols>
  <sheetData>
    <row r="1" spans="1:6" ht="15.75" thickBot="1" x14ac:dyDescent="0.3">
      <c r="A1" t="s">
        <v>147</v>
      </c>
    </row>
    <row r="2" spans="1:6" ht="15.75" thickBot="1" x14ac:dyDescent="0.3">
      <c r="A2" s="4" t="s">
        <v>1</v>
      </c>
      <c r="B2" s="5" t="s">
        <v>2</v>
      </c>
      <c r="C2" s="5" t="s">
        <v>3</v>
      </c>
      <c r="D2" s="5" t="s">
        <v>166</v>
      </c>
      <c r="E2" s="6" t="s">
        <v>4</v>
      </c>
      <c r="F2" s="7" t="s">
        <v>5</v>
      </c>
    </row>
    <row r="3" spans="1:6" x14ac:dyDescent="0.25">
      <c r="A3" s="37" t="s">
        <v>6</v>
      </c>
      <c r="B3" s="13" t="s">
        <v>7</v>
      </c>
      <c r="C3" s="13" t="s">
        <v>8</v>
      </c>
      <c r="D3" s="13">
        <v>7</v>
      </c>
      <c r="E3" s="14" t="s">
        <v>9</v>
      </c>
      <c r="F3" s="15">
        <v>31025</v>
      </c>
    </row>
    <row r="4" spans="1:6" x14ac:dyDescent="0.25">
      <c r="A4" s="18" t="s">
        <v>21</v>
      </c>
      <c r="B4" s="8" t="s">
        <v>22</v>
      </c>
      <c r="C4" s="8" t="s">
        <v>8</v>
      </c>
      <c r="D4" s="8">
        <v>7</v>
      </c>
      <c r="E4" s="10" t="s">
        <v>20</v>
      </c>
      <c r="F4" s="17">
        <v>9550</v>
      </c>
    </row>
    <row r="5" spans="1:6" x14ac:dyDescent="0.25">
      <c r="A5" s="18" t="s">
        <v>29</v>
      </c>
      <c r="B5" s="8" t="s">
        <v>30</v>
      </c>
      <c r="C5" s="8" t="s">
        <v>8</v>
      </c>
      <c r="D5" s="8">
        <v>7</v>
      </c>
      <c r="E5" s="10" t="s">
        <v>31</v>
      </c>
      <c r="F5" s="17">
        <v>17500</v>
      </c>
    </row>
    <row r="6" spans="1:6" x14ac:dyDescent="0.25">
      <c r="A6" s="18" t="s">
        <v>43</v>
      </c>
      <c r="B6" s="8" t="s">
        <v>30</v>
      </c>
      <c r="C6" s="8" t="s">
        <v>8</v>
      </c>
      <c r="D6" s="8">
        <v>7</v>
      </c>
      <c r="E6" s="10" t="s">
        <v>44</v>
      </c>
      <c r="F6" s="17">
        <v>145000</v>
      </c>
    </row>
    <row r="7" spans="1:6" x14ac:dyDescent="0.25">
      <c r="A7" s="18" t="s">
        <v>108</v>
      </c>
      <c r="B7" s="8" t="s">
        <v>30</v>
      </c>
      <c r="C7" s="8" t="s">
        <v>8</v>
      </c>
      <c r="D7" s="8">
        <v>7</v>
      </c>
      <c r="E7" s="10" t="s">
        <v>109</v>
      </c>
      <c r="F7" s="17">
        <v>24750</v>
      </c>
    </row>
    <row r="8" spans="1:6" x14ac:dyDescent="0.25">
      <c r="A8" s="18" t="s">
        <v>76</v>
      </c>
      <c r="B8" s="8" t="s">
        <v>30</v>
      </c>
      <c r="C8" s="8" t="s">
        <v>8</v>
      </c>
      <c r="D8" s="8">
        <v>7</v>
      </c>
      <c r="E8" s="10" t="s">
        <v>126</v>
      </c>
      <c r="F8" s="17">
        <v>52750</v>
      </c>
    </row>
    <row r="9" spans="1:6" x14ac:dyDescent="0.25">
      <c r="A9" s="18" t="s">
        <v>76</v>
      </c>
      <c r="B9" s="8" t="s">
        <v>30</v>
      </c>
      <c r="C9" s="8" t="s">
        <v>8</v>
      </c>
      <c r="D9" s="8">
        <v>7</v>
      </c>
      <c r="E9" s="10" t="s">
        <v>138</v>
      </c>
      <c r="F9" s="17">
        <v>48281</v>
      </c>
    </row>
    <row r="10" spans="1:6" x14ac:dyDescent="0.25">
      <c r="A10" s="18" t="s">
        <v>181</v>
      </c>
      <c r="B10" s="8" t="s">
        <v>30</v>
      </c>
      <c r="C10" s="8" t="s">
        <v>8</v>
      </c>
      <c r="D10" s="8">
        <v>7</v>
      </c>
      <c r="E10" s="10">
        <v>45443</v>
      </c>
      <c r="F10" s="17">
        <v>-52750</v>
      </c>
    </row>
    <row r="11" spans="1:6" x14ac:dyDescent="0.25">
      <c r="A11" s="18" t="s">
        <v>16</v>
      </c>
      <c r="B11" s="8" t="s">
        <v>17</v>
      </c>
      <c r="C11" s="8" t="s">
        <v>8</v>
      </c>
      <c r="D11" s="8">
        <v>7</v>
      </c>
      <c r="E11" s="10" t="s">
        <v>18</v>
      </c>
      <c r="F11" s="17">
        <v>681.84</v>
      </c>
    </row>
    <row r="12" spans="1:6" x14ac:dyDescent="0.25">
      <c r="A12" s="18" t="s">
        <v>57</v>
      </c>
      <c r="B12" s="8" t="s">
        <v>17</v>
      </c>
      <c r="C12" s="8" t="s">
        <v>8</v>
      </c>
      <c r="D12" s="8">
        <v>7</v>
      </c>
      <c r="E12" s="10" t="s">
        <v>58</v>
      </c>
      <c r="F12" s="17">
        <v>397.74</v>
      </c>
    </row>
    <row r="13" spans="1:6" x14ac:dyDescent="0.25">
      <c r="A13" s="18" t="s">
        <v>106</v>
      </c>
      <c r="B13" s="8" t="s">
        <v>17</v>
      </c>
      <c r="C13" s="8" t="s">
        <v>8</v>
      </c>
      <c r="D13" s="8">
        <v>7</v>
      </c>
      <c r="E13" s="10" t="s">
        <v>107</v>
      </c>
      <c r="F13" s="17">
        <v>227.29</v>
      </c>
    </row>
    <row r="14" spans="1:6" x14ac:dyDescent="0.25">
      <c r="A14" s="18" t="s">
        <v>13</v>
      </c>
      <c r="B14" s="8" t="s">
        <v>14</v>
      </c>
      <c r="C14" s="8" t="s">
        <v>8</v>
      </c>
      <c r="D14" s="8">
        <v>7</v>
      </c>
      <c r="E14" s="10" t="s">
        <v>15</v>
      </c>
      <c r="F14" s="17">
        <v>5988</v>
      </c>
    </row>
    <row r="15" spans="1:6" x14ac:dyDescent="0.25">
      <c r="A15" s="18" t="s">
        <v>110</v>
      </c>
      <c r="B15" s="8" t="s">
        <v>14</v>
      </c>
      <c r="C15" s="8" t="s">
        <v>8</v>
      </c>
      <c r="D15" s="8">
        <v>7</v>
      </c>
      <c r="E15" s="10" t="s">
        <v>111</v>
      </c>
      <c r="F15" s="17">
        <v>19968</v>
      </c>
    </row>
    <row r="16" spans="1:6" x14ac:dyDescent="0.25">
      <c r="A16" s="18" t="s">
        <v>76</v>
      </c>
      <c r="B16" s="8" t="s">
        <v>14</v>
      </c>
      <c r="C16" s="8" t="s">
        <v>8</v>
      </c>
      <c r="D16" s="8">
        <v>7</v>
      </c>
      <c r="E16" s="10" t="s">
        <v>136</v>
      </c>
      <c r="F16" s="17">
        <v>779.88</v>
      </c>
    </row>
    <row r="17" spans="1:6" x14ac:dyDescent="0.25">
      <c r="A17" s="18" t="s">
        <v>76</v>
      </c>
      <c r="B17" s="8" t="s">
        <v>14</v>
      </c>
      <c r="C17" s="8" t="s">
        <v>8</v>
      </c>
      <c r="D17" s="8">
        <v>7</v>
      </c>
      <c r="E17" s="10" t="s">
        <v>144</v>
      </c>
      <c r="F17" s="17">
        <v>7246.34</v>
      </c>
    </row>
    <row r="18" spans="1:6" x14ac:dyDescent="0.25">
      <c r="A18" s="18" t="s">
        <v>70</v>
      </c>
      <c r="B18" s="8" t="s">
        <v>71</v>
      </c>
      <c r="C18" s="8" t="s">
        <v>8</v>
      </c>
      <c r="D18" s="8">
        <v>7</v>
      </c>
      <c r="E18" s="10" t="s">
        <v>72</v>
      </c>
      <c r="F18" s="17">
        <v>731.7</v>
      </c>
    </row>
    <row r="19" spans="1:6" x14ac:dyDescent="0.25">
      <c r="A19" s="18" t="s">
        <v>94</v>
      </c>
      <c r="B19" s="8" t="s">
        <v>71</v>
      </c>
      <c r="C19" s="8" t="s">
        <v>8</v>
      </c>
      <c r="D19" s="8">
        <v>7</v>
      </c>
      <c r="E19" s="10" t="s">
        <v>93</v>
      </c>
      <c r="F19" s="17">
        <v>75371.429999999993</v>
      </c>
    </row>
    <row r="20" spans="1:6" x14ac:dyDescent="0.25">
      <c r="A20" s="18" t="s">
        <v>112</v>
      </c>
      <c r="B20" s="8" t="s">
        <v>71</v>
      </c>
      <c r="C20" s="8" t="s">
        <v>8</v>
      </c>
      <c r="D20" s="8">
        <v>7</v>
      </c>
      <c r="E20" s="10" t="s">
        <v>113</v>
      </c>
      <c r="F20" s="17">
        <v>75118.75</v>
      </c>
    </row>
    <row r="21" spans="1:6" x14ac:dyDescent="0.25">
      <c r="A21" s="18" t="s">
        <v>129</v>
      </c>
      <c r="B21" s="8" t="s">
        <v>71</v>
      </c>
      <c r="C21" s="8" t="s">
        <v>8</v>
      </c>
      <c r="D21" s="8">
        <v>7</v>
      </c>
      <c r="E21" s="10" t="s">
        <v>128</v>
      </c>
      <c r="F21" s="17">
        <v>75118.75</v>
      </c>
    </row>
    <row r="22" spans="1:6" x14ac:dyDescent="0.25">
      <c r="A22" s="18" t="s">
        <v>76</v>
      </c>
      <c r="B22" s="8" t="s">
        <v>71</v>
      </c>
      <c r="C22" s="8" t="s">
        <v>8</v>
      </c>
      <c r="D22" s="8">
        <v>7</v>
      </c>
      <c r="E22" s="10" t="s">
        <v>139</v>
      </c>
      <c r="F22" s="17">
        <v>146433.75</v>
      </c>
    </row>
    <row r="23" spans="1:6" x14ac:dyDescent="0.25">
      <c r="A23" s="18" t="s">
        <v>76</v>
      </c>
      <c r="B23" s="8" t="s">
        <v>19</v>
      </c>
      <c r="C23" s="8" t="s">
        <v>8</v>
      </c>
      <c r="D23" s="8">
        <v>7</v>
      </c>
      <c r="E23" s="10" t="s">
        <v>137</v>
      </c>
      <c r="F23" s="17">
        <v>56526.03</v>
      </c>
    </row>
    <row r="24" spans="1:6" x14ac:dyDescent="0.25">
      <c r="A24" s="19"/>
      <c r="B24" s="8" t="s">
        <v>19</v>
      </c>
      <c r="C24" s="8" t="s">
        <v>8</v>
      </c>
      <c r="D24" s="8">
        <v>7</v>
      </c>
      <c r="E24" s="10">
        <v>45474</v>
      </c>
      <c r="F24" s="17">
        <v>15332.51</v>
      </c>
    </row>
    <row r="25" spans="1:6" x14ac:dyDescent="0.25">
      <c r="A25" s="18" t="s">
        <v>76</v>
      </c>
      <c r="B25" s="8" t="s">
        <v>145</v>
      </c>
      <c r="C25" s="8" t="s">
        <v>8</v>
      </c>
      <c r="D25" s="8">
        <v>7</v>
      </c>
      <c r="E25" s="10" t="s">
        <v>146</v>
      </c>
      <c r="F25" s="17">
        <v>7500</v>
      </c>
    </row>
    <row r="26" spans="1:6" x14ac:dyDescent="0.25">
      <c r="A26" s="18" t="s">
        <v>66</v>
      </c>
      <c r="B26" s="8" t="s">
        <v>67</v>
      </c>
      <c r="C26" s="8" t="s">
        <v>8</v>
      </c>
      <c r="D26" s="8">
        <v>7</v>
      </c>
      <c r="E26" s="10" t="s">
        <v>68</v>
      </c>
      <c r="F26" s="17">
        <f>141624-35406</f>
        <v>106218</v>
      </c>
    </row>
    <row r="27" spans="1:6" x14ac:dyDescent="0.25">
      <c r="A27" s="18" t="s">
        <v>40</v>
      </c>
      <c r="B27" s="8" t="s">
        <v>41</v>
      </c>
      <c r="C27" s="8" t="s">
        <v>8</v>
      </c>
      <c r="D27" s="8">
        <v>7</v>
      </c>
      <c r="E27" s="10" t="s">
        <v>42</v>
      </c>
      <c r="F27" s="17">
        <v>267.22000000000003</v>
      </c>
    </row>
    <row r="28" spans="1:6" x14ac:dyDescent="0.25">
      <c r="A28" s="18" t="s">
        <v>86</v>
      </c>
      <c r="B28" s="8" t="s">
        <v>41</v>
      </c>
      <c r="C28" s="8" t="s">
        <v>8</v>
      </c>
      <c r="D28" s="8">
        <v>7</v>
      </c>
      <c r="E28" s="10" t="s">
        <v>87</v>
      </c>
      <c r="F28" s="17">
        <v>3375.65</v>
      </c>
    </row>
    <row r="29" spans="1:6" x14ac:dyDescent="0.25">
      <c r="A29" s="18" t="s">
        <v>97</v>
      </c>
      <c r="B29" s="8" t="s">
        <v>41</v>
      </c>
      <c r="C29" s="8" t="s">
        <v>8</v>
      </c>
      <c r="D29" s="8">
        <v>7</v>
      </c>
      <c r="E29" s="10" t="s">
        <v>98</v>
      </c>
      <c r="F29" s="17">
        <v>24.91</v>
      </c>
    </row>
    <row r="30" spans="1:6" x14ac:dyDescent="0.25">
      <c r="A30" s="18" t="s">
        <v>120</v>
      </c>
      <c r="B30" s="8" t="s">
        <v>41</v>
      </c>
      <c r="C30" s="8" t="s">
        <v>8</v>
      </c>
      <c r="D30" s="8">
        <v>7</v>
      </c>
      <c r="E30" s="10" t="s">
        <v>119</v>
      </c>
      <c r="F30" s="17">
        <v>111.76</v>
      </c>
    </row>
    <row r="31" spans="1:6" x14ac:dyDescent="0.25">
      <c r="A31" s="18" t="s">
        <v>76</v>
      </c>
      <c r="B31" s="8" t="s">
        <v>41</v>
      </c>
      <c r="C31" s="8" t="s">
        <v>8</v>
      </c>
      <c r="D31" s="8">
        <v>7</v>
      </c>
      <c r="E31" s="10" t="s">
        <v>134</v>
      </c>
      <c r="F31" s="17">
        <v>69.08</v>
      </c>
    </row>
    <row r="32" spans="1:6" x14ac:dyDescent="0.25">
      <c r="A32" s="18"/>
      <c r="B32" s="8" t="s">
        <v>41</v>
      </c>
      <c r="C32" s="8" t="s">
        <v>8</v>
      </c>
      <c r="D32" s="8">
        <v>7</v>
      </c>
      <c r="E32" s="10">
        <v>45485</v>
      </c>
      <c r="F32" s="17">
        <v>589.13</v>
      </c>
    </row>
    <row r="33" spans="1:6" x14ac:dyDescent="0.25">
      <c r="A33" s="18" t="s">
        <v>76</v>
      </c>
      <c r="B33" s="8" t="s">
        <v>140</v>
      </c>
      <c r="C33" s="8" t="s">
        <v>8</v>
      </c>
      <c r="D33" s="8">
        <v>7</v>
      </c>
      <c r="E33" s="10" t="s">
        <v>139</v>
      </c>
      <c r="F33" s="17">
        <v>4725</v>
      </c>
    </row>
    <row r="34" spans="1:6" x14ac:dyDescent="0.25">
      <c r="A34" s="18" t="s">
        <v>182</v>
      </c>
      <c r="B34" s="8" t="s">
        <v>140</v>
      </c>
      <c r="C34" s="8" t="s">
        <v>8</v>
      </c>
      <c r="D34" s="8">
        <v>7</v>
      </c>
      <c r="E34" s="10">
        <v>45487</v>
      </c>
      <c r="F34" s="17">
        <v>1148.75</v>
      </c>
    </row>
    <row r="35" spans="1:6" x14ac:dyDescent="0.25">
      <c r="A35" s="18" t="s">
        <v>84</v>
      </c>
      <c r="B35" s="8" t="s">
        <v>85</v>
      </c>
      <c r="C35" s="8" t="s">
        <v>8</v>
      </c>
      <c r="D35" s="8">
        <v>7</v>
      </c>
      <c r="E35" s="10" t="s">
        <v>81</v>
      </c>
      <c r="F35" s="17">
        <v>5775</v>
      </c>
    </row>
    <row r="36" spans="1:6" x14ac:dyDescent="0.25">
      <c r="A36" s="18" t="s">
        <v>76</v>
      </c>
      <c r="B36" s="8" t="s">
        <v>85</v>
      </c>
      <c r="C36" s="8" t="s">
        <v>8</v>
      </c>
      <c r="D36" s="8">
        <v>7</v>
      </c>
      <c r="E36" s="10" t="s">
        <v>133</v>
      </c>
      <c r="F36" s="17">
        <v>5775</v>
      </c>
    </row>
    <row r="37" spans="1:6" x14ac:dyDescent="0.25">
      <c r="A37" s="18" t="s">
        <v>76</v>
      </c>
      <c r="B37" s="8" t="s">
        <v>141</v>
      </c>
      <c r="C37" s="8" t="s">
        <v>8</v>
      </c>
      <c r="D37" s="8">
        <v>7</v>
      </c>
      <c r="E37" s="10" t="s">
        <v>139</v>
      </c>
      <c r="F37" s="17">
        <v>25397.75</v>
      </c>
    </row>
    <row r="38" spans="1:6" x14ac:dyDescent="0.25">
      <c r="A38" s="18" t="s">
        <v>37</v>
      </c>
      <c r="B38" s="8" t="s">
        <v>38</v>
      </c>
      <c r="C38" s="8" t="s">
        <v>8</v>
      </c>
      <c r="D38" s="8">
        <v>7</v>
      </c>
      <c r="E38" s="10" t="s">
        <v>39</v>
      </c>
      <c r="F38" s="17">
        <v>1440</v>
      </c>
    </row>
    <row r="39" spans="1:6" x14ac:dyDescent="0.25">
      <c r="A39" s="18" t="s">
        <v>82</v>
      </c>
      <c r="B39" s="8" t="s">
        <v>83</v>
      </c>
      <c r="C39" s="8" t="s">
        <v>8</v>
      </c>
      <c r="D39" s="8">
        <v>7</v>
      </c>
      <c r="E39" s="10" t="s">
        <v>81</v>
      </c>
      <c r="F39" s="17">
        <v>24875</v>
      </c>
    </row>
    <row r="40" spans="1:6" x14ac:dyDescent="0.25">
      <c r="A40" s="18" t="s">
        <v>101</v>
      </c>
      <c r="B40" s="8" t="s">
        <v>83</v>
      </c>
      <c r="C40" s="8" t="s">
        <v>8</v>
      </c>
      <c r="D40" s="8">
        <v>7</v>
      </c>
      <c r="E40" s="10" t="s">
        <v>102</v>
      </c>
      <c r="F40" s="17">
        <v>20313</v>
      </c>
    </row>
    <row r="41" spans="1:6" x14ac:dyDescent="0.25">
      <c r="A41" s="18" t="s">
        <v>118</v>
      </c>
      <c r="B41" s="8" t="s">
        <v>83</v>
      </c>
      <c r="C41" s="8" t="s">
        <v>8</v>
      </c>
      <c r="D41" s="8">
        <v>7</v>
      </c>
      <c r="E41" s="10" t="s">
        <v>119</v>
      </c>
      <c r="F41" s="17">
        <v>11375</v>
      </c>
    </row>
    <row r="42" spans="1:6" x14ac:dyDescent="0.25">
      <c r="A42" s="18" t="s">
        <v>76</v>
      </c>
      <c r="B42" s="8" t="s">
        <v>83</v>
      </c>
      <c r="C42" s="8" t="s">
        <v>8</v>
      </c>
      <c r="D42" s="8">
        <v>7</v>
      </c>
      <c r="E42" s="10" t="s">
        <v>135</v>
      </c>
      <c r="F42" s="17">
        <v>28750</v>
      </c>
    </row>
    <row r="43" spans="1:6" x14ac:dyDescent="0.25">
      <c r="A43" s="19" t="s">
        <v>184</v>
      </c>
      <c r="B43" s="8" t="s">
        <v>83</v>
      </c>
      <c r="C43" s="8" t="s">
        <v>8</v>
      </c>
      <c r="D43" s="8">
        <v>7</v>
      </c>
      <c r="E43" s="10">
        <v>45487</v>
      </c>
      <c r="F43" s="17">
        <v>13500</v>
      </c>
    </row>
    <row r="44" spans="1:6" x14ac:dyDescent="0.25">
      <c r="A44" s="16" t="s">
        <v>161</v>
      </c>
      <c r="B44" s="9" t="s">
        <v>162</v>
      </c>
      <c r="C44" s="8" t="s">
        <v>8</v>
      </c>
      <c r="D44" s="8">
        <v>7</v>
      </c>
      <c r="E44" s="10">
        <v>44217</v>
      </c>
      <c r="F44" s="17">
        <v>478937.5</v>
      </c>
    </row>
    <row r="45" spans="1:6" x14ac:dyDescent="0.25">
      <c r="A45" s="18" t="s">
        <v>76</v>
      </c>
      <c r="B45" s="8" t="s">
        <v>127</v>
      </c>
      <c r="C45" s="8" t="s">
        <v>8</v>
      </c>
      <c r="D45" s="8">
        <v>7</v>
      </c>
      <c r="E45" s="10" t="s">
        <v>128</v>
      </c>
      <c r="F45" s="17">
        <v>11125</v>
      </c>
    </row>
    <row r="46" spans="1:6" x14ac:dyDescent="0.25">
      <c r="A46" s="18" t="s">
        <v>26</v>
      </c>
      <c r="B46" s="8" t="s">
        <v>27</v>
      </c>
      <c r="C46" s="8" t="s">
        <v>8</v>
      </c>
      <c r="D46" s="8">
        <v>7</v>
      </c>
      <c r="E46" s="10" t="s">
        <v>28</v>
      </c>
      <c r="F46" s="17">
        <v>1665</v>
      </c>
    </row>
    <row r="47" spans="1:6" x14ac:dyDescent="0.25">
      <c r="A47" s="18" t="s">
        <v>35</v>
      </c>
      <c r="B47" s="8" t="s">
        <v>27</v>
      </c>
      <c r="C47" s="8" t="s">
        <v>8</v>
      </c>
      <c r="D47" s="8">
        <v>7</v>
      </c>
      <c r="E47" s="10" t="s">
        <v>36</v>
      </c>
      <c r="F47" s="17">
        <v>1314</v>
      </c>
    </row>
    <row r="48" spans="1:6" x14ac:dyDescent="0.25">
      <c r="A48" s="18" t="s">
        <v>45</v>
      </c>
      <c r="B48" s="8" t="s">
        <v>27</v>
      </c>
      <c r="C48" s="8" t="s">
        <v>8</v>
      </c>
      <c r="D48" s="8">
        <v>7</v>
      </c>
      <c r="E48" s="10" t="s">
        <v>46</v>
      </c>
      <c r="F48" s="17">
        <v>4486</v>
      </c>
    </row>
    <row r="49" spans="1:6" x14ac:dyDescent="0.25">
      <c r="A49" s="18" t="s">
        <v>47</v>
      </c>
      <c r="B49" s="8" t="s">
        <v>27</v>
      </c>
      <c r="C49" s="8" t="s">
        <v>8</v>
      </c>
      <c r="D49" s="8">
        <v>7</v>
      </c>
      <c r="E49" s="10" t="s">
        <v>46</v>
      </c>
      <c r="F49" s="17">
        <v>53255</v>
      </c>
    </row>
    <row r="50" spans="1:6" x14ac:dyDescent="0.25">
      <c r="A50" s="16" t="s">
        <v>157</v>
      </c>
      <c r="B50" s="8" t="s">
        <v>27</v>
      </c>
      <c r="C50" s="8" t="s">
        <v>8</v>
      </c>
      <c r="D50" s="8">
        <v>7</v>
      </c>
      <c r="E50" s="10" t="s">
        <v>46</v>
      </c>
      <c r="F50" s="17">
        <v>-7495</v>
      </c>
    </row>
    <row r="51" spans="1:6" x14ac:dyDescent="0.25">
      <c r="A51" s="18" t="s">
        <v>53</v>
      </c>
      <c r="B51" s="8" t="s">
        <v>27</v>
      </c>
      <c r="C51" s="8" t="s">
        <v>8</v>
      </c>
      <c r="D51" s="8">
        <v>7</v>
      </c>
      <c r="E51" s="10" t="s">
        <v>54</v>
      </c>
      <c r="F51" s="17">
        <v>1314</v>
      </c>
    </row>
    <row r="52" spans="1:6" x14ac:dyDescent="0.25">
      <c r="A52" s="18" t="s">
        <v>62</v>
      </c>
      <c r="B52" s="8" t="s">
        <v>27</v>
      </c>
      <c r="C52" s="8" t="s">
        <v>8</v>
      </c>
      <c r="D52" s="8">
        <v>7</v>
      </c>
      <c r="E52" s="10" t="s">
        <v>63</v>
      </c>
      <c r="F52" s="17">
        <v>1751</v>
      </c>
    </row>
    <row r="53" spans="1:6" x14ac:dyDescent="0.25">
      <c r="A53" s="18" t="s">
        <v>80</v>
      </c>
      <c r="B53" s="8" t="s">
        <v>27</v>
      </c>
      <c r="C53" s="8" t="s">
        <v>8</v>
      </c>
      <c r="D53" s="8">
        <v>7</v>
      </c>
      <c r="E53" s="10" t="s">
        <v>81</v>
      </c>
      <c r="F53" s="17">
        <v>1314</v>
      </c>
    </row>
    <row r="54" spans="1:6" x14ac:dyDescent="0.25">
      <c r="A54" s="18" t="s">
        <v>91</v>
      </c>
      <c r="B54" s="8" t="s">
        <v>27</v>
      </c>
      <c r="C54" s="8" t="s">
        <v>8</v>
      </c>
      <c r="D54" s="8">
        <v>7</v>
      </c>
      <c r="E54" s="10" t="s">
        <v>90</v>
      </c>
      <c r="F54" s="17">
        <v>60554</v>
      </c>
    </row>
    <row r="55" spans="1:6" x14ac:dyDescent="0.25">
      <c r="A55" s="18" t="s">
        <v>92</v>
      </c>
      <c r="B55" s="8" t="s">
        <v>27</v>
      </c>
      <c r="C55" s="8" t="s">
        <v>8</v>
      </c>
      <c r="D55" s="8">
        <v>7</v>
      </c>
      <c r="E55" s="10" t="s">
        <v>90</v>
      </c>
      <c r="F55" s="17">
        <v>4916</v>
      </c>
    </row>
    <row r="56" spans="1:6" x14ac:dyDescent="0.25">
      <c r="A56" s="18" t="s">
        <v>99</v>
      </c>
      <c r="B56" s="8" t="s">
        <v>27</v>
      </c>
      <c r="C56" s="8" t="s">
        <v>8</v>
      </c>
      <c r="D56" s="8">
        <v>7</v>
      </c>
      <c r="E56" s="10" t="s">
        <v>100</v>
      </c>
      <c r="F56" s="17">
        <v>1314</v>
      </c>
    </row>
    <row r="57" spans="1:6" x14ac:dyDescent="0.25">
      <c r="A57" s="18" t="s">
        <v>116</v>
      </c>
      <c r="B57" s="8" t="s">
        <v>27</v>
      </c>
      <c r="C57" s="8" t="s">
        <v>8</v>
      </c>
      <c r="D57" s="8">
        <v>7</v>
      </c>
      <c r="E57" s="10" t="s">
        <v>117</v>
      </c>
      <c r="F57" s="17">
        <v>1789</v>
      </c>
    </row>
    <row r="58" spans="1:6" x14ac:dyDescent="0.25">
      <c r="A58" s="18" t="s">
        <v>76</v>
      </c>
      <c r="B58" s="8" t="s">
        <v>27</v>
      </c>
      <c r="C58" s="8" t="s">
        <v>8</v>
      </c>
      <c r="D58" s="8">
        <v>7</v>
      </c>
      <c r="E58" s="10" t="s">
        <v>135</v>
      </c>
      <c r="F58" s="17">
        <v>1314</v>
      </c>
    </row>
    <row r="59" spans="1:6" x14ac:dyDescent="0.25">
      <c r="A59" s="18" t="s">
        <v>76</v>
      </c>
      <c r="B59" s="8" t="s">
        <v>27</v>
      </c>
      <c r="C59" s="8" t="s">
        <v>8</v>
      </c>
      <c r="D59" s="8">
        <v>7</v>
      </c>
      <c r="E59" s="10" t="s">
        <v>139</v>
      </c>
      <c r="F59" s="17">
        <v>60554</v>
      </c>
    </row>
    <row r="60" spans="1:6" x14ac:dyDescent="0.25">
      <c r="A60" s="18" t="s">
        <v>76</v>
      </c>
      <c r="B60" s="8" t="s">
        <v>27</v>
      </c>
      <c r="C60" s="8" t="s">
        <v>8</v>
      </c>
      <c r="D60" s="8">
        <v>7</v>
      </c>
      <c r="E60" s="10" t="s">
        <v>139</v>
      </c>
      <c r="F60" s="17">
        <v>4701</v>
      </c>
    </row>
    <row r="61" spans="1:6" x14ac:dyDescent="0.25">
      <c r="A61" s="18" t="s">
        <v>76</v>
      </c>
      <c r="B61" s="8" t="s">
        <v>27</v>
      </c>
      <c r="C61" s="8" t="s">
        <v>8</v>
      </c>
      <c r="D61" s="8">
        <v>7</v>
      </c>
      <c r="E61" s="10" t="s">
        <v>143</v>
      </c>
      <c r="F61" s="17">
        <v>1314</v>
      </c>
    </row>
    <row r="62" spans="1:6" x14ac:dyDescent="0.25">
      <c r="A62" s="18" t="s">
        <v>73</v>
      </c>
      <c r="B62" s="8" t="s">
        <v>74</v>
      </c>
      <c r="C62" s="8" t="s">
        <v>8</v>
      </c>
      <c r="D62" s="8">
        <v>7</v>
      </c>
      <c r="E62" s="10" t="s">
        <v>75</v>
      </c>
      <c r="F62" s="17">
        <v>3875</v>
      </c>
    </row>
    <row r="63" spans="1:6" x14ac:dyDescent="0.25">
      <c r="A63" s="18" t="s">
        <v>95</v>
      </c>
      <c r="B63" s="8" t="s">
        <v>74</v>
      </c>
      <c r="C63" s="8" t="s">
        <v>8</v>
      </c>
      <c r="D63" s="8">
        <v>7</v>
      </c>
      <c r="E63" s="10" t="s">
        <v>96</v>
      </c>
      <c r="F63" s="17">
        <v>3625</v>
      </c>
    </row>
    <row r="64" spans="1:6" x14ac:dyDescent="0.25">
      <c r="A64" s="18" t="s">
        <v>114</v>
      </c>
      <c r="B64" s="8" t="s">
        <v>74</v>
      </c>
      <c r="C64" s="8" t="s">
        <v>8</v>
      </c>
      <c r="D64" s="8">
        <v>7</v>
      </c>
      <c r="E64" s="10" t="s">
        <v>115</v>
      </c>
      <c r="F64" s="17">
        <v>3875</v>
      </c>
    </row>
    <row r="65" spans="1:6" x14ac:dyDescent="0.25">
      <c r="A65" s="18" t="s">
        <v>130</v>
      </c>
      <c r="B65" s="8" t="s">
        <v>74</v>
      </c>
      <c r="C65" s="8" t="s">
        <v>8</v>
      </c>
      <c r="D65" s="8">
        <v>7</v>
      </c>
      <c r="E65" s="10" t="s">
        <v>131</v>
      </c>
      <c r="F65" s="17">
        <v>3750</v>
      </c>
    </row>
    <row r="66" spans="1:6" x14ac:dyDescent="0.25">
      <c r="A66" s="18" t="s">
        <v>76</v>
      </c>
      <c r="B66" s="8" t="s">
        <v>74</v>
      </c>
      <c r="C66" s="8" t="s">
        <v>8</v>
      </c>
      <c r="D66" s="8">
        <v>7</v>
      </c>
      <c r="E66" s="10" t="s">
        <v>142</v>
      </c>
      <c r="F66" s="17">
        <v>3875</v>
      </c>
    </row>
    <row r="67" spans="1:6" x14ac:dyDescent="0.25">
      <c r="A67" s="18"/>
      <c r="B67" s="8" t="s">
        <v>74</v>
      </c>
      <c r="C67" s="8" t="s">
        <v>8</v>
      </c>
      <c r="D67" s="8">
        <v>7</v>
      </c>
      <c r="E67" s="10">
        <v>45503</v>
      </c>
      <c r="F67" s="17">
        <v>3750</v>
      </c>
    </row>
    <row r="68" spans="1:6" x14ac:dyDescent="0.25">
      <c r="A68" s="18" t="s">
        <v>121</v>
      </c>
      <c r="B68" s="8" t="s">
        <v>122</v>
      </c>
      <c r="C68" s="8" t="s">
        <v>8</v>
      </c>
      <c r="D68" s="8">
        <v>7</v>
      </c>
      <c r="E68" s="10" t="s">
        <v>119</v>
      </c>
      <c r="F68" s="17">
        <v>3492.5</v>
      </c>
    </row>
    <row r="69" spans="1:6" x14ac:dyDescent="0.25">
      <c r="A69" s="19" t="s">
        <v>185</v>
      </c>
      <c r="B69" s="8" t="s">
        <v>122</v>
      </c>
      <c r="C69" s="8" t="s">
        <v>8</v>
      </c>
      <c r="D69" s="8">
        <v>7</v>
      </c>
      <c r="E69" s="48">
        <v>45487</v>
      </c>
      <c r="F69" s="17">
        <v>3492.5</v>
      </c>
    </row>
    <row r="70" spans="1:6" x14ac:dyDescent="0.25">
      <c r="A70" s="18" t="s">
        <v>76</v>
      </c>
      <c r="B70" s="8" t="s">
        <v>69</v>
      </c>
      <c r="C70" s="8" t="s">
        <v>8</v>
      </c>
      <c r="D70" s="8">
        <v>7</v>
      </c>
      <c r="E70" s="10" t="s">
        <v>132</v>
      </c>
      <c r="F70" s="17">
        <f>777+328</f>
        <v>1105</v>
      </c>
    </row>
    <row r="71" spans="1:6" x14ac:dyDescent="0.25">
      <c r="A71" s="16" t="s">
        <v>158</v>
      </c>
      <c r="B71" s="9" t="s">
        <v>159</v>
      </c>
      <c r="C71" s="8" t="s">
        <v>8</v>
      </c>
      <c r="D71" s="8">
        <v>7</v>
      </c>
      <c r="E71" s="10">
        <v>44926</v>
      </c>
      <c r="F71" s="17">
        <v>124874</v>
      </c>
    </row>
    <row r="72" spans="1:6" x14ac:dyDescent="0.25">
      <c r="A72" s="16" t="s">
        <v>59</v>
      </c>
      <c r="B72" s="9" t="s">
        <v>160</v>
      </c>
      <c r="C72" s="8" t="s">
        <v>8</v>
      </c>
      <c r="D72" s="8">
        <v>7</v>
      </c>
      <c r="E72" s="10">
        <v>45300</v>
      </c>
      <c r="F72" s="17">
        <v>13256.25</v>
      </c>
    </row>
    <row r="73" spans="1:6" x14ac:dyDescent="0.25">
      <c r="A73" s="18" t="s">
        <v>59</v>
      </c>
      <c r="B73" s="8" t="s">
        <v>60</v>
      </c>
      <c r="C73" s="8" t="s">
        <v>8</v>
      </c>
      <c r="D73" s="8">
        <v>7</v>
      </c>
      <c r="E73" s="10" t="s">
        <v>61</v>
      </c>
      <c r="F73" s="17">
        <v>5145</v>
      </c>
    </row>
    <row r="74" spans="1:6" x14ac:dyDescent="0.25">
      <c r="A74" s="18" t="s">
        <v>123</v>
      </c>
      <c r="B74" s="8" t="s">
        <v>124</v>
      </c>
      <c r="C74" s="8" t="s">
        <v>8</v>
      </c>
      <c r="D74" s="8">
        <v>7</v>
      </c>
      <c r="E74" s="10" t="s">
        <v>125</v>
      </c>
      <c r="F74" s="17">
        <v>1511.51</v>
      </c>
    </row>
    <row r="75" spans="1:6" x14ac:dyDescent="0.25">
      <c r="A75" s="18" t="s">
        <v>76</v>
      </c>
      <c r="B75" s="8" t="s">
        <v>124</v>
      </c>
      <c r="C75" s="8" t="s">
        <v>8</v>
      </c>
      <c r="D75" s="8">
        <v>7</v>
      </c>
      <c r="E75" s="10" t="s">
        <v>135</v>
      </c>
      <c r="F75" s="17">
        <v>1533.14</v>
      </c>
    </row>
    <row r="76" spans="1:6" x14ac:dyDescent="0.25">
      <c r="A76" s="18" t="s">
        <v>76</v>
      </c>
      <c r="B76" s="8" t="s">
        <v>124</v>
      </c>
      <c r="C76" s="8" t="s">
        <v>8</v>
      </c>
      <c r="D76" s="8">
        <v>7</v>
      </c>
      <c r="E76" s="10" t="s">
        <v>144</v>
      </c>
      <c r="F76" s="17">
        <v>1493.82</v>
      </c>
    </row>
    <row r="77" spans="1:6" x14ac:dyDescent="0.25">
      <c r="A77" s="18" t="s">
        <v>186</v>
      </c>
      <c r="B77" s="8" t="s">
        <v>88</v>
      </c>
      <c r="C77" s="8" t="s">
        <v>8</v>
      </c>
      <c r="D77" s="8">
        <v>7</v>
      </c>
      <c r="E77" s="10">
        <v>45490</v>
      </c>
      <c r="F77" s="17">
        <v>3972.5</v>
      </c>
    </row>
    <row r="78" spans="1:6" x14ac:dyDescent="0.25">
      <c r="A78" s="18" t="s">
        <v>103</v>
      </c>
      <c r="B78" s="8" t="s">
        <v>104</v>
      </c>
      <c r="C78" s="8" t="s">
        <v>8</v>
      </c>
      <c r="D78" s="8">
        <v>7</v>
      </c>
      <c r="E78" s="10" t="s">
        <v>105</v>
      </c>
      <c r="F78" s="17">
        <v>16896</v>
      </c>
    </row>
    <row r="79" spans="1:6" x14ac:dyDescent="0.25">
      <c r="A79" s="18" t="s">
        <v>32</v>
      </c>
      <c r="B79" s="8" t="s">
        <v>33</v>
      </c>
      <c r="C79" s="8" t="s">
        <v>8</v>
      </c>
      <c r="D79" s="8">
        <v>7</v>
      </c>
      <c r="E79" s="10" t="s">
        <v>34</v>
      </c>
      <c r="F79" s="17">
        <v>18429.84</v>
      </c>
    </row>
    <row r="80" spans="1:6" x14ac:dyDescent="0.25">
      <c r="A80" s="18" t="s">
        <v>23</v>
      </c>
      <c r="B80" s="8" t="s">
        <v>24</v>
      </c>
      <c r="C80" s="8" t="s">
        <v>8</v>
      </c>
      <c r="D80" s="8">
        <v>7</v>
      </c>
      <c r="E80" s="10" t="s">
        <v>25</v>
      </c>
      <c r="F80" s="17">
        <v>89718.95</v>
      </c>
    </row>
    <row r="81" spans="1:7" x14ac:dyDescent="0.25">
      <c r="A81" s="18" t="s">
        <v>48</v>
      </c>
      <c r="B81" s="8" t="s">
        <v>24</v>
      </c>
      <c r="C81" s="8" t="s">
        <v>8</v>
      </c>
      <c r="D81" s="8">
        <v>7</v>
      </c>
      <c r="E81" s="10" t="s">
        <v>46</v>
      </c>
      <c r="F81" s="17">
        <v>89718.95</v>
      </c>
    </row>
    <row r="82" spans="1:7" x14ac:dyDescent="0.25">
      <c r="A82" s="18" t="s">
        <v>64</v>
      </c>
      <c r="B82" s="8" t="s">
        <v>24</v>
      </c>
      <c r="C82" s="8" t="s">
        <v>8</v>
      </c>
      <c r="D82" s="8">
        <v>7</v>
      </c>
      <c r="E82" s="10" t="s">
        <v>65</v>
      </c>
      <c r="F82" s="17">
        <v>4306.51</v>
      </c>
    </row>
    <row r="83" spans="1:7" x14ac:dyDescent="0.25">
      <c r="A83" s="18" t="s">
        <v>89</v>
      </c>
      <c r="B83" s="8" t="s">
        <v>24</v>
      </c>
      <c r="C83" s="8" t="s">
        <v>8</v>
      </c>
      <c r="D83" s="8">
        <v>7</v>
      </c>
      <c r="E83" s="10" t="s">
        <v>90</v>
      </c>
      <c r="F83" s="17">
        <v>94025.46</v>
      </c>
    </row>
    <row r="84" spans="1:7" x14ac:dyDescent="0.25">
      <c r="A84" s="18" t="s">
        <v>76</v>
      </c>
      <c r="B84" s="9" t="s">
        <v>24</v>
      </c>
      <c r="C84" s="8" t="s">
        <v>8</v>
      </c>
      <c r="D84" s="8">
        <v>7</v>
      </c>
      <c r="E84" s="10" t="s">
        <v>139</v>
      </c>
      <c r="F84" s="17">
        <v>94025.46</v>
      </c>
    </row>
    <row r="85" spans="1:7" x14ac:dyDescent="0.25">
      <c r="A85" s="18" t="s">
        <v>153</v>
      </c>
      <c r="B85" s="8" t="s">
        <v>50</v>
      </c>
      <c r="C85" s="8" t="s">
        <v>8</v>
      </c>
      <c r="D85" s="8">
        <v>7</v>
      </c>
      <c r="E85" s="10">
        <v>45370</v>
      </c>
      <c r="F85" s="17">
        <v>34556.519999999997</v>
      </c>
      <c r="G85" s="1" t="s">
        <v>156</v>
      </c>
    </row>
    <row r="86" spans="1:7" x14ac:dyDescent="0.25">
      <c r="A86" s="18" t="s">
        <v>154</v>
      </c>
      <c r="B86" s="8" t="s">
        <v>50</v>
      </c>
      <c r="C86" s="8" t="s">
        <v>8</v>
      </c>
      <c r="D86" s="8">
        <v>7</v>
      </c>
      <c r="E86" s="10">
        <v>45370</v>
      </c>
      <c r="F86" s="17">
        <v>15153.04</v>
      </c>
      <c r="G86" s="1" t="s">
        <v>156</v>
      </c>
    </row>
    <row r="87" spans="1:7" x14ac:dyDescent="0.25">
      <c r="A87" s="18" t="s">
        <v>155</v>
      </c>
      <c r="B87" s="8" t="s">
        <v>50</v>
      </c>
      <c r="C87" s="8" t="s">
        <v>8</v>
      </c>
      <c r="D87" s="8">
        <v>7</v>
      </c>
      <c r="E87" s="10">
        <v>45370</v>
      </c>
      <c r="F87" s="17">
        <v>88445.15</v>
      </c>
      <c r="G87" s="1" t="s">
        <v>156</v>
      </c>
    </row>
    <row r="88" spans="1:7" x14ac:dyDescent="0.25">
      <c r="A88" s="18" t="s">
        <v>49</v>
      </c>
      <c r="B88" s="8" t="s">
        <v>50</v>
      </c>
      <c r="C88" s="8" t="s">
        <v>8</v>
      </c>
      <c r="D88" s="8">
        <v>7</v>
      </c>
      <c r="E88" s="10" t="s">
        <v>51</v>
      </c>
      <c r="F88" s="17">
        <v>9394.31</v>
      </c>
      <c r="G88" s="1" t="s">
        <v>156</v>
      </c>
    </row>
    <row r="89" spans="1:7" x14ac:dyDescent="0.25">
      <c r="A89" s="18" t="s">
        <v>52</v>
      </c>
      <c r="B89" s="8" t="s">
        <v>50</v>
      </c>
      <c r="C89" s="8" t="s">
        <v>8</v>
      </c>
      <c r="D89" s="8">
        <v>7</v>
      </c>
      <c r="E89" s="10" t="s">
        <v>51</v>
      </c>
      <c r="F89" s="17">
        <v>199.61</v>
      </c>
      <c r="G89" s="1" t="s">
        <v>156</v>
      </c>
    </row>
    <row r="90" spans="1:7" x14ac:dyDescent="0.25">
      <c r="A90" s="18" t="s">
        <v>55</v>
      </c>
      <c r="B90" s="8" t="s">
        <v>50</v>
      </c>
      <c r="C90" s="8" t="s">
        <v>8</v>
      </c>
      <c r="D90" s="8">
        <v>7</v>
      </c>
      <c r="E90" s="10" t="s">
        <v>56</v>
      </c>
      <c r="F90" s="17">
        <v>1749.14</v>
      </c>
      <c r="G90" s="1" t="s">
        <v>156</v>
      </c>
    </row>
    <row r="91" spans="1:7" x14ac:dyDescent="0.25">
      <c r="A91" s="18" t="s">
        <v>77</v>
      </c>
      <c r="B91" s="8" t="s">
        <v>78</v>
      </c>
      <c r="C91" s="8" t="s">
        <v>8</v>
      </c>
      <c r="D91" s="8">
        <v>7</v>
      </c>
      <c r="E91" s="10" t="s">
        <v>79</v>
      </c>
      <c r="F91" s="17">
        <v>77135</v>
      </c>
    </row>
    <row r="92" spans="1:7" x14ac:dyDescent="0.25">
      <c r="A92" s="19"/>
      <c r="B92" s="8" t="s">
        <v>71</v>
      </c>
      <c r="C92" s="8" t="s">
        <v>8</v>
      </c>
      <c r="D92" s="8">
        <f>+MONTH(E92)</f>
        <v>8</v>
      </c>
      <c r="E92" s="48">
        <v>45505</v>
      </c>
      <c r="F92" s="17">
        <v>146433</v>
      </c>
    </row>
    <row r="93" spans="1:7" x14ac:dyDescent="0.25">
      <c r="A93" s="19"/>
      <c r="B93" s="8" t="s">
        <v>163</v>
      </c>
      <c r="C93" s="11" t="s">
        <v>165</v>
      </c>
      <c r="D93" s="8">
        <f>+MONTH(E93)</f>
        <v>8</v>
      </c>
      <c r="E93" s="12">
        <v>45505</v>
      </c>
      <c r="F93" s="20">
        <v>4725</v>
      </c>
    </row>
    <row r="94" spans="1:7" x14ac:dyDescent="0.25">
      <c r="A94" s="18" t="s">
        <v>10</v>
      </c>
      <c r="B94" s="8" t="s">
        <v>11</v>
      </c>
      <c r="C94" s="8" t="s">
        <v>8</v>
      </c>
      <c r="D94" s="8">
        <v>8</v>
      </c>
      <c r="E94" s="10" t="s">
        <v>12</v>
      </c>
      <c r="F94" s="17">
        <v>2236.25</v>
      </c>
    </row>
    <row r="95" spans="1:7" x14ac:dyDescent="0.25">
      <c r="A95" s="18"/>
      <c r="B95" s="8" t="s">
        <v>11</v>
      </c>
      <c r="C95" s="8" t="s">
        <v>183</v>
      </c>
      <c r="D95" s="8">
        <v>8</v>
      </c>
      <c r="E95" s="10">
        <v>45506</v>
      </c>
      <c r="F95" s="17">
        <v>2236.25</v>
      </c>
    </row>
    <row r="96" spans="1:7" x14ac:dyDescent="0.25">
      <c r="A96" s="19"/>
      <c r="B96" s="8" t="s">
        <v>83</v>
      </c>
      <c r="C96" s="11" t="s">
        <v>165</v>
      </c>
      <c r="D96" s="8">
        <f t="shared" ref="D96:D105" si="0">+MONTH(E96)</f>
        <v>8</v>
      </c>
      <c r="E96" s="12">
        <v>45518</v>
      </c>
      <c r="F96" s="20">
        <v>12000</v>
      </c>
    </row>
    <row r="97" spans="1:6" x14ac:dyDescent="0.25">
      <c r="A97" s="19"/>
      <c r="B97" s="8" t="s">
        <v>122</v>
      </c>
      <c r="C97" s="11" t="s">
        <v>165</v>
      </c>
      <c r="D97" s="8">
        <f t="shared" si="0"/>
        <v>8</v>
      </c>
      <c r="E97" s="12">
        <v>45518</v>
      </c>
      <c r="F97" s="20">
        <v>3500</v>
      </c>
    </row>
    <row r="98" spans="1:6" x14ac:dyDescent="0.25">
      <c r="A98" s="19"/>
      <c r="B98" s="8" t="s">
        <v>124</v>
      </c>
      <c r="C98" s="8" t="s">
        <v>8</v>
      </c>
      <c r="D98" s="8">
        <f t="shared" si="0"/>
        <v>8</v>
      </c>
      <c r="E98" s="48">
        <v>45518</v>
      </c>
      <c r="F98" s="17">
        <v>1233.2</v>
      </c>
    </row>
    <row r="99" spans="1:6" x14ac:dyDescent="0.25">
      <c r="A99" s="19"/>
      <c r="B99" s="8" t="s">
        <v>88</v>
      </c>
      <c r="C99" s="11" t="s">
        <v>165</v>
      </c>
      <c r="D99" s="8">
        <f t="shared" si="0"/>
        <v>8</v>
      </c>
      <c r="E99" s="12">
        <v>45518</v>
      </c>
      <c r="F99" s="20">
        <v>5500</v>
      </c>
    </row>
    <row r="100" spans="1:6" x14ac:dyDescent="0.25">
      <c r="A100" s="19"/>
      <c r="B100" s="8" t="s">
        <v>71</v>
      </c>
      <c r="C100" s="11" t="s">
        <v>165</v>
      </c>
      <c r="D100" s="8">
        <f t="shared" si="0"/>
        <v>9</v>
      </c>
      <c r="E100" s="12">
        <v>45536</v>
      </c>
      <c r="F100" s="20">
        <v>146433</v>
      </c>
    </row>
    <row r="101" spans="1:6" x14ac:dyDescent="0.25">
      <c r="A101" s="19"/>
      <c r="B101" s="8" t="s">
        <v>164</v>
      </c>
      <c r="C101" s="11" t="s">
        <v>165</v>
      </c>
      <c r="D101" s="8">
        <f t="shared" si="0"/>
        <v>9</v>
      </c>
      <c r="E101" s="12">
        <v>45536</v>
      </c>
      <c r="F101" s="20">
        <v>4725</v>
      </c>
    </row>
    <row r="102" spans="1:6" x14ac:dyDescent="0.25">
      <c r="A102" s="19"/>
      <c r="B102" s="8" t="s">
        <v>83</v>
      </c>
      <c r="C102" s="11" t="s">
        <v>165</v>
      </c>
      <c r="D102" s="8">
        <f t="shared" si="0"/>
        <v>9</v>
      </c>
      <c r="E102" s="12">
        <v>45549</v>
      </c>
      <c r="F102" s="20">
        <v>12000</v>
      </c>
    </row>
    <row r="103" spans="1:6" x14ac:dyDescent="0.25">
      <c r="A103" s="19"/>
      <c r="B103" s="8" t="s">
        <v>122</v>
      </c>
      <c r="C103" s="11" t="s">
        <v>165</v>
      </c>
      <c r="D103" s="8">
        <f t="shared" si="0"/>
        <v>9</v>
      </c>
      <c r="E103" s="12">
        <v>45549</v>
      </c>
      <c r="F103" s="20">
        <v>3500</v>
      </c>
    </row>
    <row r="104" spans="1:6" x14ac:dyDescent="0.25">
      <c r="A104" s="19"/>
      <c r="B104" s="8" t="s">
        <v>124</v>
      </c>
      <c r="C104" s="11" t="s">
        <v>165</v>
      </c>
      <c r="D104" s="8">
        <f t="shared" si="0"/>
        <v>9</v>
      </c>
      <c r="E104" s="12">
        <v>45549</v>
      </c>
      <c r="F104" s="20">
        <v>1500</v>
      </c>
    </row>
    <row r="105" spans="1:6" ht="15.75" thickBot="1" x14ac:dyDescent="0.3">
      <c r="A105" s="44"/>
      <c r="B105" s="21" t="s">
        <v>88</v>
      </c>
      <c r="C105" s="45" t="s">
        <v>165</v>
      </c>
      <c r="D105" s="21">
        <f t="shared" si="0"/>
        <v>9</v>
      </c>
      <c r="E105" s="46">
        <v>45549</v>
      </c>
      <c r="F105" s="47">
        <v>5500</v>
      </c>
    </row>
  </sheetData>
  <autoFilter ref="A2:G105" xr:uid="{00000000-0009-0000-0000-000001000000}">
    <sortState xmlns:xlrd2="http://schemas.microsoft.com/office/spreadsheetml/2017/richdata2" ref="A3:G105">
      <sortCondition ref="D2:D10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Utgifter Ferdocean Shipping AS</vt:lpstr>
      <vt:lpstr>Leverandørfakturaer detaljer Tr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Josefin Tangeraas</dc:creator>
  <cp:lastModifiedBy>Tore Ausland</cp:lastModifiedBy>
  <dcterms:created xsi:type="dcterms:W3CDTF">2024-06-26T11:40:51Z</dcterms:created>
  <dcterms:modified xsi:type="dcterms:W3CDTF">2024-08-02T10:19:01Z</dcterms:modified>
</cp:coreProperties>
</file>