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FO/Funding kalkulations/"/>
    </mc:Choice>
  </mc:AlternateContent>
  <xr:revisionPtr revIDLastSave="24" documentId="8_{5873FD73-6179-45DE-8550-118A28443941}" xr6:coauthVersionLast="47" xr6:coauthVersionMax="47" xr10:uidLastSave="{B460713D-59F6-4B99-96D5-DE077C21379E}"/>
  <bookViews>
    <workbookView xWindow="28680" yWindow="-120" windowWidth="38640" windowHeight="15720" tabRatio="844" xr2:uid="{00000000-000D-0000-FFFF-FFFF00000000}"/>
  </bookViews>
  <sheets>
    <sheet name="Shareholder Book" sheetId="1" r:id="rId1"/>
    <sheet name="Share capital history" sheetId="6" r:id="rId2"/>
    <sheet name="Sits and capitalraise 5 simul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0" l="1"/>
  <c r="J25" i="10"/>
  <c r="K25" i="10"/>
  <c r="K20" i="10"/>
  <c r="F18" i="10"/>
  <c r="F26" i="10"/>
  <c r="B29" i="10"/>
  <c r="F14" i="10" l="1"/>
  <c r="F13" i="10" l="1"/>
  <c r="D93" i="1"/>
  <c r="D123" i="1"/>
  <c r="D118" i="1"/>
  <c r="D115" i="1"/>
  <c r="D109" i="1"/>
  <c r="E7" i="6"/>
  <c r="F15" i="10"/>
  <c r="F12" i="10"/>
  <c r="F11" i="10"/>
  <c r="F10" i="10"/>
  <c r="F9" i="10"/>
  <c r="F8" i="10"/>
  <c r="F7" i="10"/>
  <c r="F6" i="10"/>
  <c r="F5" i="10"/>
  <c r="F4" i="10"/>
  <c r="F3" i="10"/>
  <c r="B16" i="10"/>
  <c r="B27" i="10"/>
  <c r="H6" i="6"/>
  <c r="H5" i="6"/>
  <c r="H4" i="6"/>
  <c r="H3" i="6"/>
  <c r="H8" i="6" s="1"/>
  <c r="B21" i="10" l="1"/>
  <c r="B23" i="10" s="1"/>
  <c r="F16" i="10"/>
  <c r="C13" i="10"/>
  <c r="C9" i="10"/>
  <c r="C12" i="10"/>
  <c r="C8" i="10"/>
  <c r="C7" i="10"/>
  <c r="C3" i="10"/>
  <c r="C6" i="10"/>
  <c r="C5" i="10"/>
  <c r="C4" i="10"/>
  <c r="C11" i="10"/>
  <c r="C10" i="10"/>
  <c r="G13" i="10" l="1"/>
  <c r="I13" i="10" s="1"/>
  <c r="G8" i="10"/>
  <c r="I8" i="10" s="1"/>
  <c r="G12" i="10"/>
  <c r="I12" i="10" s="1"/>
  <c r="G7" i="10"/>
  <c r="I7" i="10" s="1"/>
  <c r="G3" i="10"/>
  <c r="I3" i="10" s="1"/>
  <c r="G6" i="10"/>
  <c r="I6" i="10" s="1"/>
  <c r="G5" i="10"/>
  <c r="I5" i="10" s="1"/>
  <c r="G10" i="10"/>
  <c r="I10" i="10" s="1"/>
  <c r="G9" i="10"/>
  <c r="I9" i="10" s="1"/>
  <c r="G4" i="10"/>
  <c r="I4" i="10" s="1"/>
  <c r="B26" i="10"/>
  <c r="B28" i="10" s="1"/>
  <c r="G11" i="10"/>
  <c r="I11" i="10" s="1"/>
  <c r="C16" i="10"/>
  <c r="E106" i="1" l="1"/>
  <c r="E119" i="1"/>
  <c r="E120" i="1" l="1"/>
  <c r="E115" i="1"/>
  <c r="E109" i="1"/>
  <c r="E111" i="1"/>
  <c r="E110" i="1"/>
  <c r="E121" i="1"/>
  <c r="E112" i="1"/>
  <c r="E118" i="1"/>
  <c r="E122" i="1"/>
  <c r="E123" i="1" l="1"/>
  <c r="D92" i="1"/>
  <c r="D91" i="1"/>
  <c r="D90" i="1"/>
  <c r="D89" i="1"/>
  <c r="D88" i="1"/>
  <c r="D87" i="1"/>
  <c r="D86" i="1"/>
  <c r="D78" i="1"/>
  <c r="D77" i="1"/>
  <c r="D76" i="1"/>
  <c r="D70" i="1"/>
  <c r="D69" i="1"/>
  <c r="D68" i="1"/>
  <c r="D62" i="1"/>
  <c r="D61" i="1"/>
  <c r="D60" i="1"/>
  <c r="E92" i="1" l="1"/>
  <c r="D42" i="1"/>
  <c r="D26" i="1"/>
  <c r="D40" i="1"/>
  <c r="E90" i="1" l="1"/>
  <c r="D96" i="1"/>
  <c r="E86" i="1"/>
  <c r="E87" i="1"/>
  <c r="E91" i="1"/>
  <c r="E89" i="1"/>
  <c r="D98" i="1"/>
  <c r="E88" i="1"/>
  <c r="D54" i="1"/>
  <c r="D30" i="1"/>
  <c r="D47" i="1"/>
  <c r="D50" i="1"/>
  <c r="D49" i="1"/>
  <c r="D48" i="1"/>
  <c r="D46" i="1"/>
  <c r="E93" i="1" l="1"/>
  <c r="D51" i="1"/>
  <c r="E17" i="1"/>
  <c r="E16" i="1"/>
  <c r="E15" i="1"/>
  <c r="E48" i="1" l="1"/>
  <c r="E49" i="1"/>
  <c r="E50" i="1"/>
  <c r="E46" i="1"/>
  <c r="E47" i="1"/>
  <c r="D32" i="1"/>
  <c r="D23" i="1"/>
  <c r="D25" i="1" s="1"/>
  <c r="E18" i="1"/>
  <c r="D18" i="1"/>
  <c r="D33" i="1" l="1"/>
  <c r="E51" i="1"/>
  <c r="E30" i="1" l="1"/>
  <c r="E32" i="1"/>
  <c r="E31" i="1"/>
  <c r="E29" i="1"/>
  <c r="E33" i="1" l="1"/>
  <c r="D41" i="1"/>
  <c r="D53" i="1" l="1"/>
  <c r="D97" i="1"/>
  <c r="G15" i="10" l="1"/>
  <c r="I15" i="10" l="1"/>
  <c r="H16" i="10" l="1"/>
  <c r="G14" i="10"/>
  <c r="G16" i="10" s="1"/>
  <c r="I14" i="10" l="1"/>
  <c r="I16" i="10" l="1"/>
  <c r="J6" i="10" l="1"/>
  <c r="K6" i="10" s="1"/>
  <c r="J8" i="10"/>
  <c r="K8" i="10" s="1"/>
  <c r="J3" i="10"/>
  <c r="J7" i="10"/>
  <c r="K7" i="10" s="1"/>
  <c r="J15" i="10"/>
  <c r="K15" i="10" s="1"/>
  <c r="J11" i="10"/>
  <c r="K11" i="10" s="1"/>
  <c r="J10" i="10"/>
  <c r="K10" i="10" s="1"/>
  <c r="J9" i="10"/>
  <c r="K9" i="10" s="1"/>
  <c r="J4" i="10"/>
  <c r="J5" i="10"/>
  <c r="K5" i="10" s="1"/>
  <c r="J12" i="10"/>
  <c r="K12" i="10" s="1"/>
  <c r="J13" i="10"/>
  <c r="K13" i="10" s="1"/>
  <c r="J14" i="10"/>
  <c r="K14" i="10" s="1"/>
  <c r="K3" i="10" l="1"/>
  <c r="J16" i="10"/>
  <c r="K4" i="10"/>
  <c r="F19" i="10"/>
  <c r="F28" i="10" l="1"/>
  <c r="K26" i="10"/>
  <c r="F23" i="10"/>
  <c r="K16" i="10"/>
  <c r="F31" i="10" l="1"/>
  <c r="K28" i="10"/>
  <c r="K30" i="10" s="1"/>
  <c r="F34" i="10" l="1"/>
  <c r="F36" i="10"/>
</calcChain>
</file>

<file path=xl/sharedStrings.xml><?xml version="1.0" encoding="utf-8"?>
<sst xmlns="http://schemas.openxmlformats.org/spreadsheetml/2006/main" count="222" uniqueCount="123">
  <si>
    <t>SUM</t>
  </si>
  <si>
    <t>Shield International Ltd</t>
  </si>
  <si>
    <t>T-E Invest AS</t>
  </si>
  <si>
    <t>Morcidea AS</t>
  </si>
  <si>
    <t>Founding / Issue of shares - Ferdocean Shipping AS (FOS)</t>
  </si>
  <si>
    <t>Step 1 - Founding FOS</t>
  </si>
  <si>
    <t>Number of shares:</t>
  </si>
  <si>
    <t>Total share capital Norwegian Krone:</t>
  </si>
  <si>
    <t>Subscription price Norwegian Krone:</t>
  </si>
  <si>
    <t>Ferdocean AS</t>
  </si>
  <si>
    <t>Number of shares</t>
  </si>
  <si>
    <t>amount</t>
  </si>
  <si>
    <t>Subsription -  founding the company</t>
  </si>
  <si>
    <t>Face value</t>
  </si>
  <si>
    <t>Subscription amount Norwegian Krone:</t>
  </si>
  <si>
    <t>Share Premium</t>
  </si>
  <si>
    <t>Ownership after 1st share issue</t>
  </si>
  <si>
    <t>Ownership after 2nd share issue</t>
  </si>
  <si>
    <t>Total</t>
  </si>
  <si>
    <t>Ownership</t>
  </si>
  <si>
    <t>MA'MOR HOLDINGS SDN BHD</t>
  </si>
  <si>
    <t>Share Capital</t>
  </si>
  <si>
    <t>Total Share Premium</t>
  </si>
  <si>
    <t>Total Share Capital</t>
  </si>
  <si>
    <t>Shares 1 - 64.980</t>
  </si>
  <si>
    <t>Shares 90.921 - 93.515</t>
  </si>
  <si>
    <t>Shares 64.981 - 90.920</t>
  </si>
  <si>
    <t>Shares 93.516 - 97.276</t>
  </si>
  <si>
    <t>Shares 97.277 - 127.000</t>
  </si>
  <si>
    <t>Notes</t>
  </si>
  <si>
    <t>Shareholder Book</t>
  </si>
  <si>
    <t>Shares 1 -64.980 pledged as collateral by DNB</t>
  </si>
  <si>
    <t>Share issue 2 -  (MA'MOR HOLDINGS SDN BHD)</t>
  </si>
  <si>
    <t>Share issue 1 - (Morcidea AS)</t>
  </si>
  <si>
    <t>Share issue 3 - (New /Existing Investors)</t>
  </si>
  <si>
    <t>Shares 127.001-157.000</t>
  </si>
  <si>
    <t>Shares 157.001- 167.000</t>
  </si>
  <si>
    <t xml:space="preserve">Gunnar Nordbø ENK </t>
  </si>
  <si>
    <t>Total Share Premium round I+II+III</t>
  </si>
  <si>
    <t>Gunnar Nordbø ENK</t>
  </si>
  <si>
    <t>MA`MOR Holdings SDN BHD</t>
  </si>
  <si>
    <t xml:space="preserve">Share issue 3 - (Gunnar Nordbø ENK) </t>
  </si>
  <si>
    <t xml:space="preserve">Share issue 3 - (Wilmar AS) </t>
  </si>
  <si>
    <t>Ownership after 3rd share issue</t>
  </si>
  <si>
    <t>Subscription price Dec-20</t>
  </si>
  <si>
    <t>Company Evaluation</t>
  </si>
  <si>
    <t xml:space="preserve">Wilmar Gruppen AS </t>
  </si>
  <si>
    <t>Date of reg.</t>
  </si>
  <si>
    <t>Type of change</t>
  </si>
  <si>
    <t>Change in share capital (NOK)</t>
  </si>
  <si>
    <t>New share capital (NOK)</t>
  </si>
  <si>
    <t>Nom. Value (NOK)</t>
  </si>
  <si>
    <t>New Number of total issued shares</t>
  </si>
  <si>
    <t>Subscription price per share (NOK)</t>
  </si>
  <si>
    <t>Incorporation</t>
  </si>
  <si>
    <t>FOS AS</t>
  </si>
  <si>
    <t>Share Capital Increase</t>
  </si>
  <si>
    <t>Owner sits</t>
  </si>
  <si>
    <t>History</t>
  </si>
  <si>
    <t>Share Capital History Ferdocean Shipping AS</t>
  </si>
  <si>
    <t>If Pre money valuation</t>
  </si>
  <si>
    <t>Valuation per share</t>
  </si>
  <si>
    <t>Post money valuation</t>
  </si>
  <si>
    <t>Target gross proceeds</t>
  </si>
  <si>
    <t>New shares if valuation equals per share pre money</t>
  </si>
  <si>
    <t>Offering % of the company outstanding shares</t>
  </si>
  <si>
    <t>Simulation inputs</t>
  </si>
  <si>
    <t>Total shares</t>
  </si>
  <si>
    <t>New owner sits</t>
  </si>
  <si>
    <t>Market Cap         Post Money</t>
  </si>
  <si>
    <t>Calculations upcoming capital raise:</t>
  </si>
  <si>
    <t xml:space="preserve">Shares </t>
  </si>
  <si>
    <t xml:space="preserve">Total outstanding shares in the company </t>
  </si>
  <si>
    <t>New shares</t>
  </si>
  <si>
    <t>Subscription NOK</t>
  </si>
  <si>
    <t>Quality Group Invest AS</t>
  </si>
  <si>
    <t>Haugjegla Invest AS</t>
  </si>
  <si>
    <t>Superiore Capital AS</t>
  </si>
  <si>
    <t>Total number of shares Shield Int.Ltd</t>
  </si>
  <si>
    <t>Total number of shares Gunnar Nordbø ENK</t>
  </si>
  <si>
    <t>Shares 167.001-170.800</t>
  </si>
  <si>
    <t>Shares 170.801-174.000</t>
  </si>
  <si>
    <t>Shares 176.001-176.400</t>
  </si>
  <si>
    <t>Shares 97.27 - 127.000</t>
  </si>
  <si>
    <t>Shares 174.001-176.000</t>
  </si>
  <si>
    <t>Shares 176.401-176.600</t>
  </si>
  <si>
    <t>Shares 176.601-176.800</t>
  </si>
  <si>
    <t>Shares 176.801-177.000</t>
  </si>
  <si>
    <r>
      <rPr>
        <b/>
        <sz val="11"/>
        <color theme="1"/>
        <rFont val="Calibri"/>
        <family val="2"/>
        <scheme val="minor"/>
      </rPr>
      <t>Quality Group Invest AS</t>
    </r>
    <r>
      <rPr>
        <sz val="11"/>
        <color theme="1"/>
        <rFont val="Calibri"/>
        <family val="2"/>
        <scheme val="minor"/>
      </rPr>
      <t xml:space="preserve">  </t>
    </r>
  </si>
  <si>
    <t>Mosby Holding Ltd</t>
  </si>
  <si>
    <t>Wilmar AS</t>
  </si>
  <si>
    <t xml:space="preserve">Wilmar AS </t>
  </si>
  <si>
    <t>Total number of shares Wilmar AS</t>
  </si>
  <si>
    <t xml:space="preserve">Share Capital </t>
  </si>
  <si>
    <t>Total of shares</t>
  </si>
  <si>
    <t>Nominal value</t>
  </si>
  <si>
    <t>Share number</t>
  </si>
  <si>
    <t>%</t>
  </si>
  <si>
    <t>Shareholder Book as of 20.02.2023</t>
  </si>
  <si>
    <t>Ferdocean AS *</t>
  </si>
  <si>
    <t>* Pantesikkerhet for DNB</t>
  </si>
  <si>
    <t>Shareholder Book as of 01.06.2023</t>
  </si>
  <si>
    <t>Calculations Shareholder sits after simulation</t>
  </si>
  <si>
    <t>Nr.of shares</t>
  </si>
  <si>
    <t>Nr.of new shares</t>
  </si>
  <si>
    <t>Quality Group Invest AS (from FO AS)</t>
  </si>
  <si>
    <t>Mosby Holding Ltd(from FO as)</t>
  </si>
  <si>
    <t>Haugjegla Invest AS (from FO as)</t>
  </si>
  <si>
    <t>Superiore Capital AS (from FO as)</t>
  </si>
  <si>
    <t>= Commitment</t>
  </si>
  <si>
    <t xml:space="preserve">= Not Committed </t>
  </si>
  <si>
    <t>Commited Capital</t>
  </si>
  <si>
    <t>New shareholders</t>
  </si>
  <si>
    <t>New: Proco AS</t>
  </si>
  <si>
    <t>Kjøpe de ut på selskapsverdi</t>
  </si>
  <si>
    <t xml:space="preserve">Antall % </t>
  </si>
  <si>
    <t>Utkjøpssum/ Seller creditt</t>
  </si>
  <si>
    <t>Tillbud ny aksjonær til selskapsverdi</t>
  </si>
  <si>
    <t>Salagssum 30,2%</t>
  </si>
  <si>
    <t>Diff selgerskreditt vs salgssum</t>
  </si>
  <si>
    <t>Tore. Runar, Bjørnar og Hans Erik emiterer</t>
  </si>
  <si>
    <t>Cash ut</t>
  </si>
  <si>
    <t>Rabatt aksjekjøp 130 versus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</si>
</sst>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kr&quot;\ * #,##0.00_-;\-&quot;kr&quot;\ * #,##0.00_-;_-&quot;kr&quot;\ * &quot;-&quot;??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_-* #,##0.0_-;\-* #,##0.0_-;_-* &quot;-&quot;??_-;_-@_-"/>
    <numFmt numFmtId="167" formatCode="_-* #,##0_-;\-* #,##0_-;_-* &quot;-&quot;??_-;_-@_-"/>
    <numFmt numFmtId="168" formatCode="_-* #,##0.0_-;\-* #,##0.0_-;_-* &quot;-&quot;?_-;_-@_-"/>
    <numFmt numFmtId="169" formatCode="0.0000\ %"/>
    <numFmt numFmtId="170" formatCode="0.000000\ %"/>
    <numFmt numFmtId="171" formatCode="0.0000000\ %"/>
    <numFmt numFmtId="172" formatCode="_-* #,##0.000000_-;\-* #,##0.000000_-;_-* &quot;-&quot;??_-;_-@_-"/>
    <numFmt numFmtId="173" formatCode="_(* #,##0.000000000_);_(* \(#,##0.000000000\);_(* &quot;-&quot;??_);_(@_)"/>
    <numFmt numFmtId="174" formatCode="_ * #,##0.000_ ;_ * \-#,##0.000_ ;_ * &quot;-&quot;??_ ;_ @_ "/>
    <numFmt numFmtId="175" formatCode="0.000\ %"/>
    <numFmt numFmtId="176" formatCode="_-&quot;kr&quot;\ * #,##0_-;\-&quot;kr&quot;\ * #,##0_-;_-&quot;kr&quot;\ * &quot;-&quot;??_-;_-@_-"/>
    <numFmt numFmtId="177" formatCode="_(* #,##0_);_(* \(#,##0\);_(* &quot;-&quot;??_);_(@_)"/>
    <numFmt numFmtId="178" formatCode="_-[$kr-414]\ * #,##0.00_-;\-[$kr-414]\ * #,##0.00_-;_-[$kr-414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165" fontId="0" fillId="0" borderId="0" xfId="1" applyFont="1"/>
    <xf numFmtId="167" fontId="0" fillId="0" borderId="0" xfId="1" applyNumberFormat="1" applyFont="1"/>
    <xf numFmtId="0" fontId="2" fillId="0" borderId="0" xfId="0" applyFont="1"/>
    <xf numFmtId="167" fontId="0" fillId="0" borderId="1" xfId="1" applyNumberFormat="1" applyFont="1" applyBorder="1"/>
    <xf numFmtId="0" fontId="4" fillId="0" borderId="0" xfId="0" applyFont="1"/>
    <xf numFmtId="0" fontId="0" fillId="0" borderId="0" xfId="0" applyAlignment="1">
      <alignment horizontal="right"/>
    </xf>
    <xf numFmtId="169" fontId="0" fillId="0" borderId="0" xfId="2" applyNumberFormat="1" applyFont="1"/>
    <xf numFmtId="165" fontId="0" fillId="0" borderId="0" xfId="0" applyNumberFormat="1"/>
    <xf numFmtId="165" fontId="0" fillId="0" borderId="1" xfId="1" applyFont="1" applyBorder="1"/>
    <xf numFmtId="172" fontId="0" fillId="0" borderId="0" xfId="1" applyNumberFormat="1" applyFont="1"/>
    <xf numFmtId="169" fontId="0" fillId="0" borderId="1" xfId="2" applyNumberFormat="1" applyFont="1" applyBorder="1"/>
    <xf numFmtId="165" fontId="0" fillId="0" borderId="0" xfId="1" applyFont="1" applyBorder="1"/>
    <xf numFmtId="169" fontId="0" fillId="0" borderId="0" xfId="2" applyNumberFormat="1" applyFont="1" applyBorder="1"/>
    <xf numFmtId="0" fontId="5" fillId="0" borderId="0" xfId="0" applyFont="1"/>
    <xf numFmtId="0" fontId="0" fillId="0" borderId="1" xfId="0" applyBorder="1"/>
    <xf numFmtId="165" fontId="0" fillId="0" borderId="2" xfId="1" applyFont="1" applyFill="1" applyBorder="1"/>
    <xf numFmtId="165" fontId="0" fillId="0" borderId="0" xfId="1" applyFont="1" applyFill="1" applyBorder="1"/>
    <xf numFmtId="165" fontId="0" fillId="0" borderId="0" xfId="1" applyFont="1" applyBorder="1" applyAlignment="1">
      <alignment horizontal="right"/>
    </xf>
    <xf numFmtId="166" fontId="0" fillId="0" borderId="0" xfId="1" applyNumberFormat="1" applyFont="1" applyBorder="1"/>
    <xf numFmtId="171" fontId="0" fillId="0" borderId="0" xfId="2" applyNumberFormat="1" applyFont="1" applyBorder="1"/>
    <xf numFmtId="171" fontId="0" fillId="0" borderId="0" xfId="1" applyNumberFormat="1" applyFont="1" applyBorder="1"/>
    <xf numFmtId="170" fontId="0" fillId="0" borderId="0" xfId="2" applyNumberFormat="1" applyFont="1" applyBorder="1"/>
    <xf numFmtId="167" fontId="0" fillId="0" borderId="0" xfId="0" applyNumberFormat="1"/>
    <xf numFmtId="167" fontId="0" fillId="0" borderId="0" xfId="1" applyNumberFormat="1" applyFont="1" applyBorder="1"/>
    <xf numFmtId="166" fontId="0" fillId="0" borderId="0" xfId="0" applyNumberFormat="1"/>
    <xf numFmtId="9" fontId="0" fillId="0" borderId="0" xfId="2" applyFont="1" applyBorder="1"/>
    <xf numFmtId="168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0" xfId="0" applyNumberFormat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0" fontId="0" fillId="0" borderId="9" xfId="0" applyBorder="1"/>
    <xf numFmtId="173" fontId="0" fillId="0" borderId="0" xfId="1" applyNumberFormat="1" applyFont="1"/>
    <xf numFmtId="43" fontId="0" fillId="0" borderId="0" xfId="0" applyNumberFormat="1"/>
    <xf numFmtId="174" fontId="0" fillId="0" borderId="1" xfId="0" applyNumberFormat="1" applyBorder="1"/>
    <xf numFmtId="0" fontId="5" fillId="0" borderId="0" xfId="0" applyFont="1" applyAlignment="1">
      <alignment horizontal="right"/>
    </xf>
    <xf numFmtId="0" fontId="3" fillId="0" borderId="3" xfId="0" applyFont="1" applyBorder="1"/>
    <xf numFmtId="43" fontId="0" fillId="0" borderId="4" xfId="0" applyNumberFormat="1" applyBorder="1"/>
    <xf numFmtId="0" fontId="5" fillId="0" borderId="6" xfId="0" applyFont="1" applyBorder="1"/>
    <xf numFmtId="0" fontId="5" fillId="0" borderId="7" xfId="0" applyFont="1" applyBorder="1"/>
    <xf numFmtId="43" fontId="0" fillId="0" borderId="0" xfId="1" applyNumberFormat="1" applyFont="1"/>
    <xf numFmtId="0" fontId="0" fillId="2" borderId="7" xfId="0" applyFill="1" applyBorder="1"/>
    <xf numFmtId="167" fontId="0" fillId="0" borderId="1" xfId="0" applyNumberFormat="1" applyBorder="1"/>
    <xf numFmtId="0" fontId="0" fillId="0" borderId="0" xfId="0" applyAlignment="1">
      <alignment horizontal="left"/>
    </xf>
    <xf numFmtId="3" fontId="0" fillId="0" borderId="0" xfId="0" applyNumberFormat="1"/>
    <xf numFmtId="0" fontId="5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175" fontId="0" fillId="0" borderId="0" xfId="0" applyNumberFormat="1" applyAlignment="1">
      <alignment horizontal="center"/>
    </xf>
    <xf numFmtId="3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3" fontId="2" fillId="0" borderId="0" xfId="0" applyNumberFormat="1" applyFont="1"/>
    <xf numFmtId="0" fontId="2" fillId="0" borderId="6" xfId="0" applyFont="1" applyBorder="1"/>
    <xf numFmtId="167" fontId="2" fillId="0" borderId="0" xfId="0" applyNumberFormat="1" applyFont="1"/>
    <xf numFmtId="10" fontId="2" fillId="0" borderId="0" xfId="0" applyNumberFormat="1" applyFont="1" applyAlignment="1">
      <alignment horizontal="center"/>
    </xf>
    <xf numFmtId="175" fontId="0" fillId="0" borderId="1" xfId="0" applyNumberFormat="1" applyBorder="1" applyAlignment="1">
      <alignment horizontal="center"/>
    </xf>
    <xf numFmtId="0" fontId="2" fillId="0" borderId="7" xfId="0" applyFont="1" applyBorder="1"/>
    <xf numFmtId="174" fontId="0" fillId="0" borderId="0" xfId="0" applyNumberFormat="1"/>
    <xf numFmtId="0" fontId="0" fillId="0" borderId="11" xfId="0" applyBorder="1"/>
    <xf numFmtId="0" fontId="0" fillId="0" borderId="12" xfId="0" applyBorder="1"/>
    <xf numFmtId="0" fontId="2" fillId="0" borderId="13" xfId="0" applyFont="1" applyBorder="1"/>
    <xf numFmtId="0" fontId="2" fillId="0" borderId="14" xfId="0" applyFont="1" applyBorder="1" applyAlignment="1">
      <alignment horizontal="right"/>
    </xf>
    <xf numFmtId="0" fontId="0" fillId="0" borderId="15" xfId="0" applyBorder="1"/>
    <xf numFmtId="10" fontId="0" fillId="0" borderId="16" xfId="2" applyNumberFormat="1" applyFont="1" applyBorder="1"/>
    <xf numFmtId="0" fontId="0" fillId="0" borderId="13" xfId="0" applyBorder="1"/>
    <xf numFmtId="10" fontId="0" fillId="0" borderId="14" xfId="2" applyNumberFormat="1" applyFont="1" applyBorder="1"/>
    <xf numFmtId="0" fontId="2" fillId="0" borderId="1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7" fillId="0" borderId="0" xfId="0" applyFont="1"/>
    <xf numFmtId="0" fontId="2" fillId="0" borderId="20" xfId="0" applyFont="1" applyBorder="1"/>
    <xf numFmtId="0" fontId="6" fillId="0" borderId="10" xfId="0" applyFont="1" applyBorder="1"/>
    <xf numFmtId="0" fontId="5" fillId="0" borderId="11" xfId="0" applyFont="1" applyBorder="1" applyAlignment="1">
      <alignment horizontal="right"/>
    </xf>
    <xf numFmtId="0" fontId="2" fillId="0" borderId="14" xfId="0" applyFont="1" applyBorder="1" applyAlignment="1">
      <alignment horizontal="right" wrapText="1"/>
    </xf>
    <xf numFmtId="10" fontId="0" fillId="0" borderId="0" xfId="2" applyNumberFormat="1" applyFont="1" applyBorder="1" applyAlignment="1">
      <alignment horizontal="right"/>
    </xf>
    <xf numFmtId="176" fontId="0" fillId="0" borderId="16" xfId="3" applyNumberFormat="1" applyFont="1" applyBorder="1"/>
    <xf numFmtId="10" fontId="0" fillId="0" borderId="1" xfId="2" applyNumberFormat="1" applyFont="1" applyBorder="1" applyAlignment="1">
      <alignment horizontal="right"/>
    </xf>
    <xf numFmtId="9" fontId="2" fillId="0" borderId="16" xfId="2" applyFont="1" applyBorder="1"/>
    <xf numFmtId="176" fontId="2" fillId="0" borderId="0" xfId="3" applyNumberFormat="1" applyFont="1" applyBorder="1"/>
    <xf numFmtId="9" fontId="2" fillId="0" borderId="0" xfId="2" applyFont="1" applyBorder="1"/>
    <xf numFmtId="176" fontId="2" fillId="0" borderId="16" xfId="3" applyNumberFormat="1" applyFont="1" applyBorder="1"/>
    <xf numFmtId="0" fontId="7" fillId="3" borderId="10" xfId="0" applyFont="1" applyFill="1" applyBorder="1"/>
    <xf numFmtId="0" fontId="0" fillId="3" borderId="12" xfId="0" applyFill="1" applyBorder="1"/>
    <xf numFmtId="0" fontId="0" fillId="3" borderId="15" xfId="0" applyFill="1" applyBorder="1"/>
    <xf numFmtId="3" fontId="0" fillId="3" borderId="16" xfId="0" applyNumberFormat="1" applyFill="1" applyBorder="1"/>
    <xf numFmtId="0" fontId="2" fillId="3" borderId="15" xfId="0" applyFont="1" applyFill="1" applyBorder="1"/>
    <xf numFmtId="3" fontId="5" fillId="3" borderId="16" xfId="0" applyNumberFormat="1" applyFont="1" applyFill="1" applyBorder="1"/>
    <xf numFmtId="3" fontId="8" fillId="0" borderId="0" xfId="0" applyNumberFormat="1" applyFont="1"/>
    <xf numFmtId="0" fontId="0" fillId="3" borderId="16" xfId="0" applyFill="1" applyBorder="1"/>
    <xf numFmtId="0" fontId="8" fillId="0" borderId="0" xfId="0" applyFont="1"/>
    <xf numFmtId="4" fontId="0" fillId="3" borderId="16" xfId="0" applyNumberFormat="1" applyFill="1" applyBorder="1"/>
    <xf numFmtId="0" fontId="0" fillId="3" borderId="17" xfId="0" applyFill="1" applyBorder="1"/>
    <xf numFmtId="10" fontId="0" fillId="3" borderId="19" xfId="2" applyNumberFormat="1" applyFont="1" applyFill="1" applyBorder="1"/>
    <xf numFmtId="0" fontId="2" fillId="0" borderId="0" xfId="0" applyFont="1" applyAlignment="1">
      <alignment horizontal="right" wrapText="1"/>
    </xf>
    <xf numFmtId="2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176" fontId="8" fillId="0" borderId="0" xfId="3" applyNumberFormat="1" applyFont="1" applyBorder="1"/>
    <xf numFmtId="2" fontId="0" fillId="3" borderId="16" xfId="0" applyNumberFormat="1" applyFill="1" applyBorder="1"/>
    <xf numFmtId="10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172" fontId="2" fillId="0" borderId="17" xfId="0" applyNumberFormat="1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167" fontId="9" fillId="0" borderId="20" xfId="0" applyNumberFormat="1" applyFont="1" applyBorder="1" applyAlignment="1">
      <alignment horizontal="right"/>
    </xf>
    <xf numFmtId="10" fontId="9" fillId="0" borderId="21" xfId="0" applyNumberFormat="1" applyFont="1" applyBorder="1" applyAlignment="1">
      <alignment horizontal="center"/>
    </xf>
    <xf numFmtId="0" fontId="9" fillId="0" borderId="22" xfId="0" applyFont="1" applyBorder="1" applyAlignment="1">
      <alignment horizontal="right"/>
    </xf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176" fontId="0" fillId="0" borderId="14" xfId="3" applyNumberFormat="1" applyFont="1" applyBorder="1"/>
    <xf numFmtId="10" fontId="0" fillId="0" borderId="7" xfId="2" applyNumberFormat="1" applyFont="1" applyBorder="1"/>
    <xf numFmtId="177" fontId="0" fillId="0" borderId="0" xfId="1" applyNumberFormat="1" applyFont="1"/>
    <xf numFmtId="176" fontId="8" fillId="4" borderId="0" xfId="3" applyNumberFormat="1" applyFont="1" applyFill="1" applyBorder="1"/>
    <xf numFmtId="176" fontId="8" fillId="5" borderId="0" xfId="3" applyNumberFormat="1" applyFont="1" applyFill="1" applyBorder="1"/>
    <xf numFmtId="176" fontId="8" fillId="5" borderId="23" xfId="3" applyNumberFormat="1" applyFont="1" applyFill="1" applyBorder="1"/>
    <xf numFmtId="176" fontId="8" fillId="5" borderId="24" xfId="3" applyNumberFormat="1" applyFont="1" applyFill="1" applyBorder="1"/>
    <xf numFmtId="49" fontId="5" fillId="4" borderId="0" xfId="0" applyNumberFormat="1" applyFont="1" applyFill="1"/>
    <xf numFmtId="49" fontId="2" fillId="5" borderId="0" xfId="0" applyNumberFormat="1" applyFont="1" applyFill="1"/>
    <xf numFmtId="0" fontId="0" fillId="6" borderId="13" xfId="0" applyFill="1" applyBorder="1"/>
    <xf numFmtId="176" fontId="8" fillId="4" borderId="24" xfId="3" applyNumberFormat="1" applyFont="1" applyFill="1" applyBorder="1"/>
    <xf numFmtId="0" fontId="0" fillId="4" borderId="13" xfId="0" applyFill="1" applyBorder="1"/>
    <xf numFmtId="177" fontId="0" fillId="0" borderId="0" xfId="0" applyNumberFormat="1"/>
    <xf numFmtId="178" fontId="0" fillId="0" borderId="0" xfId="0" applyNumberFormat="1"/>
    <xf numFmtId="178" fontId="0" fillId="0" borderId="0" xfId="1" applyNumberFormat="1" applyFont="1"/>
    <xf numFmtId="0" fontId="0" fillId="3" borderId="0" xfId="0" applyFill="1"/>
    <xf numFmtId="10" fontId="0" fillId="3" borderId="0" xfId="0" applyNumberFormat="1" applyFill="1"/>
    <xf numFmtId="0" fontId="0" fillId="7" borderId="25" xfId="0" applyFill="1" applyBorder="1"/>
    <xf numFmtId="178" fontId="0" fillId="7" borderId="25" xfId="0" applyNumberFormat="1" applyFill="1" applyBorder="1"/>
    <xf numFmtId="0" fontId="0" fillId="3" borderId="25" xfId="0" applyFill="1" applyBorder="1"/>
    <xf numFmtId="178" fontId="0" fillId="3" borderId="25" xfId="1" applyNumberFormat="1" applyFont="1" applyFill="1" applyBorder="1"/>
    <xf numFmtId="178" fontId="0" fillId="3" borderId="25" xfId="0" applyNumberFormat="1" applyFill="1" applyBorder="1"/>
    <xf numFmtId="175" fontId="0" fillId="0" borderId="0" xfId="0" applyNumberFormat="1"/>
  </cellXfs>
  <cellStyles count="4">
    <cellStyle name="Komma" xfId="1" builtinId="3"/>
    <cellStyle name="Normal" xfId="0" builtinId="0"/>
    <cellStyle name="Prosent" xfId="2" builtinId="5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629331</xdr:colOff>
      <xdr:row>79</xdr:row>
      <xdr:rowOff>79374</xdr:rowOff>
    </xdr:from>
    <xdr:to>
      <xdr:col>1</xdr:col>
      <xdr:colOff>1893661</xdr:colOff>
      <xdr:row>82</xdr:row>
      <xdr:rowOff>83939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331" y="14400892"/>
          <a:ext cx="1922009" cy="5488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1950492</xdr:colOff>
      <xdr:row>3</xdr:row>
      <xdr:rowOff>11339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679" y="0"/>
          <a:ext cx="1945730" cy="555625"/>
        </a:xfrm>
        <a:prstGeom prst="rect">
          <a:avLst/>
        </a:prstGeom>
      </xdr:spPr>
    </xdr:pic>
    <xdr:clientData/>
  </xdr:twoCellAnchor>
  <xdr:twoCellAnchor editAs="oneCell">
    <xdr:from>
      <xdr:col>0</xdr:col>
      <xdr:colOff>600981</xdr:colOff>
      <xdr:row>99</xdr:row>
      <xdr:rowOff>68035</xdr:rowOff>
    </xdr:from>
    <xdr:to>
      <xdr:col>1</xdr:col>
      <xdr:colOff>1809749</xdr:colOff>
      <xdr:row>102</xdr:row>
      <xdr:rowOff>77362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981" y="18274392"/>
          <a:ext cx="1843768" cy="5488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128"/>
  <sheetViews>
    <sheetView tabSelected="1" topLeftCell="A92" zoomScale="84" zoomScaleNormal="84" workbookViewId="0">
      <selection activeCell="E101" sqref="E101"/>
    </sheetView>
  </sheetViews>
  <sheetFormatPr baseColWidth="10" defaultColWidth="9.28515625" defaultRowHeight="15" x14ac:dyDescent="0.25"/>
  <cols>
    <col min="2" max="2" width="43.5703125" customWidth="1"/>
    <col min="3" max="3" width="3.5703125" customWidth="1"/>
    <col min="4" max="4" width="25.7109375" customWidth="1"/>
    <col min="5" max="5" width="24" customWidth="1"/>
    <col min="6" max="6" width="26.5703125" customWidth="1"/>
    <col min="7" max="7" width="45.5703125" customWidth="1"/>
    <col min="8" max="10" width="16.5703125" customWidth="1"/>
    <col min="11" max="11" width="13" customWidth="1"/>
    <col min="12" max="12" width="16.7109375" bestFit="1" customWidth="1"/>
    <col min="13" max="13" width="12.28515625" bestFit="1" customWidth="1"/>
    <col min="14" max="14" width="13.7109375" customWidth="1"/>
    <col min="15" max="15" width="11.42578125" bestFit="1" customWidth="1"/>
  </cols>
  <sheetData>
    <row r="4" spans="2:15" s="1" customFormat="1" ht="21" x14ac:dyDescent="0.35">
      <c r="B4" s="6" t="s">
        <v>4</v>
      </c>
    </row>
    <row r="6" spans="2:15" x14ac:dyDescent="0.25">
      <c r="L6" s="13"/>
      <c r="M6" s="13"/>
    </row>
    <row r="7" spans="2:15" x14ac:dyDescent="0.25">
      <c r="B7" s="15" t="s">
        <v>5</v>
      </c>
      <c r="L7" s="13"/>
      <c r="M7" s="13"/>
    </row>
    <row r="8" spans="2:15" x14ac:dyDescent="0.25">
      <c r="K8" s="7"/>
      <c r="L8" s="19"/>
      <c r="M8" s="13"/>
    </row>
    <row r="9" spans="2:15" x14ac:dyDescent="0.25">
      <c r="B9" t="s">
        <v>6</v>
      </c>
      <c r="D9" s="3">
        <v>93515</v>
      </c>
      <c r="K9" s="20"/>
      <c r="L9" s="21"/>
      <c r="M9" s="13"/>
    </row>
    <row r="10" spans="2:15" x14ac:dyDescent="0.25">
      <c r="B10" t="s">
        <v>8</v>
      </c>
      <c r="D10" s="37">
        <v>0.32080414899999998</v>
      </c>
      <c r="K10" s="20"/>
      <c r="L10" s="21"/>
      <c r="M10" s="13"/>
    </row>
    <row r="11" spans="2:15" x14ac:dyDescent="0.25">
      <c r="B11" t="s">
        <v>7</v>
      </c>
      <c r="D11" s="9">
        <v>30000</v>
      </c>
      <c r="K11" s="20"/>
      <c r="L11" s="21"/>
      <c r="M11" s="13"/>
    </row>
    <row r="12" spans="2:15" x14ac:dyDescent="0.25">
      <c r="D12" s="9"/>
      <c r="K12" s="20"/>
      <c r="L12" s="21"/>
      <c r="M12" s="13"/>
    </row>
    <row r="13" spans="2:15" x14ac:dyDescent="0.25">
      <c r="K13" s="20"/>
      <c r="L13" s="22"/>
      <c r="M13" s="13"/>
    </row>
    <row r="14" spans="2:15" x14ac:dyDescent="0.25">
      <c r="B14" s="4" t="s">
        <v>12</v>
      </c>
      <c r="D14" s="7" t="s">
        <v>10</v>
      </c>
      <c r="E14" s="7" t="s">
        <v>11</v>
      </c>
      <c r="F14" s="7"/>
      <c r="G14" s="7"/>
      <c r="L14" s="13"/>
      <c r="M14" s="13"/>
    </row>
    <row r="15" spans="2:15" x14ac:dyDescent="0.25">
      <c r="B15" t="s">
        <v>9</v>
      </c>
      <c r="D15" s="3">
        <v>64980</v>
      </c>
      <c r="E15" s="2">
        <f>D11*78%</f>
        <v>23400</v>
      </c>
      <c r="F15" s="2"/>
      <c r="G15" s="2"/>
      <c r="K15" s="20"/>
      <c r="L15" s="23"/>
      <c r="M15" s="14"/>
      <c r="O15" s="24"/>
    </row>
    <row r="16" spans="2:15" x14ac:dyDescent="0.25">
      <c r="B16" t="s">
        <v>1</v>
      </c>
      <c r="D16" s="3">
        <v>25940</v>
      </c>
      <c r="E16" s="2">
        <f>D11*20%</f>
        <v>6000</v>
      </c>
      <c r="F16" s="2"/>
      <c r="G16" s="2"/>
      <c r="K16" s="20"/>
      <c r="L16" s="23"/>
      <c r="O16" s="25"/>
    </row>
    <row r="17" spans="2:15" x14ac:dyDescent="0.25">
      <c r="B17" t="s">
        <v>2</v>
      </c>
      <c r="D17" s="5">
        <v>2595</v>
      </c>
      <c r="E17" s="10">
        <f>D11*2%</f>
        <v>600</v>
      </c>
      <c r="F17" s="13"/>
      <c r="G17" s="13"/>
      <c r="K17" s="26"/>
      <c r="L17" s="27"/>
      <c r="O17" s="24"/>
    </row>
    <row r="18" spans="2:15" x14ac:dyDescent="0.25">
      <c r="D18" s="3">
        <f>SUM(D15:D17)</f>
        <v>93515</v>
      </c>
      <c r="E18" s="2">
        <f>SUM(E15:E17)</f>
        <v>30000</v>
      </c>
      <c r="F18" s="2"/>
      <c r="G18" s="2"/>
    </row>
    <row r="19" spans="2:15" x14ac:dyDescent="0.25">
      <c r="K19" s="28"/>
    </row>
    <row r="20" spans="2:15" x14ac:dyDescent="0.25">
      <c r="B20" s="15" t="s">
        <v>33</v>
      </c>
    </row>
    <row r="21" spans="2:15" x14ac:dyDescent="0.25">
      <c r="B21" t="s">
        <v>10</v>
      </c>
      <c r="D21" s="3">
        <v>3761</v>
      </c>
    </row>
    <row r="22" spans="2:15" x14ac:dyDescent="0.25">
      <c r="B22" t="s">
        <v>13</v>
      </c>
      <c r="D22" s="37">
        <v>0.32080414899999998</v>
      </c>
    </row>
    <row r="23" spans="2:15" x14ac:dyDescent="0.25">
      <c r="B23" t="s">
        <v>8</v>
      </c>
      <c r="D23" s="11">
        <f>+D24/D21</f>
        <v>192.23610741823984</v>
      </c>
      <c r="I23" s="9"/>
    </row>
    <row r="24" spans="2:15" x14ac:dyDescent="0.25">
      <c r="B24" t="s">
        <v>14</v>
      </c>
      <c r="D24" s="17">
        <v>723000</v>
      </c>
      <c r="I24" s="9"/>
    </row>
    <row r="25" spans="2:15" x14ac:dyDescent="0.25">
      <c r="B25" t="s">
        <v>15</v>
      </c>
      <c r="D25" s="2">
        <f>+(D23-D22)*D21</f>
        <v>721793.45559561101</v>
      </c>
    </row>
    <row r="26" spans="2:15" x14ac:dyDescent="0.25">
      <c r="B26" t="s">
        <v>21</v>
      </c>
      <c r="D26" s="2">
        <f>D21*D22</f>
        <v>1206.544404389</v>
      </c>
    </row>
    <row r="27" spans="2:15" x14ac:dyDescent="0.25">
      <c r="D27" s="2"/>
    </row>
    <row r="28" spans="2:15" x14ac:dyDescent="0.25">
      <c r="B28" s="4" t="s">
        <v>16</v>
      </c>
      <c r="D28" s="2"/>
    </row>
    <row r="29" spans="2:15" x14ac:dyDescent="0.25">
      <c r="B29" t="s">
        <v>9</v>
      </c>
      <c r="D29" s="3">
        <v>64980</v>
      </c>
      <c r="E29" s="8">
        <f>+D29/$D$33</f>
        <v>0.66799621694971012</v>
      </c>
      <c r="F29" s="8"/>
      <c r="G29" s="8"/>
    </row>
    <row r="30" spans="2:15" x14ac:dyDescent="0.25">
      <c r="B30" t="s">
        <v>1</v>
      </c>
      <c r="D30" s="3">
        <f>+D16</f>
        <v>25940</v>
      </c>
      <c r="E30" s="8">
        <f t="shared" ref="E30:E32" si="0">+D30/$D$33</f>
        <v>0.2666639253258769</v>
      </c>
      <c r="F30" s="8"/>
      <c r="G30" s="8"/>
    </row>
    <row r="31" spans="2:15" x14ac:dyDescent="0.25">
      <c r="B31" t="s">
        <v>2</v>
      </c>
      <c r="D31" s="3">
        <v>2595</v>
      </c>
      <c r="E31" s="8">
        <f t="shared" si="0"/>
        <v>2.6676672560549366E-2</v>
      </c>
      <c r="F31" s="8"/>
      <c r="G31" s="8"/>
    </row>
    <row r="32" spans="2:15" x14ac:dyDescent="0.25">
      <c r="B32" t="s">
        <v>3</v>
      </c>
      <c r="D32" s="5">
        <f>+D21</f>
        <v>3761</v>
      </c>
      <c r="E32" s="12">
        <f t="shared" si="0"/>
        <v>3.8663185163863648E-2</v>
      </c>
      <c r="F32" s="14"/>
      <c r="G32" s="14"/>
    </row>
    <row r="33" spans="2:11" x14ac:dyDescent="0.25">
      <c r="B33" t="s">
        <v>18</v>
      </c>
      <c r="D33" s="3">
        <f>SUM(D29:D32)</f>
        <v>97276</v>
      </c>
      <c r="E33" s="8">
        <f>SUM(E29:E32)</f>
        <v>1</v>
      </c>
      <c r="F33" s="8"/>
      <c r="G33" s="8"/>
    </row>
    <row r="36" spans="2:11" x14ac:dyDescent="0.25">
      <c r="B36" s="15" t="s">
        <v>32</v>
      </c>
    </row>
    <row r="37" spans="2:11" x14ac:dyDescent="0.25">
      <c r="B37" t="s">
        <v>10</v>
      </c>
      <c r="D37" s="3">
        <v>29724</v>
      </c>
    </row>
    <row r="38" spans="2:11" x14ac:dyDescent="0.25">
      <c r="B38" t="s">
        <v>13</v>
      </c>
      <c r="D38" s="37">
        <v>0.32080414899999998</v>
      </c>
    </row>
    <row r="39" spans="2:11" x14ac:dyDescent="0.25">
      <c r="B39" t="s">
        <v>8</v>
      </c>
      <c r="D39" s="11">
        <v>351.31378699999999</v>
      </c>
      <c r="I39" s="7"/>
      <c r="J39" s="7"/>
      <c r="K39" s="7"/>
    </row>
    <row r="40" spans="2:11" x14ac:dyDescent="0.25">
      <c r="B40" t="s">
        <v>14</v>
      </c>
      <c r="D40" s="2">
        <f>D37*D39</f>
        <v>10442451.004788</v>
      </c>
      <c r="I40" s="2"/>
      <c r="J40" s="18"/>
      <c r="K40" s="2"/>
    </row>
    <row r="41" spans="2:11" x14ac:dyDescent="0.25">
      <c r="B41" t="s">
        <v>15</v>
      </c>
      <c r="D41" s="38">
        <f>+(D39-D38)*D37</f>
        <v>10432915.422263123</v>
      </c>
    </row>
    <row r="42" spans="2:11" x14ac:dyDescent="0.25">
      <c r="B42" t="s">
        <v>21</v>
      </c>
      <c r="D42" s="38">
        <f>D37*D38</f>
        <v>9535.5825248759993</v>
      </c>
    </row>
    <row r="43" spans="2:11" x14ac:dyDescent="0.25">
      <c r="D43" s="38"/>
    </row>
    <row r="44" spans="2:11" ht="21" x14ac:dyDescent="0.35">
      <c r="B44" s="41" t="s">
        <v>30</v>
      </c>
      <c r="C44" s="29"/>
      <c r="D44" s="42"/>
      <c r="E44" s="29"/>
      <c r="F44" s="30"/>
      <c r="G44" s="30"/>
    </row>
    <row r="45" spans="2:11" x14ac:dyDescent="0.25">
      <c r="B45" s="43" t="s">
        <v>17</v>
      </c>
      <c r="D45" s="40" t="s">
        <v>10</v>
      </c>
      <c r="E45" s="50" t="s">
        <v>19</v>
      </c>
      <c r="F45" s="33"/>
      <c r="G45" s="44" t="s">
        <v>29</v>
      </c>
    </row>
    <row r="46" spans="2:11" x14ac:dyDescent="0.25">
      <c r="B46" s="31" t="s">
        <v>24</v>
      </c>
      <c r="D46" s="24">
        <f>+D15</f>
        <v>64980</v>
      </c>
      <c r="E46" s="51">
        <f>+D46/D$51</f>
        <v>0.51165354330708657</v>
      </c>
      <c r="F46" s="33" t="s">
        <v>9</v>
      </c>
      <c r="G46" s="33" t="s">
        <v>31</v>
      </c>
    </row>
    <row r="47" spans="2:11" x14ac:dyDescent="0.25">
      <c r="B47" s="31" t="s">
        <v>26</v>
      </c>
      <c r="D47" s="24">
        <f>+D16</f>
        <v>25940</v>
      </c>
      <c r="E47" s="51">
        <f t="shared" ref="E47:E50" si="1">+D47/D$51</f>
        <v>0.20425196850393701</v>
      </c>
      <c r="F47" s="33" t="s">
        <v>1</v>
      </c>
      <c r="G47" s="33"/>
    </row>
    <row r="48" spans="2:11" x14ac:dyDescent="0.25">
      <c r="B48" s="31" t="s">
        <v>25</v>
      </c>
      <c r="D48" s="24">
        <f>+D17</f>
        <v>2595</v>
      </c>
      <c r="E48" s="51">
        <f t="shared" si="1"/>
        <v>2.0433070866141732E-2</v>
      </c>
      <c r="F48" s="33" t="s">
        <v>2</v>
      </c>
      <c r="G48" s="33"/>
    </row>
    <row r="49" spans="2:7" x14ac:dyDescent="0.25">
      <c r="B49" s="31" t="s">
        <v>27</v>
      </c>
      <c r="D49" s="24">
        <f>+D21</f>
        <v>3761</v>
      </c>
      <c r="E49" s="51">
        <f t="shared" si="1"/>
        <v>2.9614173228346457E-2</v>
      </c>
      <c r="F49" s="33" t="s">
        <v>3</v>
      </c>
      <c r="G49" s="33"/>
    </row>
    <row r="50" spans="2:7" x14ac:dyDescent="0.25">
      <c r="B50" s="36" t="s">
        <v>28</v>
      </c>
      <c r="C50" s="16"/>
      <c r="D50" s="47">
        <f>+D37</f>
        <v>29724</v>
      </c>
      <c r="E50" s="52">
        <f t="shared" si="1"/>
        <v>0.23404724409448818</v>
      </c>
      <c r="F50" s="34" t="s">
        <v>20</v>
      </c>
      <c r="G50" s="33"/>
    </row>
    <row r="51" spans="2:7" x14ac:dyDescent="0.25">
      <c r="B51" s="31" t="s">
        <v>18</v>
      </c>
      <c r="D51" s="24">
        <f>SUM(D46:D50)</f>
        <v>127000</v>
      </c>
      <c r="E51" s="51">
        <f>SUM(E46:E50)</f>
        <v>1</v>
      </c>
      <c r="F51" s="33" t="s">
        <v>0</v>
      </c>
      <c r="G51" s="33"/>
    </row>
    <row r="52" spans="2:7" x14ac:dyDescent="0.25">
      <c r="B52" s="31"/>
      <c r="D52" s="24"/>
      <c r="E52" s="32"/>
      <c r="F52" s="33"/>
      <c r="G52" s="33"/>
    </row>
    <row r="53" spans="2:7" x14ac:dyDescent="0.25">
      <c r="B53" s="31" t="s">
        <v>22</v>
      </c>
      <c r="D53" s="35">
        <f>D25+D41</f>
        <v>11154708.877858734</v>
      </c>
      <c r="F53" s="33"/>
      <c r="G53" s="33"/>
    </row>
    <row r="54" spans="2:7" x14ac:dyDescent="0.25">
      <c r="B54" s="36" t="s">
        <v>23</v>
      </c>
      <c r="C54" s="16"/>
      <c r="D54" s="39">
        <f>D11+D26+D42</f>
        <v>40742.126929264996</v>
      </c>
      <c r="E54" s="16"/>
      <c r="F54" s="34"/>
      <c r="G54" s="34"/>
    </row>
    <row r="56" spans="2:7" x14ac:dyDescent="0.25">
      <c r="B56" s="15" t="s">
        <v>41</v>
      </c>
    </row>
    <row r="57" spans="2:7" x14ac:dyDescent="0.25">
      <c r="B57" t="s">
        <v>10</v>
      </c>
      <c r="D57" s="3">
        <v>30000</v>
      </c>
    </row>
    <row r="58" spans="2:7" x14ac:dyDescent="0.25">
      <c r="B58" t="s">
        <v>13</v>
      </c>
      <c r="D58" s="37">
        <v>0.32080414899999998</v>
      </c>
    </row>
    <row r="59" spans="2:7" x14ac:dyDescent="0.25">
      <c r="B59" t="s">
        <v>8</v>
      </c>
      <c r="D59" s="45">
        <v>200</v>
      </c>
    </row>
    <row r="60" spans="2:7" x14ac:dyDescent="0.25">
      <c r="B60" t="s">
        <v>14</v>
      </c>
      <c r="D60" s="2">
        <f>D57*D59</f>
        <v>6000000</v>
      </c>
    </row>
    <row r="61" spans="2:7" x14ac:dyDescent="0.25">
      <c r="B61" t="s">
        <v>15</v>
      </c>
      <c r="D61" s="38">
        <f>+(D59-D58)*D57</f>
        <v>5990375.8755299998</v>
      </c>
    </row>
    <row r="62" spans="2:7" x14ac:dyDescent="0.25">
      <c r="B62" t="s">
        <v>21</v>
      </c>
      <c r="D62" s="38">
        <f>D57*D58</f>
        <v>9624.1244699999988</v>
      </c>
    </row>
    <row r="64" spans="2:7" x14ac:dyDescent="0.25">
      <c r="B64" s="15" t="s">
        <v>42</v>
      </c>
    </row>
    <row r="65" spans="2:4" x14ac:dyDescent="0.25">
      <c r="B65" t="s">
        <v>10</v>
      </c>
      <c r="D65" s="3">
        <v>10000</v>
      </c>
    </row>
    <row r="66" spans="2:4" x14ac:dyDescent="0.25">
      <c r="B66" t="s">
        <v>13</v>
      </c>
      <c r="D66" s="37">
        <v>0.32080414899999998</v>
      </c>
    </row>
    <row r="67" spans="2:4" x14ac:dyDescent="0.25">
      <c r="B67" t="s">
        <v>8</v>
      </c>
      <c r="D67" s="45">
        <v>200</v>
      </c>
    </row>
    <row r="68" spans="2:4" x14ac:dyDescent="0.25">
      <c r="B68" t="s">
        <v>14</v>
      </c>
      <c r="D68" s="2">
        <f>D65*D67</f>
        <v>2000000</v>
      </c>
    </row>
    <row r="69" spans="2:4" x14ac:dyDescent="0.25">
      <c r="B69" t="s">
        <v>15</v>
      </c>
      <c r="D69" s="38">
        <f>+(D67-D66)*D65</f>
        <v>1996791.95851</v>
      </c>
    </row>
    <row r="70" spans="2:4" x14ac:dyDescent="0.25">
      <c r="B70" t="s">
        <v>21</v>
      </c>
      <c r="D70" s="38">
        <f>D65*D66</f>
        <v>3208.0414899999996</v>
      </c>
    </row>
    <row r="72" spans="2:4" x14ac:dyDescent="0.25">
      <c r="B72" s="15" t="s">
        <v>34</v>
      </c>
    </row>
    <row r="73" spans="2:4" x14ac:dyDescent="0.25">
      <c r="B73" t="s">
        <v>10</v>
      </c>
      <c r="D73" s="3">
        <v>0</v>
      </c>
    </row>
    <row r="74" spans="2:4" x14ac:dyDescent="0.25">
      <c r="B74" t="s">
        <v>13</v>
      </c>
      <c r="D74" s="37">
        <v>0.32080414899999998</v>
      </c>
    </row>
    <row r="75" spans="2:4" x14ac:dyDescent="0.25">
      <c r="B75" t="s">
        <v>8</v>
      </c>
      <c r="D75" s="45">
        <v>200</v>
      </c>
    </row>
    <row r="76" spans="2:4" x14ac:dyDescent="0.25">
      <c r="B76" t="s">
        <v>14</v>
      </c>
      <c r="D76" s="2">
        <f>D73*D75</f>
        <v>0</v>
      </c>
    </row>
    <row r="77" spans="2:4" x14ac:dyDescent="0.25">
      <c r="B77" t="s">
        <v>15</v>
      </c>
      <c r="D77" s="38">
        <f>+(D75-D74)*D73</f>
        <v>0</v>
      </c>
    </row>
    <row r="78" spans="2:4" x14ac:dyDescent="0.25">
      <c r="B78" t="s">
        <v>21</v>
      </c>
      <c r="D78" s="38">
        <f>D73*D74</f>
        <v>0</v>
      </c>
    </row>
    <row r="79" spans="2:4" x14ac:dyDescent="0.25">
      <c r="D79" s="38"/>
    </row>
    <row r="84" spans="2:7" ht="21" x14ac:dyDescent="0.35">
      <c r="B84" s="41" t="s">
        <v>30</v>
      </c>
      <c r="C84" s="29"/>
      <c r="D84" s="42"/>
      <c r="E84" s="29"/>
      <c r="F84" s="30"/>
      <c r="G84" s="30"/>
    </row>
    <row r="85" spans="2:7" x14ac:dyDescent="0.25">
      <c r="B85" s="43" t="s">
        <v>43</v>
      </c>
      <c r="D85" s="40" t="s">
        <v>10</v>
      </c>
      <c r="E85" s="50" t="s">
        <v>19</v>
      </c>
      <c r="F85" s="33"/>
      <c r="G85" s="44" t="s">
        <v>29</v>
      </c>
    </row>
    <row r="86" spans="2:7" x14ac:dyDescent="0.25">
      <c r="B86" s="31" t="s">
        <v>24</v>
      </c>
      <c r="D86" s="24">
        <f>+D15</f>
        <v>64980</v>
      </c>
      <c r="E86" s="53">
        <f t="shared" ref="E86:E92" si="2">+D86/D$93</f>
        <v>0.38910179640718562</v>
      </c>
      <c r="F86" s="33" t="s">
        <v>9</v>
      </c>
      <c r="G86" s="46" t="s">
        <v>31</v>
      </c>
    </row>
    <row r="87" spans="2:7" x14ac:dyDescent="0.25">
      <c r="B87" s="31" t="s">
        <v>26</v>
      </c>
      <c r="D87" s="24">
        <f>+D16</f>
        <v>25940</v>
      </c>
      <c r="E87" s="53">
        <f t="shared" si="2"/>
        <v>0.15532934131736528</v>
      </c>
      <c r="F87" s="33" t="s">
        <v>1</v>
      </c>
      <c r="G87" s="33"/>
    </row>
    <row r="88" spans="2:7" x14ac:dyDescent="0.25">
      <c r="B88" s="31" t="s">
        <v>25</v>
      </c>
      <c r="D88" s="24">
        <f>+D17</f>
        <v>2595</v>
      </c>
      <c r="E88" s="53">
        <f t="shared" si="2"/>
        <v>1.5538922155688624E-2</v>
      </c>
      <c r="F88" s="33" t="s">
        <v>2</v>
      </c>
      <c r="G88" s="33"/>
    </row>
    <row r="89" spans="2:7" x14ac:dyDescent="0.25">
      <c r="B89" s="31" t="s">
        <v>27</v>
      </c>
      <c r="D89" s="24">
        <f>+D21</f>
        <v>3761</v>
      </c>
      <c r="E89" s="53">
        <f t="shared" si="2"/>
        <v>2.2520958083832334E-2</v>
      </c>
      <c r="F89" s="33" t="s">
        <v>3</v>
      </c>
      <c r="G89" s="33"/>
    </row>
    <row r="90" spans="2:7" x14ac:dyDescent="0.25">
      <c r="B90" s="31" t="s">
        <v>28</v>
      </c>
      <c r="D90" s="24">
        <f>+D37</f>
        <v>29724</v>
      </c>
      <c r="E90" s="53">
        <f t="shared" si="2"/>
        <v>0.17798802395209581</v>
      </c>
      <c r="F90" s="33" t="s">
        <v>20</v>
      </c>
      <c r="G90" s="33"/>
    </row>
    <row r="91" spans="2:7" x14ac:dyDescent="0.25">
      <c r="B91" s="31" t="s">
        <v>35</v>
      </c>
      <c r="D91" s="24">
        <f>D57</f>
        <v>30000</v>
      </c>
      <c r="E91" s="53">
        <f t="shared" si="2"/>
        <v>0.17964071856287425</v>
      </c>
      <c r="F91" s="33" t="s">
        <v>37</v>
      </c>
      <c r="G91" s="33"/>
    </row>
    <row r="92" spans="2:7" x14ac:dyDescent="0.25">
      <c r="B92" s="31" t="s">
        <v>36</v>
      </c>
      <c r="D92" s="47">
        <f>D65</f>
        <v>10000</v>
      </c>
      <c r="E92" s="61">
        <f t="shared" si="2"/>
        <v>5.9880239520958084E-2</v>
      </c>
      <c r="F92" s="34" t="s">
        <v>46</v>
      </c>
      <c r="G92" s="33"/>
    </row>
    <row r="93" spans="2:7" x14ac:dyDescent="0.25">
      <c r="B93" s="58"/>
      <c r="D93" s="59">
        <f>SUM(D86:D92)</f>
        <v>167000</v>
      </c>
      <c r="E93" s="60">
        <f>SUM(E86:E92)</f>
        <v>1</v>
      </c>
      <c r="F93" s="62" t="s">
        <v>18</v>
      </c>
      <c r="G93" s="33"/>
    </row>
    <row r="94" spans="2:7" x14ac:dyDescent="0.25">
      <c r="B94" s="58"/>
      <c r="D94" s="59"/>
      <c r="E94" s="60"/>
      <c r="F94" s="62"/>
      <c r="G94" s="33"/>
    </row>
    <row r="95" spans="2:7" x14ac:dyDescent="0.25">
      <c r="B95" s="31" t="s">
        <v>44</v>
      </c>
      <c r="D95" s="24">
        <v>200</v>
      </c>
      <c r="E95" s="60"/>
      <c r="F95" s="62"/>
      <c r="G95" s="33"/>
    </row>
    <row r="96" spans="2:7" x14ac:dyDescent="0.25">
      <c r="B96" s="31" t="s">
        <v>45</v>
      </c>
      <c r="D96" s="24">
        <f>D95*D93</f>
        <v>33400000</v>
      </c>
      <c r="E96" s="32"/>
      <c r="F96" s="33"/>
      <c r="G96" s="33"/>
    </row>
    <row r="97" spans="2:7" x14ac:dyDescent="0.25">
      <c r="B97" s="31" t="s">
        <v>38</v>
      </c>
      <c r="D97" s="35">
        <f>D25+D41+D61+D69+D77</f>
        <v>19141876.711898733</v>
      </c>
      <c r="F97" s="33"/>
      <c r="G97" s="33"/>
    </row>
    <row r="98" spans="2:7" x14ac:dyDescent="0.25">
      <c r="B98" s="36" t="s">
        <v>23</v>
      </c>
      <c r="C98" s="16"/>
      <c r="D98" s="39">
        <f>D11+D26+D42+D62+D70+D78</f>
        <v>53574.292889264994</v>
      </c>
      <c r="E98" s="16"/>
      <c r="F98" s="34"/>
      <c r="G98" s="34"/>
    </row>
    <row r="99" spans="2:7" x14ac:dyDescent="0.25">
      <c r="D99" s="63"/>
    </row>
    <row r="100" spans="2:7" x14ac:dyDescent="0.25">
      <c r="D100" s="63"/>
    </row>
    <row r="101" spans="2:7" x14ac:dyDescent="0.25">
      <c r="D101" s="63"/>
    </row>
    <row r="102" spans="2:7" x14ac:dyDescent="0.25">
      <c r="D102" s="63"/>
    </row>
    <row r="104" spans="2:7" ht="21" x14ac:dyDescent="0.35">
      <c r="B104" s="1" t="s">
        <v>98</v>
      </c>
      <c r="D104" s="38"/>
    </row>
    <row r="105" spans="2:7" x14ac:dyDescent="0.25">
      <c r="B105" s="119" t="s">
        <v>96</v>
      </c>
      <c r="C105" s="119"/>
      <c r="D105" s="120" t="s">
        <v>10</v>
      </c>
      <c r="E105" s="121" t="s">
        <v>97</v>
      </c>
      <c r="F105" s="119" t="s">
        <v>19</v>
      </c>
    </row>
    <row r="106" spans="2:7" x14ac:dyDescent="0.25">
      <c r="B106" t="s">
        <v>24</v>
      </c>
      <c r="D106" s="59">
        <v>64980</v>
      </c>
      <c r="E106" s="60" t="e">
        <f>#REF!</f>
        <v>#REF!</v>
      </c>
      <c r="F106" s="4" t="s">
        <v>99</v>
      </c>
    </row>
    <row r="107" spans="2:7" x14ac:dyDescent="0.25">
      <c r="B107" t="s">
        <v>26</v>
      </c>
      <c r="D107" s="24">
        <v>25940</v>
      </c>
      <c r="E107" s="51"/>
      <c r="F107" t="s">
        <v>1</v>
      </c>
    </row>
    <row r="108" spans="2:7" x14ac:dyDescent="0.25">
      <c r="B108" s="16" t="s">
        <v>80</v>
      </c>
      <c r="C108" s="16"/>
      <c r="D108" s="47">
        <v>3800</v>
      </c>
      <c r="E108" s="52"/>
      <c r="F108" s="16" t="s">
        <v>1</v>
      </c>
    </row>
    <row r="109" spans="2:7" x14ac:dyDescent="0.25">
      <c r="B109" s="4" t="s">
        <v>78</v>
      </c>
      <c r="D109" s="59">
        <f>D107+D108</f>
        <v>29740</v>
      </c>
      <c r="E109" s="60" t="e">
        <f>#REF!</f>
        <v>#REF!</v>
      </c>
      <c r="F109" s="4" t="s">
        <v>1</v>
      </c>
    </row>
    <row r="110" spans="2:7" x14ac:dyDescent="0.25">
      <c r="B110" s="4" t="s">
        <v>25</v>
      </c>
      <c r="C110" s="4"/>
      <c r="D110" s="59">
        <v>2595</v>
      </c>
      <c r="E110" s="60" t="e">
        <f>#REF!</f>
        <v>#REF!</v>
      </c>
      <c r="F110" s="4" t="s">
        <v>2</v>
      </c>
    </row>
    <row r="111" spans="2:7" x14ac:dyDescent="0.25">
      <c r="B111" s="4" t="s">
        <v>27</v>
      </c>
      <c r="C111" s="4"/>
      <c r="D111" s="59">
        <v>3761</v>
      </c>
      <c r="E111" s="60" t="e">
        <f>#REF!</f>
        <v>#REF!</v>
      </c>
      <c r="F111" s="4" t="s">
        <v>3</v>
      </c>
    </row>
    <row r="112" spans="2:7" x14ac:dyDescent="0.25">
      <c r="B112" s="4" t="s">
        <v>83</v>
      </c>
      <c r="C112" s="4"/>
      <c r="D112" s="59">
        <v>29724</v>
      </c>
      <c r="E112" s="60" t="e">
        <f>#REF!</f>
        <v>#REF!</v>
      </c>
      <c r="F112" s="4" t="s">
        <v>20</v>
      </c>
    </row>
    <row r="113" spans="2:6" x14ac:dyDescent="0.25">
      <c r="B113" t="s">
        <v>35</v>
      </c>
      <c r="D113" s="24">
        <v>30000</v>
      </c>
      <c r="E113" s="51"/>
      <c r="F113" t="s">
        <v>37</v>
      </c>
    </row>
    <row r="114" spans="2:6" x14ac:dyDescent="0.25">
      <c r="B114" s="16" t="s">
        <v>81</v>
      </c>
      <c r="C114" s="16"/>
      <c r="D114" s="47">
        <v>3200</v>
      </c>
      <c r="E114" s="52"/>
      <c r="F114" s="16" t="s">
        <v>37</v>
      </c>
    </row>
    <row r="115" spans="2:6" x14ac:dyDescent="0.25">
      <c r="B115" s="4" t="s">
        <v>79</v>
      </c>
      <c r="D115" s="59">
        <f>D113+D114</f>
        <v>33200</v>
      </c>
      <c r="E115" s="60" t="e">
        <f>#REF!</f>
        <v>#REF!</v>
      </c>
      <c r="F115" s="4" t="s">
        <v>37</v>
      </c>
    </row>
    <row r="116" spans="2:6" x14ac:dyDescent="0.25">
      <c r="B116" t="s">
        <v>36</v>
      </c>
      <c r="D116" s="24">
        <v>10000</v>
      </c>
      <c r="E116" s="51"/>
      <c r="F116" t="s">
        <v>91</v>
      </c>
    </row>
    <row r="117" spans="2:6" x14ac:dyDescent="0.25">
      <c r="B117" s="16" t="s">
        <v>84</v>
      </c>
      <c r="C117" s="16"/>
      <c r="D117" s="47">
        <v>2000</v>
      </c>
      <c r="E117" s="52"/>
      <c r="F117" s="16" t="s">
        <v>90</v>
      </c>
    </row>
    <row r="118" spans="2:6" x14ac:dyDescent="0.25">
      <c r="B118" s="4" t="s">
        <v>92</v>
      </c>
      <c r="D118" s="59">
        <f>D116+D117</f>
        <v>12000</v>
      </c>
      <c r="E118" s="60" t="e">
        <f>#REF!</f>
        <v>#REF!</v>
      </c>
      <c r="F118" s="4" t="s">
        <v>90</v>
      </c>
    </row>
    <row r="119" spans="2:6" x14ac:dyDescent="0.25">
      <c r="B119" t="s">
        <v>82</v>
      </c>
      <c r="D119" s="57">
        <v>400</v>
      </c>
      <c r="E119" s="60" t="e">
        <f>#REF!</f>
        <v>#REF!</v>
      </c>
      <c r="F119" t="s">
        <v>88</v>
      </c>
    </row>
    <row r="120" spans="2:6" x14ac:dyDescent="0.25">
      <c r="B120" t="s">
        <v>85</v>
      </c>
      <c r="D120" s="57">
        <v>200</v>
      </c>
      <c r="E120" s="60" t="e">
        <f>#REF!</f>
        <v>#REF!</v>
      </c>
      <c r="F120" s="4" t="s">
        <v>89</v>
      </c>
    </row>
    <row r="121" spans="2:6" x14ac:dyDescent="0.25">
      <c r="B121" t="s">
        <v>86</v>
      </c>
      <c r="D121" s="57">
        <v>200</v>
      </c>
      <c r="E121" s="60" t="e">
        <f>#REF!</f>
        <v>#REF!</v>
      </c>
      <c r="F121" s="4" t="s">
        <v>76</v>
      </c>
    </row>
    <row r="122" spans="2:6" x14ac:dyDescent="0.25">
      <c r="B122" s="16" t="s">
        <v>87</v>
      </c>
      <c r="C122" s="16"/>
      <c r="D122" s="112">
        <v>200</v>
      </c>
      <c r="E122" s="111" t="e">
        <f>#REF!</f>
        <v>#REF!</v>
      </c>
      <c r="F122" s="55" t="s">
        <v>77</v>
      </c>
    </row>
    <row r="123" spans="2:6" x14ac:dyDescent="0.25">
      <c r="B123" t="s">
        <v>18</v>
      </c>
      <c r="D123" s="59">
        <f>D106+D109+D110+D111+D112+D115+D118+D119+D120+D121+D122</f>
        <v>177000</v>
      </c>
      <c r="E123" s="60" t="e">
        <f>SUM(E106:E122)</f>
        <v>#REF!</v>
      </c>
      <c r="F123" s="4" t="s">
        <v>18</v>
      </c>
    </row>
    <row r="124" spans="2:6" ht="15.75" thickBot="1" x14ac:dyDescent="0.3">
      <c r="D124" s="24"/>
      <c r="E124" s="53"/>
    </row>
    <row r="125" spans="2:6" x14ac:dyDescent="0.25">
      <c r="B125" s="4"/>
      <c r="D125" s="116" t="s">
        <v>93</v>
      </c>
      <c r="E125" s="117" t="s">
        <v>94</v>
      </c>
      <c r="F125" s="118" t="s">
        <v>95</v>
      </c>
    </row>
    <row r="126" spans="2:6" ht="15.75" thickBot="1" x14ac:dyDescent="0.3">
      <c r="B126" s="4"/>
      <c r="D126" s="113">
        <v>56782.334372999998</v>
      </c>
      <c r="E126" s="114">
        <v>177000</v>
      </c>
      <c r="F126" s="115">
        <v>0.32080414899999998</v>
      </c>
    </row>
    <row r="128" spans="2:6" x14ac:dyDescent="0.25">
      <c r="F128" t="s">
        <v>100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05DC-D3AD-4329-AFBD-1F9A77E290EA}">
  <dimension ref="A1:L8"/>
  <sheetViews>
    <sheetView zoomScale="87" zoomScaleNormal="87" workbookViewId="0">
      <selection activeCell="G11" sqref="G11"/>
    </sheetView>
  </sheetViews>
  <sheetFormatPr baseColWidth="10" defaultRowHeight="15" x14ac:dyDescent="0.25"/>
  <cols>
    <col min="2" max="2" width="32.7109375" style="48" customWidth="1"/>
    <col min="3" max="3" width="30.7109375" style="48" customWidth="1"/>
    <col min="4" max="4" width="16.85546875" customWidth="1"/>
    <col min="5" max="5" width="19.5703125" customWidth="1"/>
    <col min="6" max="6" width="15.5703125" customWidth="1"/>
    <col min="7" max="8" width="17.7109375" customWidth="1"/>
    <col min="9" max="9" width="19.42578125" customWidth="1"/>
    <col min="10" max="10" width="19.28515625" customWidth="1"/>
  </cols>
  <sheetData>
    <row r="1" spans="1:12" ht="15.75" x14ac:dyDescent="0.25">
      <c r="A1" s="80" t="s">
        <v>59</v>
      </c>
    </row>
    <row r="2" spans="1:12" ht="30" x14ac:dyDescent="0.25">
      <c r="A2" s="4" t="s">
        <v>55</v>
      </c>
      <c r="B2" s="79" t="s">
        <v>47</v>
      </c>
      <c r="C2" s="79" t="s">
        <v>48</v>
      </c>
      <c r="D2" s="77" t="s">
        <v>49</v>
      </c>
      <c r="E2" s="77" t="s">
        <v>50</v>
      </c>
      <c r="F2" s="77" t="s">
        <v>73</v>
      </c>
      <c r="G2" s="77" t="s">
        <v>52</v>
      </c>
      <c r="H2" s="77" t="s">
        <v>74</v>
      </c>
      <c r="I2" s="77" t="s">
        <v>51</v>
      </c>
      <c r="J2" s="77" t="s">
        <v>53</v>
      </c>
      <c r="K2" s="104"/>
      <c r="L2" s="76"/>
    </row>
    <row r="3" spans="1:12" x14ac:dyDescent="0.25">
      <c r="A3" t="s">
        <v>58</v>
      </c>
      <c r="B3" s="78">
        <v>43802</v>
      </c>
      <c r="C3" s="48" t="s">
        <v>54</v>
      </c>
      <c r="D3" s="108">
        <v>30000</v>
      </c>
      <c r="E3" s="108">
        <v>30000</v>
      </c>
      <c r="F3" s="49">
        <v>93515</v>
      </c>
      <c r="G3" s="49">
        <v>93515</v>
      </c>
      <c r="H3" s="49">
        <f>F3*J3</f>
        <v>29999.999993734997</v>
      </c>
      <c r="I3" s="7">
        <v>0.32080414899999998</v>
      </c>
      <c r="J3" s="7">
        <v>0.32080414899999998</v>
      </c>
      <c r="K3" s="49"/>
    </row>
    <row r="4" spans="1:12" x14ac:dyDescent="0.25">
      <c r="A4" t="s">
        <v>58</v>
      </c>
      <c r="B4" s="78">
        <v>43830</v>
      </c>
      <c r="C4" s="48" t="s">
        <v>56</v>
      </c>
      <c r="D4" s="107">
        <v>1206.54</v>
      </c>
      <c r="E4" s="107">
        <v>31206.54</v>
      </c>
      <c r="F4" s="106">
        <v>4361</v>
      </c>
      <c r="G4" s="49">
        <v>97276</v>
      </c>
      <c r="H4" s="49">
        <f>F4*J4</f>
        <v>838341.66262700001</v>
      </c>
      <c r="I4" s="7">
        <v>0.32080414899999998</v>
      </c>
      <c r="J4" s="7">
        <v>192.236107</v>
      </c>
      <c r="K4" s="49"/>
    </row>
    <row r="5" spans="1:12" x14ac:dyDescent="0.25">
      <c r="A5" t="s">
        <v>58</v>
      </c>
      <c r="B5" s="78">
        <v>44097</v>
      </c>
      <c r="C5" s="48" t="s">
        <v>56</v>
      </c>
      <c r="D5" s="107">
        <v>9535.58</v>
      </c>
      <c r="E5" s="107">
        <v>40742.120000000003</v>
      </c>
      <c r="F5" s="106">
        <v>29724</v>
      </c>
      <c r="G5" s="49">
        <v>127000</v>
      </c>
      <c r="H5" s="49">
        <f>F5*J5</f>
        <v>10442451.004788</v>
      </c>
      <c r="I5" s="7">
        <v>0.32080414899999998</v>
      </c>
      <c r="J5" s="7">
        <v>351.31378699999999</v>
      </c>
      <c r="K5" s="49"/>
    </row>
    <row r="6" spans="1:12" x14ac:dyDescent="0.25">
      <c r="A6" t="s">
        <v>58</v>
      </c>
      <c r="B6" s="78">
        <v>44175</v>
      </c>
      <c r="C6" s="48" t="s">
        <v>56</v>
      </c>
      <c r="D6" s="107">
        <v>12832.16</v>
      </c>
      <c r="E6" s="107">
        <v>53574.29</v>
      </c>
      <c r="F6" s="106">
        <v>40000</v>
      </c>
      <c r="G6" s="49">
        <v>167000</v>
      </c>
      <c r="H6" s="49">
        <f>F6*J6</f>
        <v>8000000</v>
      </c>
      <c r="I6" s="7">
        <v>0.32080414899999998</v>
      </c>
      <c r="J6" s="105">
        <v>200</v>
      </c>
      <c r="K6" s="49"/>
    </row>
    <row r="7" spans="1:12" x14ac:dyDescent="0.25">
      <c r="A7" t="s">
        <v>58</v>
      </c>
      <c r="B7" s="78">
        <v>44977</v>
      </c>
      <c r="C7" s="48" t="s">
        <v>56</v>
      </c>
      <c r="D7" s="107">
        <v>3208.0414900000001</v>
      </c>
      <c r="E7" s="108">
        <f>E6+D7</f>
        <v>56782.331490000004</v>
      </c>
      <c r="F7" s="106">
        <v>10000</v>
      </c>
      <c r="G7" s="49">
        <v>177000</v>
      </c>
      <c r="H7" s="54">
        <v>5000000</v>
      </c>
      <c r="I7">
        <v>0.32080414899999998</v>
      </c>
      <c r="J7" s="105">
        <v>500</v>
      </c>
    </row>
    <row r="8" spans="1:12" x14ac:dyDescent="0.25">
      <c r="H8" s="49">
        <f>SUM(H3:H7)</f>
        <v>24310792.667408735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1309-C73D-4798-BF3A-02DE7468DCF8}">
  <sheetPr>
    <pageSetUpPr fitToPage="1"/>
  </sheetPr>
  <dimension ref="A1:M37"/>
  <sheetViews>
    <sheetView zoomScale="90" zoomScaleNormal="90" workbookViewId="0">
      <selection activeCell="J30" sqref="J30"/>
    </sheetView>
  </sheetViews>
  <sheetFormatPr baseColWidth="10" defaultRowHeight="15" x14ac:dyDescent="0.25"/>
  <cols>
    <col min="1" max="1" width="45.140625" customWidth="1"/>
    <col min="2" max="2" width="16.42578125" customWidth="1"/>
    <col min="3" max="3" width="10.7109375" customWidth="1"/>
    <col min="4" max="4" width="4.5703125" customWidth="1"/>
    <col min="5" max="5" width="39.7109375" customWidth="1"/>
    <col min="6" max="6" width="21.5703125" customWidth="1"/>
    <col min="7" max="7" width="16.140625" customWidth="1"/>
    <col min="8" max="8" width="18.28515625" customWidth="1"/>
    <col min="9" max="9" width="16.28515625" customWidth="1"/>
    <col min="10" max="10" width="39.42578125" customWidth="1"/>
    <col min="11" max="11" width="16.85546875" customWidth="1"/>
    <col min="12" max="12" width="0.42578125" customWidth="1"/>
    <col min="13" max="13" width="15.28515625" customWidth="1"/>
    <col min="14" max="14" width="3.28515625" customWidth="1"/>
    <col min="17" max="17" width="3.85546875" customWidth="1"/>
  </cols>
  <sheetData>
    <row r="1" spans="1:13" x14ac:dyDescent="0.25">
      <c r="A1" s="81" t="s">
        <v>101</v>
      </c>
      <c r="B1" s="64"/>
      <c r="C1" s="65"/>
      <c r="E1" s="82" t="s">
        <v>102</v>
      </c>
      <c r="F1" s="64"/>
      <c r="G1" s="129" t="s">
        <v>110</v>
      </c>
      <c r="H1" s="130" t="s">
        <v>109</v>
      </c>
      <c r="I1" s="64"/>
      <c r="J1" s="64"/>
      <c r="K1" s="65"/>
    </row>
    <row r="2" spans="1:13" ht="30" x14ac:dyDescent="0.25">
      <c r="A2" s="66" t="s">
        <v>19</v>
      </c>
      <c r="B2" s="55" t="s">
        <v>10</v>
      </c>
      <c r="C2" s="67" t="s">
        <v>57</v>
      </c>
      <c r="E2" s="66" t="s">
        <v>19</v>
      </c>
      <c r="F2" s="55" t="s">
        <v>103</v>
      </c>
      <c r="G2" s="55" t="s">
        <v>104</v>
      </c>
      <c r="H2" s="55" t="s">
        <v>111</v>
      </c>
      <c r="I2" s="55" t="s">
        <v>67</v>
      </c>
      <c r="J2" s="56" t="s">
        <v>68</v>
      </c>
      <c r="K2" s="84" t="s">
        <v>69</v>
      </c>
    </row>
    <row r="3" spans="1:13" x14ac:dyDescent="0.25">
      <c r="A3" s="68" t="s">
        <v>9</v>
      </c>
      <c r="B3" s="49">
        <v>64980</v>
      </c>
      <c r="C3" s="69">
        <f t="shared" ref="C3:C13" si="0">B3/$B$16</f>
        <v>0.3671186440677966</v>
      </c>
      <c r="E3" s="68" t="s">
        <v>9</v>
      </c>
      <c r="F3" s="49">
        <f>B3</f>
        <v>64980</v>
      </c>
      <c r="G3" s="49">
        <f t="shared" ref="G3:G15" si="1">H3/$B$23</f>
        <v>0</v>
      </c>
      <c r="H3" s="109"/>
      <c r="I3" s="49">
        <f>F3+G3</f>
        <v>64980</v>
      </c>
      <c r="J3" s="85">
        <f t="shared" ref="J3:J15" si="2">I3/$I$16</f>
        <v>0.36071944043521703</v>
      </c>
      <c r="K3" s="86">
        <f t="shared" ref="K3:K15" si="3">$B$27*J3</f>
        <v>33005828.799822357</v>
      </c>
    </row>
    <row r="4" spans="1:13" x14ac:dyDescent="0.25">
      <c r="A4" s="68" t="s">
        <v>39</v>
      </c>
      <c r="B4" s="49">
        <v>33200</v>
      </c>
      <c r="C4" s="69">
        <f t="shared" si="0"/>
        <v>0.18757062146892656</v>
      </c>
      <c r="E4" s="68" t="s">
        <v>39</v>
      </c>
      <c r="F4" s="49">
        <f t="shared" ref="F4:F15" si="4">B4</f>
        <v>33200</v>
      </c>
      <c r="G4" s="49">
        <f t="shared" si="1"/>
        <v>560</v>
      </c>
      <c r="H4" s="126">
        <v>280000</v>
      </c>
      <c r="I4" s="49">
        <f t="shared" ref="I4:I15" si="5">F4+G4</f>
        <v>33760</v>
      </c>
      <c r="J4" s="85">
        <f t="shared" si="2"/>
        <v>0.18740979238370156</v>
      </c>
      <c r="K4" s="86">
        <f t="shared" si="3"/>
        <v>17147996.003108691</v>
      </c>
      <c r="M4">
        <v>8</v>
      </c>
    </row>
    <row r="5" spans="1:13" x14ac:dyDescent="0.25">
      <c r="A5" s="68" t="s">
        <v>40</v>
      </c>
      <c r="B5" s="49">
        <v>29724</v>
      </c>
      <c r="C5" s="69">
        <f t="shared" si="0"/>
        <v>0.1679322033898305</v>
      </c>
      <c r="E5" s="68" t="s">
        <v>40</v>
      </c>
      <c r="F5" s="49">
        <f t="shared" si="4"/>
        <v>29724</v>
      </c>
      <c r="G5" s="49">
        <f t="shared" si="1"/>
        <v>0</v>
      </c>
      <c r="H5" s="125">
        <v>0</v>
      </c>
      <c r="I5" s="49">
        <f t="shared" si="5"/>
        <v>29724</v>
      </c>
      <c r="J5" s="85">
        <f t="shared" si="2"/>
        <v>0.16500499611413344</v>
      </c>
      <c r="K5" s="86">
        <f t="shared" si="3"/>
        <v>15097957.14444321</v>
      </c>
    </row>
    <row r="6" spans="1:13" x14ac:dyDescent="0.25">
      <c r="A6" s="68" t="s">
        <v>1</v>
      </c>
      <c r="B6" s="49">
        <v>29740</v>
      </c>
      <c r="C6" s="69">
        <f t="shared" si="0"/>
        <v>0.16802259887005649</v>
      </c>
      <c r="E6" s="68" t="s">
        <v>1</v>
      </c>
      <c r="F6" s="49">
        <f t="shared" si="4"/>
        <v>29740</v>
      </c>
      <c r="G6" s="49">
        <f t="shared" si="1"/>
        <v>1300</v>
      </c>
      <c r="H6" s="126">
        <v>650000</v>
      </c>
      <c r="I6" s="49">
        <f t="shared" si="5"/>
        <v>31040</v>
      </c>
      <c r="J6" s="85">
        <f t="shared" si="2"/>
        <v>0.17231042522482515</v>
      </c>
      <c r="K6" s="86">
        <f t="shared" si="3"/>
        <v>15766403.908071501</v>
      </c>
    </row>
    <row r="7" spans="1:13" ht="14.65" customHeight="1" x14ac:dyDescent="0.25">
      <c r="A7" s="68" t="s">
        <v>90</v>
      </c>
      <c r="B7" s="49">
        <v>12000</v>
      </c>
      <c r="C7" s="69">
        <f t="shared" si="0"/>
        <v>6.7796610169491525E-2</v>
      </c>
      <c r="E7" s="68" t="s">
        <v>90</v>
      </c>
      <c r="F7" s="49">
        <f t="shared" si="4"/>
        <v>12000</v>
      </c>
      <c r="G7" s="49">
        <f t="shared" si="1"/>
        <v>0</v>
      </c>
      <c r="H7" s="125">
        <v>0</v>
      </c>
      <c r="I7" s="49">
        <f t="shared" si="5"/>
        <v>12000</v>
      </c>
      <c r="J7" s="85">
        <f t="shared" si="2"/>
        <v>6.6614855112690136E-2</v>
      </c>
      <c r="K7" s="86">
        <f t="shared" si="3"/>
        <v>6095259.2428111471</v>
      </c>
      <c r="M7">
        <v>2</v>
      </c>
    </row>
    <row r="8" spans="1:13" x14ac:dyDescent="0.25">
      <c r="A8" s="68" t="s">
        <v>3</v>
      </c>
      <c r="B8" s="49">
        <v>3761</v>
      </c>
      <c r="C8" s="69">
        <f t="shared" si="0"/>
        <v>2.124858757062147E-2</v>
      </c>
      <c r="E8" s="68" t="s">
        <v>3</v>
      </c>
      <c r="F8" s="49">
        <f t="shared" si="4"/>
        <v>3761</v>
      </c>
      <c r="G8" s="49">
        <f t="shared" si="1"/>
        <v>200</v>
      </c>
      <c r="H8" s="126">
        <v>100000</v>
      </c>
      <c r="I8" s="49">
        <f t="shared" si="5"/>
        <v>3961</v>
      </c>
      <c r="J8" s="85">
        <f t="shared" si="2"/>
        <v>2.19884534251138E-2</v>
      </c>
      <c r="K8" s="86">
        <f t="shared" si="3"/>
        <v>2011943.4883979126</v>
      </c>
      <c r="M8">
        <v>0.5</v>
      </c>
    </row>
    <row r="9" spans="1:13" x14ac:dyDescent="0.25">
      <c r="A9" s="31" t="s">
        <v>2</v>
      </c>
      <c r="B9" s="49">
        <v>2595</v>
      </c>
      <c r="C9" s="69">
        <f t="shared" si="0"/>
        <v>1.4661016949152542E-2</v>
      </c>
      <c r="E9" s="68" t="s">
        <v>2</v>
      </c>
      <c r="F9" s="49">
        <f t="shared" si="4"/>
        <v>2595</v>
      </c>
      <c r="G9" s="49">
        <f t="shared" si="1"/>
        <v>100</v>
      </c>
      <c r="H9" s="126">
        <v>50000</v>
      </c>
      <c r="I9" s="49">
        <f t="shared" si="5"/>
        <v>2695</v>
      </c>
      <c r="J9" s="85">
        <f t="shared" si="2"/>
        <v>1.4960586210724991E-2</v>
      </c>
      <c r="K9" s="86">
        <f t="shared" si="3"/>
        <v>1368893.6382813368</v>
      </c>
    </row>
    <row r="10" spans="1:13" x14ac:dyDescent="0.25">
      <c r="A10" s="68" t="s">
        <v>75</v>
      </c>
      <c r="B10" s="49">
        <v>400</v>
      </c>
      <c r="C10" s="69">
        <f t="shared" si="0"/>
        <v>2.2598870056497176E-3</v>
      </c>
      <c r="E10" s="68" t="s">
        <v>105</v>
      </c>
      <c r="F10" s="49">
        <f t="shared" si="4"/>
        <v>400</v>
      </c>
      <c r="G10" s="49">
        <f t="shared" si="1"/>
        <v>120</v>
      </c>
      <c r="H10" s="127">
        <v>60000</v>
      </c>
      <c r="I10" s="49">
        <f t="shared" si="5"/>
        <v>520</v>
      </c>
      <c r="J10" s="85">
        <f t="shared" si="2"/>
        <v>2.8866437215499057E-3</v>
      </c>
      <c r="K10" s="86">
        <f t="shared" si="3"/>
        <v>264127.90052181639</v>
      </c>
    </row>
    <row r="11" spans="1:13" x14ac:dyDescent="0.25">
      <c r="A11" s="68" t="s">
        <v>89</v>
      </c>
      <c r="B11" s="49">
        <v>200</v>
      </c>
      <c r="C11" s="69">
        <f t="shared" si="0"/>
        <v>1.1299435028248588E-3</v>
      </c>
      <c r="E11" s="68" t="s">
        <v>106</v>
      </c>
      <c r="F11" s="49">
        <f t="shared" si="4"/>
        <v>200</v>
      </c>
      <c r="G11" s="49">
        <f t="shared" si="1"/>
        <v>120</v>
      </c>
      <c r="H11" s="127">
        <v>60000</v>
      </c>
      <c r="I11" s="49">
        <f t="shared" si="5"/>
        <v>320</v>
      </c>
      <c r="J11" s="85">
        <f t="shared" si="2"/>
        <v>1.7763961363384034E-3</v>
      </c>
      <c r="K11" s="86">
        <f t="shared" si="3"/>
        <v>162540.2464749639</v>
      </c>
    </row>
    <row r="12" spans="1:13" x14ac:dyDescent="0.25">
      <c r="A12" s="68" t="s">
        <v>76</v>
      </c>
      <c r="B12" s="49">
        <v>200</v>
      </c>
      <c r="C12" s="69">
        <f t="shared" si="0"/>
        <v>1.1299435028248588E-3</v>
      </c>
      <c r="E12" s="68" t="s">
        <v>107</v>
      </c>
      <c r="F12" s="49">
        <f t="shared" si="4"/>
        <v>200</v>
      </c>
      <c r="G12" s="49">
        <f t="shared" si="1"/>
        <v>120</v>
      </c>
      <c r="H12" s="127">
        <v>60000</v>
      </c>
      <c r="I12" s="49">
        <f t="shared" si="5"/>
        <v>320</v>
      </c>
      <c r="J12" s="85">
        <f t="shared" si="2"/>
        <v>1.7763961363384034E-3</v>
      </c>
      <c r="K12" s="86">
        <f t="shared" si="3"/>
        <v>162540.2464749639</v>
      </c>
    </row>
    <row r="13" spans="1:13" x14ac:dyDescent="0.25">
      <c r="A13" s="31" t="s">
        <v>77</v>
      </c>
      <c r="B13" s="49">
        <v>200</v>
      </c>
      <c r="C13" s="123">
        <f t="shared" si="0"/>
        <v>1.1299435028248588E-3</v>
      </c>
      <c r="E13" s="68" t="s">
        <v>108</v>
      </c>
      <c r="F13" s="49">
        <f t="shared" ref="F13:F14" si="6">B13</f>
        <v>200</v>
      </c>
      <c r="G13" s="49">
        <f t="shared" si="1"/>
        <v>120</v>
      </c>
      <c r="H13" s="127">
        <v>60000</v>
      </c>
      <c r="I13" s="49">
        <f t="shared" ref="I13:I14" si="7">F13+G13</f>
        <v>320</v>
      </c>
      <c r="J13" s="85">
        <f t="shared" si="2"/>
        <v>1.7763961363384034E-3</v>
      </c>
      <c r="K13" s="86">
        <f t="shared" si="3"/>
        <v>162540.2464749639</v>
      </c>
    </row>
    <row r="14" spans="1:13" x14ac:dyDescent="0.25">
      <c r="B14" s="49"/>
      <c r="C14" s="49"/>
      <c r="E14" s="131" t="s">
        <v>113</v>
      </c>
      <c r="F14" s="54">
        <f t="shared" si="6"/>
        <v>0</v>
      </c>
      <c r="G14" s="54">
        <f t="shared" si="1"/>
        <v>500</v>
      </c>
      <c r="H14" s="128">
        <v>250000</v>
      </c>
      <c r="I14" s="54">
        <f t="shared" si="7"/>
        <v>500</v>
      </c>
      <c r="J14" s="87">
        <f t="shared" si="2"/>
        <v>2.7756189630287554E-3</v>
      </c>
      <c r="K14" s="122">
        <f t="shared" si="3"/>
        <v>253969.13511713111</v>
      </c>
    </row>
    <row r="15" spans="1:13" x14ac:dyDescent="0.25">
      <c r="A15" s="70"/>
      <c r="B15" s="54"/>
      <c r="C15" s="71"/>
      <c r="E15" s="133" t="s">
        <v>112</v>
      </c>
      <c r="F15" s="54">
        <f t="shared" si="4"/>
        <v>0</v>
      </c>
      <c r="G15" s="54">
        <f t="shared" si="1"/>
        <v>0</v>
      </c>
      <c r="H15" s="132">
        <v>0</v>
      </c>
      <c r="I15" s="54">
        <f t="shared" si="5"/>
        <v>0</v>
      </c>
      <c r="J15" s="87">
        <f t="shared" si="2"/>
        <v>0</v>
      </c>
      <c r="K15" s="122">
        <f t="shared" si="3"/>
        <v>0</v>
      </c>
    </row>
    <row r="16" spans="1:13" x14ac:dyDescent="0.25">
      <c r="A16" s="72" t="s">
        <v>18</v>
      </c>
      <c r="B16" s="57">
        <f>SUM(B3:B15)</f>
        <v>177000</v>
      </c>
      <c r="C16" s="88">
        <f>SUM(C3:C15)</f>
        <v>0.99999999999999978</v>
      </c>
      <c r="E16" s="72" t="s">
        <v>18</v>
      </c>
      <c r="F16" s="57">
        <f t="shared" ref="F16:K16" si="8">SUM(F3:F15)</f>
        <v>177000</v>
      </c>
      <c r="G16" s="57">
        <f t="shared" si="8"/>
        <v>3140</v>
      </c>
      <c r="H16" s="89">
        <f t="shared" si="8"/>
        <v>1570000</v>
      </c>
      <c r="I16" s="57">
        <f t="shared" si="8"/>
        <v>180140</v>
      </c>
      <c r="J16" s="90">
        <f t="shared" si="8"/>
        <v>0.99999999999999989</v>
      </c>
      <c r="K16" s="91">
        <f t="shared" si="8"/>
        <v>91499999.999999985</v>
      </c>
    </row>
    <row r="17" spans="1:13" ht="15.75" thickBot="1" x14ac:dyDescent="0.3">
      <c r="A17" s="73"/>
      <c r="B17" s="74"/>
      <c r="C17" s="75"/>
      <c r="E17" s="73"/>
      <c r="F17" s="74"/>
      <c r="G17" s="74"/>
      <c r="H17" s="74"/>
      <c r="I17" s="74"/>
      <c r="J17" s="74"/>
      <c r="K17" s="75"/>
    </row>
    <row r="18" spans="1:13" ht="15.75" thickBot="1" x14ac:dyDescent="0.3">
      <c r="A18" s="68"/>
      <c r="F18" s="49">
        <f>B22</f>
        <v>88500000</v>
      </c>
      <c r="G18" s="49">
        <v>130000000</v>
      </c>
      <c r="K18" s="124">
        <v>130000000</v>
      </c>
    </row>
    <row r="19" spans="1:13" ht="16.5" thickBot="1" x14ac:dyDescent="0.3">
      <c r="A19" s="92" t="s">
        <v>70</v>
      </c>
      <c r="B19" s="93"/>
      <c r="E19" s="137" t="s">
        <v>115</v>
      </c>
      <c r="F19" s="138">
        <f>J4+J7+J8+J9+J10+J11+J12+J13+J14</f>
        <v>0.30196513822582433</v>
      </c>
      <c r="K19" s="144">
        <v>0.20557</v>
      </c>
    </row>
    <row r="20" spans="1:13" x14ac:dyDescent="0.25">
      <c r="A20" s="83" t="s">
        <v>66</v>
      </c>
      <c r="B20" s="99"/>
      <c r="K20" s="134">
        <f>K18*K19</f>
        <v>26724100</v>
      </c>
    </row>
    <row r="21" spans="1:13" ht="18" customHeight="1" x14ac:dyDescent="0.25">
      <c r="A21" s="94" t="s">
        <v>71</v>
      </c>
      <c r="B21" s="95">
        <f>B16</f>
        <v>177000</v>
      </c>
      <c r="E21" t="s">
        <v>114</v>
      </c>
      <c r="F21" s="135">
        <v>35000000</v>
      </c>
    </row>
    <row r="22" spans="1:13" x14ac:dyDescent="0.25">
      <c r="A22" s="96" t="s">
        <v>60</v>
      </c>
      <c r="B22" s="97">
        <v>88500000</v>
      </c>
      <c r="C22" s="98"/>
      <c r="F22" s="135"/>
    </row>
    <row r="23" spans="1:13" ht="15.75" thickBot="1" x14ac:dyDescent="0.3">
      <c r="A23" s="94" t="s">
        <v>61</v>
      </c>
      <c r="B23" s="110">
        <f>B22/B21</f>
        <v>500</v>
      </c>
      <c r="E23" s="139" t="s">
        <v>116</v>
      </c>
      <c r="F23" s="140">
        <f>F21*F19</f>
        <v>10568779.837903852</v>
      </c>
      <c r="M23" s="124"/>
    </row>
    <row r="24" spans="1:13" ht="15.75" thickTop="1" x14ac:dyDescent="0.25">
      <c r="A24" s="94"/>
      <c r="B24" s="99"/>
      <c r="F24" s="135"/>
      <c r="G24" s="134"/>
      <c r="I24" s="38"/>
      <c r="M24" s="124"/>
    </row>
    <row r="25" spans="1:13" x14ac:dyDescent="0.25">
      <c r="A25" s="94" t="s">
        <v>63</v>
      </c>
      <c r="B25" s="97">
        <v>3000000</v>
      </c>
      <c r="C25" s="100"/>
      <c r="F25" s="135"/>
      <c r="J25" s="49">
        <f t="shared" ref="J25:K25" si="9">SUM(B25:I25)</f>
        <v>3000000</v>
      </c>
      <c r="K25" s="49">
        <f t="shared" si="9"/>
        <v>3000000</v>
      </c>
      <c r="M25" s="124"/>
    </row>
    <row r="26" spans="1:13" x14ac:dyDescent="0.25">
      <c r="A26" s="94" t="s">
        <v>64</v>
      </c>
      <c r="B26" s="101">
        <f>B25/B23</f>
        <v>6000</v>
      </c>
      <c r="E26" t="s">
        <v>117</v>
      </c>
      <c r="F26" s="135">
        <f>B22</f>
        <v>88500000</v>
      </c>
      <c r="G26" s="124"/>
      <c r="K26" s="38">
        <f>K18*F19</f>
        <v>39255467.969357163</v>
      </c>
      <c r="M26" s="124"/>
    </row>
    <row r="27" spans="1:13" x14ac:dyDescent="0.25">
      <c r="A27" s="94" t="s">
        <v>62</v>
      </c>
      <c r="B27" s="95">
        <f>B25+B22</f>
        <v>91500000</v>
      </c>
      <c r="F27" s="135"/>
    </row>
    <row r="28" spans="1:13" ht="15.75" thickBot="1" x14ac:dyDescent="0.3">
      <c r="A28" s="94" t="s">
        <v>72</v>
      </c>
      <c r="B28" s="101">
        <f>B21+B26</f>
        <v>183000</v>
      </c>
      <c r="E28" s="139" t="s">
        <v>118</v>
      </c>
      <c r="F28" s="140">
        <f>F26*F19</f>
        <v>26723914.732985452</v>
      </c>
      <c r="G28" s="38">
        <v>39260000</v>
      </c>
      <c r="K28" s="135">
        <f>F28</f>
        <v>26723914.732985452</v>
      </c>
    </row>
    <row r="29" spans="1:13" ht="16.5" thickTop="1" thickBot="1" x14ac:dyDescent="0.3">
      <c r="A29" s="102" t="s">
        <v>65</v>
      </c>
      <c r="B29" s="103">
        <f>B26/B28</f>
        <v>3.2786885245901641E-2</v>
      </c>
      <c r="F29" s="136"/>
      <c r="G29" s="124"/>
    </row>
    <row r="30" spans="1:13" x14ac:dyDescent="0.25">
      <c r="F30" s="136"/>
      <c r="G30" s="124">
        <f>SUM(G27-F27)</f>
        <v>0</v>
      </c>
      <c r="J30" t="s">
        <v>122</v>
      </c>
      <c r="K30" s="38">
        <f>K26-K28</f>
        <v>12531553.236371711</v>
      </c>
    </row>
    <row r="31" spans="1:13" ht="15.75" thickBot="1" x14ac:dyDescent="0.3">
      <c r="E31" s="141" t="s">
        <v>119</v>
      </c>
      <c r="F31" s="142">
        <f>F28-F23</f>
        <v>16155134.8950816</v>
      </c>
      <c r="G31" s="124"/>
    </row>
    <row r="32" spans="1:13" ht="15.75" thickTop="1" x14ac:dyDescent="0.25">
      <c r="F32" s="135"/>
    </row>
    <row r="33" spans="5:8" x14ac:dyDescent="0.25">
      <c r="F33" s="135"/>
    </row>
    <row r="34" spans="5:8" x14ac:dyDescent="0.25">
      <c r="E34" t="s">
        <v>120</v>
      </c>
      <c r="F34" s="135">
        <f>F31-10000000</f>
        <v>6155134.8950816002</v>
      </c>
      <c r="H34" s="135"/>
    </row>
    <row r="35" spans="5:8" x14ac:dyDescent="0.25">
      <c r="F35" s="135"/>
    </row>
    <row r="36" spans="5:8" ht="15.75" thickBot="1" x14ac:dyDescent="0.3">
      <c r="E36" s="141" t="s">
        <v>121</v>
      </c>
      <c r="F36" s="143">
        <f>F31-F34</f>
        <v>10000000</v>
      </c>
    </row>
    <row r="37" spans="5:8" ht="15.75" thickTop="1" x14ac:dyDescent="0.25"/>
  </sheetData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Shareholder Book</vt:lpstr>
      <vt:lpstr>Share capital history</vt:lpstr>
      <vt:lpstr>Sits and capitalraise 5 simul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John;Kvanli</dc:creator>
  <cp:lastModifiedBy>Tore Ausland</cp:lastModifiedBy>
  <cp:lastPrinted>2023-06-23T10:28:53Z</cp:lastPrinted>
  <dcterms:created xsi:type="dcterms:W3CDTF">2019-11-05T06:58:20Z</dcterms:created>
  <dcterms:modified xsi:type="dcterms:W3CDTF">2023-09-22T17:40:10Z</dcterms:modified>
</cp:coreProperties>
</file>