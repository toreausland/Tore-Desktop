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nuas-my.sharepoint.com/personal/ta_vikenklynge_no/Documents/Skrivebord/Tore Div/Reiseregning/"/>
    </mc:Choice>
  </mc:AlternateContent>
  <xr:revisionPtr revIDLastSave="22" documentId="8_{DB9986E2-BE15-47EC-B462-1B8EF2C0EB43}" xr6:coauthVersionLast="47" xr6:coauthVersionMax="47" xr10:uidLastSave="{ECC76553-85B1-4160-AEDB-E6A8E5E725E6}"/>
  <bookViews>
    <workbookView xWindow="-120" yWindow="-120" windowWidth="29040" windowHeight="15840" xr2:uid="{00000000-000D-0000-FFFF-FFFF00000000}"/>
  </bookViews>
  <sheets>
    <sheet name="Fra 01.01.2022" sheetId="16" r:id="rId1"/>
    <sheet name="Fra 01.01.2017" sheetId="15" r:id="rId2"/>
    <sheet name="Fra 01.01.2016" sheetId="14" r:id="rId3"/>
    <sheet name="Fra 01.01.2015" sheetId="13" r:id="rId4"/>
    <sheet name="Fra 01.01.2014" sheetId="12" r:id="rId5"/>
    <sheet name="Fra 01.01.2013" sheetId="11" r:id="rId6"/>
  </sheets>
  <definedNames>
    <definedName name="_xlnm.Print_Area" localSheetId="5">'Fra 01.01.2013'!$A$1:$T$82</definedName>
    <definedName name="_xlnm.Print_Area" localSheetId="4">'Fra 01.01.2014'!$A$1:$T$82</definedName>
    <definedName name="_xlnm.Print_Area" localSheetId="3">'Fra 01.01.2015'!$A$1:$T$78</definedName>
    <definedName name="_xlnm.Print_Area" localSheetId="2">'Fra 01.01.2016'!$A$1:$T$78</definedName>
    <definedName name="_xlnm.Print_Area" localSheetId="1">'Fra 01.01.2017'!$A$1:$T$78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46" i="16" l="1"/>
  <c r="M24" i="16"/>
  <c r="M33" i="16"/>
  <c r="M34" i="16"/>
  <c r="M35" i="16"/>
  <c r="M36" i="16"/>
  <c r="M37" i="16"/>
  <c r="M38" i="16"/>
  <c r="M32" i="16"/>
  <c r="M31" i="16"/>
  <c r="M30" i="16"/>
  <c r="M29" i="16"/>
  <c r="M26" i="16"/>
  <c r="M25" i="16"/>
  <c r="M23" i="16"/>
  <c r="M22" i="16"/>
  <c r="M21" i="16"/>
  <c r="M20" i="16"/>
  <c r="M45" i="16" l="1"/>
  <c r="S58" i="15"/>
  <c r="S52" i="15"/>
  <c r="S51" i="15"/>
  <c r="S50" i="15"/>
  <c r="S49" i="15"/>
  <c r="S35" i="15"/>
  <c r="S34" i="15"/>
  <c r="S30" i="15"/>
  <c r="S29" i="15"/>
  <c r="S28" i="15"/>
  <c r="S27" i="15"/>
  <c r="S23" i="15"/>
  <c r="O23" i="15"/>
  <c r="S67" i="15" l="1"/>
  <c r="S71" i="15" s="1"/>
  <c r="S58" i="14"/>
  <c r="S52" i="14"/>
  <c r="S51" i="14"/>
  <c r="S50" i="14"/>
  <c r="S49" i="14"/>
  <c r="S35" i="14"/>
  <c r="S34" i="14"/>
  <c r="S30" i="14"/>
  <c r="S29" i="14"/>
  <c r="S28" i="14"/>
  <c r="S27" i="14"/>
  <c r="S23" i="14"/>
  <c r="O23" i="14"/>
  <c r="S34" i="13"/>
  <c r="S35" i="13"/>
  <c r="S58" i="13"/>
  <c r="S52" i="13"/>
  <c r="S51" i="13"/>
  <c r="S50" i="13"/>
  <c r="S49" i="13"/>
  <c r="S30" i="13"/>
  <c r="S29" i="13"/>
  <c r="S28" i="13"/>
  <c r="S27" i="13"/>
  <c r="S23" i="13"/>
  <c r="O23" i="13"/>
  <c r="S62" i="12"/>
  <c r="S59" i="12"/>
  <c r="S53" i="12"/>
  <c r="S52" i="12"/>
  <c r="S51" i="12"/>
  <c r="S50" i="12"/>
  <c r="S36" i="12"/>
  <c r="S35" i="12"/>
  <c r="S34" i="12"/>
  <c r="S30" i="12"/>
  <c r="S29" i="12"/>
  <c r="S28" i="12"/>
  <c r="S27" i="12"/>
  <c r="S71" i="12" s="1"/>
  <c r="S75" i="12" s="1"/>
  <c r="S23" i="12"/>
  <c r="O23" i="12"/>
  <c r="S62" i="11"/>
  <c r="S59" i="11"/>
  <c r="S53" i="11"/>
  <c r="S52" i="11"/>
  <c r="S51" i="11"/>
  <c r="S50" i="11"/>
  <c r="S36" i="11"/>
  <c r="S35" i="11"/>
  <c r="S34" i="11"/>
  <c r="S30" i="11"/>
  <c r="S29" i="11"/>
  <c r="S28" i="11"/>
  <c r="S27" i="11"/>
  <c r="S23" i="11"/>
  <c r="O23" i="11"/>
  <c r="S67" i="13" l="1"/>
  <c r="S71" i="13" s="1"/>
  <c r="S71" i="11"/>
  <c r="S75" i="11" s="1"/>
  <c r="S67" i="14"/>
  <c r="S71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SignForm</author>
    <author>toni</author>
  </authors>
  <commentList>
    <comment ref="R2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Statens satser for 2017:
Statens sats for bil 0-10000 km er kr 4,10 pr km,
Statens sats for bil over 10000 km er kr 3,45 pr km,
Statens sats for Tromsø 0-10000 km er kr 4,20 pr km,
Statens sats for Tromsø over 10000 km er kr 3,55 pr km,
Statens sats for El-bil er kr 4,20 pr km.
Skattefri sats uansett kjørelengde er kr 3,50 pr km</t>
        </r>
      </text>
    </comment>
    <comment ref="R30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Tillegg for kjøring på skogs- og anleggsveier: kr 1,00 pr. km.
Tillegg for frakt av utstyr og materiell: kr 1,00 pr. km.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SignForm</author>
    <author>toni</author>
  </authors>
  <commentList>
    <comment ref="R2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Statens satser for 2016:
Statens sats for bil 0-10000 km er kr 4,10 pr km,
Statens sats for bil over 10000 km er kr 3,45 pr km,
Statens sats for Tromsø 0-10000 km er kr 4,20 pr km,
Statens sats for Tromsø over 10000 km er kr 3,55 pr km,
Statens sats for El-bil er kr 4,20 pr km.
Skattefri sats 0-10000 km er kr 3,80 pr km,
Skattefri sats over 10000 km er kr 3,45 pr km.</t>
        </r>
      </text>
    </comment>
    <comment ref="R30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Tillegg for kjøring på skogs- og anleggsveier: kr 1,00 pr. km.
Tillegg for frakt av utstyr og materiell: kr 1,00 pr. km.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SignForm</author>
    <author>anne</author>
    <author>toni</author>
  </authors>
  <commentList>
    <comment ref="R2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Sats for El-bil er kr 4,20 pr km</t>
        </r>
      </text>
    </comment>
    <comment ref="R27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Kr 4,20 pr. km. for arbeidstakere med arbeidssted i Tromsø.</t>
        </r>
      </text>
    </comment>
    <comment ref="R28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Kr 3,55 pr. km. for arbeidstakere med arbeidssted i Tromsø.</t>
        </r>
      </text>
    </comment>
    <comment ref="R30" authorId="2" shapeId="0" xr:uid="{00000000-0006-0000-0200-000004000000}">
      <text>
        <r>
          <rPr>
            <b/>
            <sz val="9"/>
            <color indexed="81"/>
            <rFont val="Tahoma"/>
            <family val="2"/>
          </rPr>
          <t>Tillegg for kjøring på skogs- og anleggsveier: kr 1,00 pr. km.
Tillegg for frakt av utstyr og materiell: kr 1,00 pr. km.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SignForm</author>
    <author>anne</author>
    <author>toni</author>
  </authors>
  <commentList>
    <comment ref="R26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Sats for El-bil er kr 4,20 pr km</t>
        </r>
      </text>
    </comment>
    <comment ref="R27" authorId="1" shapeId="0" xr:uid="{00000000-0006-0000-0300-000002000000}">
      <text>
        <r>
          <rPr>
            <b/>
            <sz val="9"/>
            <color indexed="81"/>
            <rFont val="Tahoma"/>
            <family val="2"/>
          </rPr>
          <t>Kr 4,15 pr. km. for arbeidstakere med arbeidssted i Tromsø.</t>
        </r>
      </text>
    </comment>
    <comment ref="R28" authorId="1" shapeId="0" xr:uid="{00000000-0006-0000-0300-000003000000}">
      <text>
        <r>
          <rPr>
            <b/>
            <sz val="9"/>
            <color indexed="81"/>
            <rFont val="Tahoma"/>
            <family val="2"/>
          </rPr>
          <t>Kr 3,55 pr. km. for arbeidstakere med arbeidssted i Tromsø.</t>
        </r>
      </text>
    </comment>
    <comment ref="R30" authorId="2" shapeId="0" xr:uid="{00000000-0006-0000-0300-000004000000}">
      <text>
        <r>
          <rPr>
            <b/>
            <sz val="9"/>
            <color indexed="81"/>
            <rFont val="Tahoma"/>
            <family val="2"/>
          </rPr>
          <t>Tillegg for kjøring på skogs- og anleggsveier: kr 1,00 pr. km.
Tillegg for frakt av utstyr og materiell: kr 1,00 pr. km.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anne</author>
    <author>toni</author>
  </authors>
  <commentList>
    <comment ref="R27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Kr. 4,15 pr. km. for arbeidstakere med arbeidssted i Tromsø.</t>
        </r>
      </text>
    </comment>
    <comment ref="R28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Kr. 3,50 pr. km. for arbeidstakere med arbeidssted i Tromsø.</t>
        </r>
      </text>
    </comment>
    <comment ref="R30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>Tillegg for kjøring på skogs- og anleggsveier: kr. 1,00 pr. km.
Tillegg for frakt av utstyr og materiell: kr. 0,85 pr. km. (Tilhengertillegg)</t>
        </r>
      </text>
    </comment>
  </commentList>
</comments>
</file>

<file path=xl/sharedStrings.xml><?xml version="1.0" encoding="utf-8"?>
<sst xmlns="http://schemas.openxmlformats.org/spreadsheetml/2006/main" count="659" uniqueCount="174">
  <si>
    <t>Overnatting 1)</t>
  </si>
  <si>
    <t>Beløp NOK</t>
  </si>
  <si>
    <t>-</t>
  </si>
  <si>
    <t>Sum km</t>
  </si>
  <si>
    <t>Kontonr./</t>
  </si>
  <si>
    <t>Hotell</t>
  </si>
  <si>
    <t>Nattillegg</t>
  </si>
  <si>
    <t>Til</t>
  </si>
  <si>
    <t>Fra</t>
  </si>
  <si>
    <t>Måltidstrekk i NOK 3)</t>
  </si>
  <si>
    <t>Passasjertillegg</t>
  </si>
  <si>
    <t>Beløp</t>
  </si>
  <si>
    <t>Oppgi navn på passasjer(er):</t>
  </si>
  <si>
    <t>Diett over 12 timer</t>
  </si>
  <si>
    <t>(ikke krav ved overnatting privat eller hybel/brakke)</t>
  </si>
  <si>
    <t>Navn og adresse på overnattingssted</t>
  </si>
  <si>
    <t>Lunsj</t>
  </si>
  <si>
    <t>Til gode overføres til:</t>
  </si>
  <si>
    <t>Middag</t>
  </si>
  <si>
    <t>Kontant</t>
  </si>
  <si>
    <t xml:space="preserve"> - Dekket av arbeidsgiver</t>
  </si>
  <si>
    <t>(NOK)</t>
  </si>
  <si>
    <t>nr.</t>
  </si>
  <si>
    <t xml:space="preserve">1) Pensjonat gjelder også motell, hybel, brakke, leilighet mv uten kokemuligheter. Privat gjelder også hybel, brakke eller leilighet med kokemuligheter.                                         </t>
  </si>
  <si>
    <t>Pensjonat</t>
  </si>
  <si>
    <t>Vedlegg</t>
  </si>
  <si>
    <t>Andre utgifter på reisen</t>
  </si>
  <si>
    <t>Samtykke til trekk i lønn</t>
  </si>
  <si>
    <t>2) Avtalt diettsats (statens satser / tariffavtale)</t>
  </si>
  <si>
    <t>Frokost</t>
  </si>
  <si>
    <t>Diett med overnatting</t>
  </si>
  <si>
    <t>Diett 5-9 timer</t>
  </si>
  <si>
    <t>Dato</t>
  </si>
  <si>
    <t>Differanse</t>
  </si>
  <si>
    <t xml:space="preserve">Vedlegg </t>
  </si>
  <si>
    <t>Privat</t>
  </si>
  <si>
    <t>Måltidstrekk i NOK 1)</t>
  </si>
  <si>
    <t>Lønnsart</t>
  </si>
  <si>
    <t>Antall</t>
  </si>
  <si>
    <t>Diett uten overnatting (ulegitimert)</t>
  </si>
  <si>
    <t>Annet</t>
  </si>
  <si>
    <t>Sats</t>
  </si>
  <si>
    <t xml:space="preserve"> - Reiseforskudd</t>
  </si>
  <si>
    <t>Sats 2)</t>
  </si>
  <si>
    <t>Bilgodtgjørelse</t>
  </si>
  <si>
    <t>Skyldig</t>
  </si>
  <si>
    <t>Utgiftens art</t>
  </si>
  <si>
    <t>Diett 9-12 timer</t>
  </si>
  <si>
    <t>Firma</t>
  </si>
  <si>
    <t>Avreisedato</t>
  </si>
  <si>
    <t>Kl.</t>
  </si>
  <si>
    <t>Hjemkomstdato</t>
  </si>
  <si>
    <t>Navn</t>
  </si>
  <si>
    <t>Ansattnr.</t>
  </si>
  <si>
    <t>Avdeling</t>
  </si>
  <si>
    <t>Adresse</t>
  </si>
  <si>
    <t>Reiseregning - for reiser i Norge</t>
  </si>
  <si>
    <t>Postnr. og poststed</t>
  </si>
  <si>
    <t>Reisebeskrivelse og transportkostnader (før over sum km bil til neste rubrikk; Bilgodgjørelse)</t>
  </si>
  <si>
    <t xml:space="preserve">  Kl.</t>
  </si>
  <si>
    <t xml:space="preserve"> Kl.</t>
  </si>
  <si>
    <t>Type transportmiddel</t>
  </si>
  <si>
    <t>Vedlegg nr.</t>
  </si>
  <si>
    <t>Hvis bil: antall km</t>
  </si>
  <si>
    <t>Kontonr./ Lønnsart</t>
  </si>
  <si>
    <t>Sum NOK</t>
  </si>
  <si>
    <t>Sum km hittil i år</t>
  </si>
  <si>
    <t xml:space="preserve"> Fra sted</t>
  </si>
  <si>
    <t xml:space="preserve"> Til sted</t>
  </si>
  <si>
    <r>
      <t xml:space="preserve">Opplysninger om overnattingssted-/type </t>
    </r>
    <r>
      <rPr>
        <sz val="12"/>
        <color indexed="8"/>
        <rFont val="Arial"/>
        <family val="2"/>
      </rPr>
      <t>(beløp fylles bare ut når den ansatte har utlegg til overnatting og nattillegg ikke benyttes)</t>
    </r>
  </si>
  <si>
    <t>Administrativ forpleining (bruspenger) 1)</t>
  </si>
  <si>
    <t xml:space="preserve">Overnatting uten kvittering, gjøres opp etter faste satser </t>
  </si>
  <si>
    <t>Sum godtgjørelse / utlegg</t>
  </si>
  <si>
    <t>Bank - kontonummer:</t>
  </si>
  <si>
    <t>Underskrift arbeidstaker</t>
  </si>
  <si>
    <t>Attestasjon</t>
  </si>
  <si>
    <t>Bilgodtgjørelse 0-10000 km</t>
  </si>
  <si>
    <t>Bilgodtgjørelse over 10000 km</t>
  </si>
  <si>
    <t>Kontonr./
Lønnsart</t>
  </si>
  <si>
    <t xml:space="preserve">3) Måltidstrekk: Frokost 10% (hotell kr 67), Lunsj 40% (hotell kr 268), Middag 50% (hotell kr 335).  </t>
  </si>
  <si>
    <t xml:space="preserve">1) Måltidstrekk: Frokost kr 0, Lunsj kr 195, Middag kr 250.  </t>
  </si>
  <si>
    <t>Betalt beløp</t>
  </si>
  <si>
    <t>Reisens formål/arrangement</t>
  </si>
  <si>
    <t xml:space="preserve">1) Måltidstrekk: Frokost kr 0, Lunsj kr 200, Middag kr 250.  </t>
  </si>
  <si>
    <t xml:space="preserve">3) Måltidstrekk: Frokost 10% (hotell kr 69), Lunsj 40% (hotell kr 276), Middag 50% (hotell kr 345).  </t>
  </si>
  <si>
    <t>(ikke krav ved overnatting privat eller på hybel/brakke)</t>
  </si>
  <si>
    <r>
      <t xml:space="preserve">Diett 6-12 timer </t>
    </r>
    <r>
      <rPr>
        <sz val="10"/>
        <color indexed="8"/>
        <rFont val="Arial"/>
        <family val="2"/>
      </rPr>
      <t>(Måltidstrekk: Frokost: kr 56,-  Lunsj: kr 84,-  Middag: kr 140,-)</t>
    </r>
  </si>
  <si>
    <r>
      <t xml:space="preserve">Diett over 12 timer </t>
    </r>
    <r>
      <rPr>
        <sz val="10"/>
        <color indexed="8"/>
        <rFont val="Arial"/>
        <family val="2"/>
      </rPr>
      <t>(Måltidstrekk: Frokost: kr 104,-  Lunsj: kr 156,-  Middag: kr 260,-)</t>
    </r>
  </si>
  <si>
    <t>1) Måltidstrekk: Frokost 20%, Lunsj 30%, Middag 50%.</t>
  </si>
  <si>
    <t>Opplysninger om overnattingssted-/type</t>
  </si>
  <si>
    <t xml:space="preserve">2) Pensjonat gjelder også motell, hybel, brakke, leilighet mv uten kokemuligheter. Privat gjelder også hybel, brakke eller leilighet med kokemuligheter.                                         </t>
  </si>
  <si>
    <t>Måltidstrekk i NOK 4)</t>
  </si>
  <si>
    <t>Type overnatting 2)</t>
  </si>
  <si>
    <t>Sats 3)</t>
  </si>
  <si>
    <t>3) Avtalt diettsats (statens satser / tariffavtale)</t>
  </si>
  <si>
    <t xml:space="preserve">4) Måltidstrekk: Frokost 20% (hotell kr 142,-), Lunsj 30% (hotell kr 213,-), Middag 50% (hotell kr 355,-).  </t>
  </si>
  <si>
    <t xml:space="preserve">Overnatting uten kvittering som gjøres opp etter faste satser </t>
  </si>
  <si>
    <t>Bilgodtgjørelse 0-10000 km (Statens sats kr 4,10 pr km - skattefri sats kr 3,80 pr km - se merknad)</t>
  </si>
  <si>
    <t>Bilgodtgjørelse over 10000 km (Statens sats kr 3,45 pr km - skattefri sats kr 3,45 pr km - se merknad)</t>
  </si>
  <si>
    <t>Bilgodtgjørelse 0-10000 km (Statens sats kr 4,10 pr km - skattefri sats kr 3,50 pr km - se merknad)</t>
  </si>
  <si>
    <t>Bilgodtgjørelse over 10000 km (Statens sats kr 3,45 pr km - skattefri sats kr 3,50 pr km - se merknad)</t>
  </si>
  <si>
    <r>
      <t xml:space="preserve">Diett 6-12 timer </t>
    </r>
    <r>
      <rPr>
        <sz val="10"/>
        <color indexed="8"/>
        <rFont val="Arial"/>
        <family val="2"/>
      </rPr>
      <t>(Måltidstrekk: Frokost: kr 58,-  Lunsj: kr 87,-  Middag: kr 144,-)</t>
    </r>
  </si>
  <si>
    <r>
      <t xml:space="preserve">Diett over 12 timer </t>
    </r>
    <r>
      <rPr>
        <sz val="10"/>
        <color indexed="8"/>
        <rFont val="Arial"/>
        <family val="2"/>
      </rPr>
      <t>(Måltidstrekk: Frokost: kr 107,-  Lunsj: kr 161,-  Middag: kr 269,-)</t>
    </r>
  </si>
  <si>
    <t xml:space="preserve">4) Måltidstrekk: Frokost 20% (hotell kr 147,-), Lunsj 30% (hotell kr 220,-), Middag 50% (hotell kr 366,-).  </t>
  </si>
  <si>
    <t>Mosseregionens Næringsutvikling A.S.</t>
  </si>
  <si>
    <t>Eikelia 8</t>
  </si>
  <si>
    <t>1519 MOSS</t>
  </si>
  <si>
    <t>x</t>
  </si>
  <si>
    <t>5183 10 57177</t>
  </si>
  <si>
    <t>Reiseregning 2022</t>
  </si>
  <si>
    <t>Ansatt nr.</t>
  </si>
  <si>
    <t>Fødselsnummer</t>
  </si>
  <si>
    <t>Navn (Etternavn, fornavn)</t>
  </si>
  <si>
    <t>Prosjekt/koststed</t>
  </si>
  <si>
    <t>Postnr.</t>
  </si>
  <si>
    <t>Poststed</t>
  </si>
  <si>
    <t>Bankkonto</t>
  </si>
  <si>
    <t>E-postadresse:</t>
  </si>
  <si>
    <t>Avreise</t>
  </si>
  <si>
    <t>Ankomst</t>
  </si>
  <si>
    <t>Reiserute (gateadresse v/taxi og bilgodtgj)</t>
  </si>
  <si>
    <t>Skyss-middel</t>
  </si>
  <si>
    <t>Navn/adr. Overnattingssted</t>
  </si>
  <si>
    <t>Spesifikkasjon av regningen</t>
  </si>
  <si>
    <t>IKKE SKATTEPLIKTIG</t>
  </si>
  <si>
    <t>LTA</t>
  </si>
  <si>
    <t>Sats eller beløp</t>
  </si>
  <si>
    <t>Utregnet beløp</t>
  </si>
  <si>
    <t>Bruk av egen bil</t>
  </si>
  <si>
    <t>Km-godt. El bil</t>
  </si>
  <si>
    <t>fjern</t>
  </si>
  <si>
    <t>Km-godtgjørelse</t>
  </si>
  <si>
    <t>Pass.tillegg</t>
  </si>
  <si>
    <t>Kost godtgjørelse uten overnatting</t>
  </si>
  <si>
    <t>6-12 timer</t>
  </si>
  <si>
    <t>Over 12 timer</t>
  </si>
  <si>
    <t>Fratrekk måltid</t>
  </si>
  <si>
    <t>--</t>
  </si>
  <si>
    <t>Kost godtgjørelse med overnatting</t>
  </si>
  <si>
    <t>Nattillegg v/privat overnatting</t>
  </si>
  <si>
    <t>Nattilegg</t>
  </si>
  <si>
    <t>Reise utland</t>
  </si>
  <si>
    <t>Kostgodtgj.</t>
  </si>
  <si>
    <t>Lønn og godtgjørelse</t>
  </si>
  <si>
    <t>SKATTEPLIKTIG</t>
  </si>
  <si>
    <t xml:space="preserve"> </t>
  </si>
  <si>
    <t>Møtegodtgjørelse</t>
  </si>
  <si>
    <t>Tapt arb.fortjeneste, legitimert</t>
  </si>
  <si>
    <t>Tapt arb.fortjeneste, ulegitimert</t>
  </si>
  <si>
    <t>Lønn og honorar</t>
  </si>
  <si>
    <t>UNDERSKRIFT</t>
  </si>
  <si>
    <t>ATTESTERT</t>
  </si>
  <si>
    <t>ANVIST</t>
  </si>
  <si>
    <t>Signatur</t>
  </si>
  <si>
    <t>Diverse utgifter iht. 
vedlegg</t>
  </si>
  <si>
    <t>Betalt av MNU</t>
  </si>
  <si>
    <t>Betalt privat</t>
  </si>
  <si>
    <t>Ausland, Tore</t>
  </si>
  <si>
    <t>GOT</t>
  </si>
  <si>
    <t>Havnegata 5</t>
  </si>
  <si>
    <t>Son</t>
  </si>
  <si>
    <t>ta@vikenklynge.no</t>
  </si>
  <si>
    <t>Aquaculture UK konferanse i Aviemore Scotland</t>
  </si>
  <si>
    <r>
      <t>Reisen gjelder</t>
    </r>
    <r>
      <rPr>
        <b/>
        <sz val="9"/>
        <color rgb="FFFF0000"/>
        <rFont val="Arial"/>
        <family val="2"/>
      </rPr>
      <t xml:space="preserve"> </t>
    </r>
  </si>
  <si>
    <r>
      <t>Spesifikasjon av reisen</t>
    </r>
    <r>
      <rPr>
        <sz val="8"/>
        <color rgb="FFFF0000"/>
        <rFont val="Arial"/>
        <family val="2"/>
      </rPr>
      <t xml:space="preserve"> </t>
    </r>
  </si>
  <si>
    <t>10.00</t>
  </si>
  <si>
    <t>23.00</t>
  </si>
  <si>
    <t>Passasjerens 
navn</t>
  </si>
  <si>
    <t>Tore Ausland</t>
  </si>
  <si>
    <t>Se vedlegg</t>
  </si>
  <si>
    <t>Netto total sum</t>
  </si>
  <si>
    <t>Til utbetaling til Tore</t>
  </si>
  <si>
    <t>Hans Bjørn Paulsrud</t>
  </si>
  <si>
    <t>Silverglades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</si>
</sst>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kr&quot;\ * #,##0.00_-;\-&quot;kr&quot;\ * #,##0.00_-;_-&quot;kr&quot;\ * &quot;-&quot;??_-;_-@_-"/>
    <numFmt numFmtId="164" formatCode="dd/mm/yy;@"/>
    <numFmt numFmtId="165" formatCode="d/m/yy;@"/>
    <numFmt numFmtId="166" formatCode="hh:mm;@"/>
    <numFmt numFmtId="167" formatCode="_ &quot;kr&quot;\ * #,##0.00_ ;_ &quot;kr&quot;\ * \-#,##0.00_ ;_ &quot;kr&quot;\ * &quot;-&quot;??_ ;_ @_ "/>
  </numFmts>
  <fonts count="40" x14ac:knownFonts="1">
    <font>
      <sz val="10"/>
      <color indexed="8"/>
      <name val="Arial"/>
      <family val="2"/>
    </font>
    <font>
      <sz val="10"/>
      <color indexed="8"/>
      <name val="Arial"/>
      <family val="2"/>
      <charset val="1"/>
    </font>
    <font>
      <b/>
      <sz val="12"/>
      <color indexed="8"/>
      <name val="Arial"/>
      <family val="2"/>
      <charset val="1"/>
    </font>
    <font>
      <sz val="12"/>
      <color indexed="8"/>
      <name val="Arial"/>
      <family val="2"/>
      <charset val="1"/>
    </font>
    <font>
      <sz val="11"/>
      <color indexed="8"/>
      <name val="Arial"/>
      <family val="2"/>
      <charset val="1"/>
    </font>
    <font>
      <sz val="14"/>
      <color indexed="8"/>
      <name val="Arial"/>
      <family val="2"/>
      <charset val="1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20"/>
      <color indexed="8"/>
      <name val="Arial"/>
      <family val="2"/>
      <charset val="1"/>
    </font>
    <font>
      <b/>
      <sz val="14"/>
      <color indexed="8"/>
      <name val="Arial"/>
      <family val="2"/>
      <charset val="1"/>
    </font>
    <font>
      <b/>
      <sz val="14"/>
      <color indexed="8"/>
      <name val="Arial"/>
      <family val="2"/>
    </font>
    <font>
      <b/>
      <sz val="11"/>
      <color indexed="8"/>
      <name val="Arial"/>
      <family val="2"/>
    </font>
    <font>
      <b/>
      <sz val="9"/>
      <color indexed="81"/>
      <name val="Tahoma"/>
      <family val="2"/>
    </font>
    <font>
      <sz val="12"/>
      <name val="Arial"/>
      <family val="2"/>
      <charset val="1"/>
    </font>
    <font>
      <sz val="11"/>
      <name val="Arial"/>
      <family val="2"/>
      <charset val="1"/>
    </font>
    <font>
      <sz val="12"/>
      <name val="Arial"/>
      <family val="2"/>
    </font>
    <font>
      <sz val="18"/>
      <color theme="3"/>
      <name val="Cambria"/>
      <family val="2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36"/>
      <color theme="3"/>
      <name val="Cambria"/>
      <family val="2"/>
      <scheme val="major"/>
    </font>
    <font>
      <sz val="9"/>
      <color theme="1"/>
      <name val="Cambria"/>
      <family val="1"/>
      <scheme val="major"/>
    </font>
    <font>
      <b/>
      <sz val="20"/>
      <color theme="3"/>
      <name val="Cambria"/>
      <family val="2"/>
      <scheme val="major"/>
    </font>
    <font>
      <b/>
      <sz val="9"/>
      <color rgb="FF00610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rgb="FFFF0000"/>
      <name val="Arial"/>
      <family val="2"/>
    </font>
    <font>
      <sz val="8"/>
      <color rgb="FF6D8838"/>
      <name val="Arial"/>
      <family val="2"/>
    </font>
    <font>
      <sz val="8"/>
      <color rgb="FFFF0000"/>
      <name val="Arial"/>
      <family val="2"/>
    </font>
    <font>
      <sz val="9"/>
      <color rgb="FF006100"/>
      <name val="Arial"/>
      <family val="2"/>
    </font>
    <font>
      <sz val="9"/>
      <color rgb="FF6D8838"/>
      <name val="Arial"/>
      <family val="2"/>
    </font>
    <font>
      <b/>
      <sz val="9"/>
      <color rgb="FF6D8838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b/>
      <sz val="9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EAF0F6"/>
        <bgColor indexed="64"/>
      </patternFill>
    </fill>
    <fill>
      <patternFill patternType="solid">
        <fgColor rgb="FFEAF0F6"/>
        <bgColor indexed="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</fills>
  <borders count="1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23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64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8"/>
      </right>
      <top/>
      <bottom style="thin">
        <color indexed="23"/>
      </bottom>
      <diagonal/>
    </border>
    <border>
      <left style="thin">
        <color indexed="23"/>
      </left>
      <right style="thin">
        <color indexed="8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8"/>
      </right>
      <top style="thin">
        <color indexed="23"/>
      </top>
      <bottom/>
      <diagonal/>
    </border>
    <border>
      <left style="thin">
        <color indexed="23"/>
      </left>
      <right style="thin">
        <color indexed="8"/>
      </right>
      <top style="thin">
        <color indexed="23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8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8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 style="thin">
        <color indexed="8"/>
      </right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8"/>
      </right>
      <top style="thin">
        <color indexed="8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64"/>
      </bottom>
      <diagonal/>
    </border>
    <border>
      <left/>
      <right style="thin">
        <color indexed="23"/>
      </right>
      <top style="thin">
        <color indexed="23"/>
      </top>
      <bottom style="thin">
        <color indexed="8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8"/>
      </bottom>
      <diagonal/>
    </border>
    <border>
      <left/>
      <right/>
      <top style="thin">
        <color indexed="23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23"/>
      </right>
      <top style="thin">
        <color indexed="23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23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23"/>
      </right>
      <top style="thin">
        <color indexed="8"/>
      </top>
      <bottom style="thin">
        <color indexed="23"/>
      </bottom>
      <diagonal/>
    </border>
    <border>
      <left style="thin">
        <color indexed="8"/>
      </left>
      <right/>
      <top style="thin">
        <color indexed="8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23"/>
      </bottom>
      <diagonal/>
    </border>
    <border>
      <left/>
      <right style="thin">
        <color indexed="23"/>
      </right>
      <top style="thin">
        <color indexed="8"/>
      </top>
      <bottom style="thin">
        <color indexed="23"/>
      </bottom>
      <diagonal/>
    </border>
    <border>
      <left style="thin">
        <color indexed="8"/>
      </left>
      <right/>
      <top style="thin">
        <color indexed="23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23"/>
      </top>
      <bottom style="thin">
        <color indexed="23"/>
      </bottom>
      <diagonal/>
    </border>
    <border>
      <left style="thin">
        <color indexed="8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8"/>
      </left>
      <right/>
      <top/>
      <bottom style="thin">
        <color indexed="23"/>
      </bottom>
      <diagonal/>
    </border>
    <border>
      <left style="thin">
        <color indexed="23"/>
      </left>
      <right/>
      <top/>
      <bottom/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 style="thin">
        <color indexed="8"/>
      </right>
      <top/>
      <bottom/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23"/>
      </bottom>
      <diagonal/>
    </border>
    <border>
      <left/>
      <right style="thin">
        <color indexed="23"/>
      </right>
      <top style="thin">
        <color indexed="8"/>
      </top>
      <bottom/>
      <diagonal/>
    </border>
    <border>
      <left style="thin">
        <color indexed="8"/>
      </left>
      <right style="thin">
        <color indexed="23"/>
      </right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 style="thin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23"/>
      </right>
      <top/>
      <bottom style="thin">
        <color indexed="23"/>
      </bottom>
      <diagonal/>
    </border>
    <border>
      <left style="thin">
        <color indexed="64"/>
      </left>
      <right/>
      <top style="thin">
        <color indexed="23"/>
      </top>
      <bottom/>
      <diagonal/>
    </border>
    <border>
      <left style="thin">
        <color indexed="64"/>
      </left>
      <right/>
      <top/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/>
      <top style="thin">
        <color indexed="64"/>
      </top>
      <bottom/>
      <diagonal/>
    </border>
    <border>
      <left/>
      <right style="thin">
        <color rgb="FF808080"/>
      </right>
      <top style="thin">
        <color indexed="23"/>
      </top>
      <bottom style="thin">
        <color indexed="23"/>
      </bottom>
      <diagonal/>
    </border>
    <border>
      <left/>
      <right style="thin">
        <color rgb="FF808080"/>
      </right>
      <top style="thin">
        <color indexed="23"/>
      </top>
      <bottom style="thin">
        <color indexed="8"/>
      </bottom>
      <diagonal/>
    </border>
    <border>
      <left style="thin">
        <color rgb="FF808080"/>
      </left>
      <right/>
      <top style="thin">
        <color indexed="23"/>
      </top>
      <bottom style="thin">
        <color indexed="23"/>
      </bottom>
      <diagonal/>
    </border>
    <border>
      <left style="thin">
        <color rgb="FF808080"/>
      </left>
      <right/>
      <top style="thin">
        <color indexed="23"/>
      </top>
      <bottom style="thin">
        <color indexed="8"/>
      </bottom>
      <diagonal/>
    </border>
    <border>
      <left style="thin">
        <color rgb="FF808080"/>
      </left>
      <right/>
      <top/>
      <bottom style="thin">
        <color indexed="23"/>
      </bottom>
      <diagonal/>
    </border>
    <border>
      <left/>
      <right style="thin">
        <color rgb="FF808080"/>
      </right>
      <top/>
      <bottom style="thin">
        <color indexed="2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7">
    <xf numFmtId="0" fontId="0" fillId="0" borderId="0"/>
    <xf numFmtId="0" fontId="18" fillId="0" borderId="0" applyNumberFormat="0" applyFill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2" fillId="10" borderId="81" applyNumberFormat="0" applyAlignment="0" applyProtection="0"/>
    <xf numFmtId="0" fontId="30" fillId="0" borderId="0" applyNumberFormat="0" applyFill="0" applyBorder="0" applyAlignment="0" applyProtection="0"/>
  </cellStyleXfs>
  <cellXfs count="749">
    <xf numFmtId="0" fontId="0" fillId="0" borderId="0" xfId="0"/>
    <xf numFmtId="0" fontId="0" fillId="0" borderId="2" xfId="0" applyBorder="1"/>
    <xf numFmtId="0" fontId="0" fillId="0" borderId="0" xfId="0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0" fillId="0" borderId="0" xfId="0" applyFill="1"/>
    <xf numFmtId="0" fontId="0" fillId="0" borderId="0" xfId="0" applyBorder="1"/>
    <xf numFmtId="0" fontId="0" fillId="3" borderId="0" xfId="0" applyFill="1"/>
    <xf numFmtId="0" fontId="0" fillId="0" borderId="3" xfId="0" applyBorder="1" applyAlignment="1"/>
    <xf numFmtId="0" fontId="0" fillId="0" borderId="4" xfId="0" applyBorder="1" applyAlignment="1"/>
    <xf numFmtId="0" fontId="7" fillId="0" borderId="5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left" vertical="center"/>
    </xf>
    <xf numFmtId="0" fontId="6" fillId="3" borderId="0" xfId="0" applyFont="1" applyFill="1"/>
    <xf numFmtId="0" fontId="6" fillId="2" borderId="0" xfId="0" applyFont="1" applyFill="1"/>
    <xf numFmtId="0" fontId="6" fillId="0" borderId="0" xfId="0" applyFont="1" applyFill="1"/>
    <xf numFmtId="49" fontId="7" fillId="0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8" xfId="0" applyFill="1" applyBorder="1"/>
    <xf numFmtId="0" fontId="0" fillId="3" borderId="0" xfId="0" applyFill="1" applyBorder="1"/>
    <xf numFmtId="0" fontId="0" fillId="2" borderId="0" xfId="0" applyFill="1" applyBorder="1"/>
    <xf numFmtId="0" fontId="7" fillId="0" borderId="9" xfId="0" applyFont="1" applyFill="1" applyBorder="1" applyAlignment="1">
      <alignment horizontal="left" vertical="center"/>
    </xf>
    <xf numFmtId="0" fontId="7" fillId="3" borderId="0" xfId="0" applyFont="1" applyFill="1"/>
    <xf numFmtId="0" fontId="7" fillId="2" borderId="0" xfId="0" applyFont="1" applyFill="1"/>
    <xf numFmtId="0" fontId="7" fillId="0" borderId="0" xfId="0" applyFont="1"/>
    <xf numFmtId="0" fontId="7" fillId="0" borderId="10" xfId="0" applyFont="1" applyFill="1" applyBorder="1" applyAlignment="1" applyProtection="1">
      <alignment horizontal="left" vertical="center"/>
      <protection locked="0"/>
    </xf>
    <xf numFmtId="0" fontId="7" fillId="0" borderId="10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49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4" fontId="3" fillId="0" borderId="1" xfId="0" applyNumberFormat="1" applyFont="1" applyFill="1" applyBorder="1" applyAlignment="1" applyProtection="1">
      <alignment horizontal="right" vertical="center" wrapText="1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12" xfId="0" applyFont="1" applyFill="1" applyBorder="1" applyAlignment="1" applyProtection="1">
      <alignment horizontal="center" vertical="center" wrapText="1"/>
      <protection locked="0"/>
    </xf>
    <xf numFmtId="49" fontId="3" fillId="0" borderId="9" xfId="0" applyNumberFormat="1" applyFont="1" applyFill="1" applyBorder="1" applyAlignment="1" applyProtection="1">
      <alignment horizontal="center" vertical="center" wrapText="1"/>
      <protection locked="0"/>
    </xf>
    <xf numFmtId="4" fontId="3" fillId="0" borderId="9" xfId="0" applyNumberFormat="1" applyFont="1" applyFill="1" applyBorder="1" applyAlignment="1" applyProtection="1">
      <alignment horizontal="right" vertical="center" wrapText="1"/>
      <protection locked="0"/>
    </xf>
    <xf numFmtId="0" fontId="3" fillId="0" borderId="9" xfId="0" applyFont="1" applyFill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>
      <alignment horizontal="left" vertical="center" wrapText="1"/>
    </xf>
    <xf numFmtId="4" fontId="2" fillId="0" borderId="1" xfId="0" applyNumberFormat="1" applyFont="1" applyFill="1" applyBorder="1" applyAlignment="1" applyProtection="1">
      <alignment horizontal="righ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1" fillId="0" borderId="14" xfId="0" applyFont="1" applyFill="1" applyBorder="1" applyAlignment="1">
      <alignment horizontal="left" vertical="top"/>
    </xf>
    <xf numFmtId="0" fontId="7" fillId="0" borderId="15" xfId="0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 applyProtection="1">
      <alignment horizontal="right" vertical="center"/>
      <protection locked="0"/>
    </xf>
    <xf numFmtId="4" fontId="3" fillId="0" borderId="1" xfId="0" applyNumberFormat="1" applyFont="1" applyFill="1" applyBorder="1" applyAlignment="1">
      <alignment horizontal="right" vertical="center"/>
    </xf>
    <xf numFmtId="0" fontId="3" fillId="0" borderId="12" xfId="0" applyFont="1" applyFill="1" applyBorder="1" applyAlignment="1" applyProtection="1">
      <alignment horizontal="center" vertical="center"/>
      <protection locked="0"/>
    </xf>
    <xf numFmtId="4" fontId="3" fillId="0" borderId="16" xfId="0" applyNumberFormat="1" applyFont="1" applyFill="1" applyBorder="1" applyAlignment="1" applyProtection="1">
      <alignment horizontal="right" vertical="center"/>
      <protection locked="0"/>
    </xf>
    <xf numFmtId="4" fontId="3" fillId="0" borderId="16" xfId="0" applyNumberFormat="1" applyFont="1" applyFill="1" applyBorder="1" applyAlignment="1">
      <alignment horizontal="right" vertical="center"/>
    </xf>
    <xf numFmtId="0" fontId="3" fillId="0" borderId="14" xfId="0" applyFont="1" applyFill="1" applyBorder="1" applyAlignment="1" applyProtection="1">
      <alignment horizontal="center" vertical="center"/>
      <protection locked="0"/>
    </xf>
    <xf numFmtId="0" fontId="7" fillId="0" borderId="17" xfId="0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 applyProtection="1">
      <alignment horizontal="center" vertical="center"/>
      <protection locked="0"/>
    </xf>
    <xf numFmtId="0" fontId="0" fillId="2" borderId="3" xfId="0" applyFill="1" applyBorder="1"/>
    <xf numFmtId="0" fontId="7" fillId="0" borderId="9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 applyProtection="1">
      <alignment horizontal="center" vertical="center"/>
      <protection locked="0"/>
    </xf>
    <xf numFmtId="0" fontId="3" fillId="0" borderId="16" xfId="0" applyFont="1" applyFill="1" applyBorder="1" applyAlignment="1" applyProtection="1">
      <alignment horizontal="center" vertical="center"/>
      <protection locked="0"/>
    </xf>
    <xf numFmtId="0" fontId="1" fillId="0" borderId="17" xfId="0" applyFont="1" applyFill="1" applyBorder="1" applyAlignment="1">
      <alignment horizontal="left" vertical="center"/>
    </xf>
    <xf numFmtId="0" fontId="9" fillId="0" borderId="17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left" vertical="center"/>
    </xf>
    <xf numFmtId="0" fontId="2" fillId="0" borderId="20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 wrapText="1"/>
    </xf>
    <xf numFmtId="4" fontId="3" fillId="0" borderId="16" xfId="0" applyNumberFormat="1" applyFont="1" applyFill="1" applyBorder="1" applyAlignment="1" applyProtection="1">
      <alignment horizontal="center" vertical="center"/>
      <protection locked="0"/>
    </xf>
    <xf numFmtId="0" fontId="7" fillId="0" borderId="15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7" fillId="0" borderId="19" xfId="0" applyFont="1" applyFill="1" applyBorder="1" applyAlignment="1">
      <alignment horizontal="center" vertical="center"/>
    </xf>
    <xf numFmtId="4" fontId="2" fillId="0" borderId="22" xfId="0" applyNumberFormat="1" applyFont="1" applyFill="1" applyBorder="1" applyAlignment="1">
      <alignment horizontal="right" vertical="center"/>
    </xf>
    <xf numFmtId="0" fontId="3" fillId="0" borderId="23" xfId="0" applyFont="1" applyFill="1" applyBorder="1" applyAlignment="1">
      <alignment horizontal="left" vertical="center"/>
    </xf>
    <xf numFmtId="4" fontId="3" fillId="0" borderId="15" xfId="0" applyNumberFormat="1" applyFont="1" applyFill="1" applyBorder="1" applyAlignment="1" applyProtection="1">
      <alignment horizontal="right" vertical="center"/>
      <protection locked="0"/>
    </xf>
    <xf numFmtId="0" fontId="3" fillId="0" borderId="21" xfId="0" applyFont="1" applyFill="1" applyBorder="1" applyAlignment="1" applyProtection="1">
      <alignment horizontal="center" vertical="center"/>
      <protection locked="0"/>
    </xf>
    <xf numFmtId="0" fontId="3" fillId="0" borderId="14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left" vertical="top"/>
    </xf>
    <xf numFmtId="4" fontId="6" fillId="0" borderId="16" xfId="0" applyNumberFormat="1" applyFont="1" applyFill="1" applyBorder="1" applyAlignment="1" applyProtection="1">
      <alignment horizontal="right" vertical="center"/>
      <protection locked="0"/>
    </xf>
    <xf numFmtId="0" fontId="2" fillId="0" borderId="25" xfId="0" applyFont="1" applyFill="1" applyBorder="1" applyAlignment="1" applyProtection="1">
      <alignment horizontal="center" vertical="top"/>
      <protection locked="0"/>
    </xf>
    <xf numFmtId="0" fontId="2" fillId="0" borderId="25" xfId="0" applyFont="1" applyFill="1" applyBorder="1" applyAlignment="1" applyProtection="1">
      <alignment horizontal="center"/>
      <protection locked="0"/>
    </xf>
    <xf numFmtId="4" fontId="3" fillId="0" borderId="26" xfId="0" applyNumberFormat="1" applyFont="1" applyFill="1" applyBorder="1" applyAlignment="1">
      <alignment horizontal="right" vertical="center"/>
    </xf>
    <xf numFmtId="4" fontId="3" fillId="0" borderId="16" xfId="0" applyNumberFormat="1" applyFont="1" applyFill="1" applyBorder="1" applyAlignment="1" applyProtection="1">
      <alignment horizontal="right" vertical="center"/>
    </xf>
    <xf numFmtId="4" fontId="2" fillId="0" borderId="16" xfId="0" applyNumberFormat="1" applyFont="1" applyFill="1" applyBorder="1" applyAlignment="1" applyProtection="1">
      <alignment horizontal="right" vertical="center"/>
    </xf>
    <xf numFmtId="2" fontId="3" fillId="0" borderId="27" xfId="0" applyNumberFormat="1" applyFont="1" applyFill="1" applyBorder="1" applyAlignment="1" applyProtection="1">
      <alignment horizontal="center" vertical="center"/>
      <protection locked="0"/>
    </xf>
    <xf numFmtId="4" fontId="15" fillId="0" borderId="1" xfId="0" applyNumberFormat="1" applyFont="1" applyFill="1" applyBorder="1" applyAlignment="1" applyProtection="1">
      <alignment horizontal="right" vertical="center"/>
      <protection locked="0"/>
    </xf>
    <xf numFmtId="4" fontId="15" fillId="0" borderId="16" xfId="0" applyNumberFormat="1" applyFont="1" applyFill="1" applyBorder="1" applyAlignment="1" applyProtection="1">
      <alignment horizontal="right" vertical="center"/>
      <protection locked="0"/>
    </xf>
    <xf numFmtId="0" fontId="7" fillId="0" borderId="28" xfId="0" applyFont="1" applyBorder="1" applyAlignment="1">
      <alignment vertical="center"/>
    </xf>
    <xf numFmtId="4" fontId="7" fillId="0" borderId="75" xfId="0" applyNumberFormat="1" applyFont="1" applyBorder="1" applyAlignment="1" applyProtection="1">
      <alignment horizontal="center" vertical="center"/>
      <protection locked="0"/>
    </xf>
    <xf numFmtId="4" fontId="7" fillId="0" borderId="76" xfId="0" applyNumberFormat="1" applyFont="1" applyBorder="1" applyAlignment="1" applyProtection="1">
      <alignment horizontal="center" vertical="center"/>
      <protection locked="0"/>
    </xf>
    <xf numFmtId="2" fontId="3" fillId="0" borderId="27" xfId="0" applyNumberFormat="1" applyFont="1" applyFill="1" applyBorder="1" applyAlignment="1" applyProtection="1">
      <alignment horizontal="right" vertical="center"/>
      <protection locked="0"/>
    </xf>
    <xf numFmtId="4" fontId="7" fillId="0" borderId="75" xfId="0" applyNumberFormat="1" applyFont="1" applyBorder="1" applyAlignment="1" applyProtection="1">
      <alignment horizontal="center" vertical="center"/>
      <protection locked="0"/>
    </xf>
    <xf numFmtId="4" fontId="7" fillId="0" borderId="76" xfId="0" applyNumberFormat="1" applyFont="1" applyBorder="1" applyAlignment="1" applyProtection="1">
      <alignment horizontal="center" vertical="center"/>
      <protection locked="0"/>
    </xf>
    <xf numFmtId="4" fontId="3" fillId="0" borderId="1" xfId="0" applyNumberFormat="1" applyFont="1" applyFill="1" applyBorder="1" applyAlignment="1" applyProtection="1">
      <alignment horizontal="right" vertical="center"/>
      <protection locked="0"/>
    </xf>
    <xf numFmtId="4" fontId="3" fillId="0" borderId="16" xfId="0" applyNumberFormat="1" applyFont="1" applyFill="1" applyBorder="1" applyAlignment="1" applyProtection="1">
      <alignment horizontal="right" vertical="center"/>
      <protection locked="0"/>
    </xf>
    <xf numFmtId="4" fontId="7" fillId="0" borderId="75" xfId="0" applyNumberFormat="1" applyFont="1" applyBorder="1" applyAlignment="1" applyProtection="1">
      <alignment horizontal="center" vertical="center"/>
      <protection locked="0"/>
    </xf>
    <xf numFmtId="4" fontId="7" fillId="0" borderId="76" xfId="0" applyNumberFormat="1" applyFont="1" applyBorder="1" applyAlignment="1" applyProtection="1">
      <alignment horizontal="center" vertical="center"/>
      <protection locked="0"/>
    </xf>
    <xf numFmtId="4" fontId="2" fillId="0" borderId="1" xfId="0" applyNumberFormat="1" applyFont="1" applyFill="1" applyBorder="1" applyAlignment="1" applyProtection="1">
      <alignment horizontal="right" vertical="center" wrapText="1"/>
    </xf>
    <xf numFmtId="49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4" fontId="3" fillId="0" borderId="1" xfId="0" applyNumberFormat="1" applyFont="1" applyFill="1" applyBorder="1" applyAlignment="1" applyProtection="1">
      <alignment horizontal="right" vertical="center" wrapText="1"/>
      <protection locked="0"/>
    </xf>
    <xf numFmtId="49" fontId="3" fillId="0" borderId="9" xfId="0" applyNumberFormat="1" applyFont="1" applyFill="1" applyBorder="1" applyAlignment="1" applyProtection="1">
      <alignment horizontal="center" vertical="center" wrapText="1"/>
      <protection locked="0"/>
    </xf>
    <xf numFmtId="4" fontId="3" fillId="0" borderId="9" xfId="0" applyNumberFormat="1" applyFont="1" applyFill="1" applyBorder="1" applyAlignment="1" applyProtection="1">
      <alignment horizontal="right" vertical="center" wrapText="1"/>
      <protection locked="0"/>
    </xf>
    <xf numFmtId="0" fontId="7" fillId="0" borderId="10" xfId="0" applyFont="1" applyFill="1" applyBorder="1" applyAlignment="1" applyProtection="1">
      <alignment horizontal="left" vertical="center"/>
      <protection locked="0"/>
    </xf>
    <xf numFmtId="0" fontId="7" fillId="5" borderId="5" xfId="0" applyFont="1" applyFill="1" applyBorder="1" applyAlignment="1">
      <alignment horizontal="left" vertical="center"/>
    </xf>
    <xf numFmtId="0" fontId="0" fillId="5" borderId="3" xfId="0" applyFill="1" applyBorder="1" applyAlignment="1"/>
    <xf numFmtId="0" fontId="0" fillId="5" borderId="4" xfId="0" applyFill="1" applyBorder="1" applyAlignment="1"/>
    <xf numFmtId="0" fontId="7" fillId="5" borderId="6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3" fillId="5" borderId="12" xfId="0" applyFont="1" applyFill="1" applyBorder="1" applyAlignment="1">
      <alignment horizontal="left" vertical="center" wrapText="1"/>
    </xf>
    <xf numFmtId="0" fontId="1" fillId="5" borderId="14" xfId="0" applyFont="1" applyFill="1" applyBorder="1" applyAlignment="1">
      <alignment horizontal="left" vertical="top"/>
    </xf>
    <xf numFmtId="0" fontId="7" fillId="5" borderId="15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 wrapText="1"/>
    </xf>
    <xf numFmtId="0" fontId="7" fillId="5" borderId="28" xfId="0" applyFont="1" applyFill="1" applyBorder="1" applyAlignment="1">
      <alignment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left" vertical="center"/>
    </xf>
    <xf numFmtId="0" fontId="9" fillId="5" borderId="17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left" vertical="center"/>
    </xf>
    <xf numFmtId="0" fontId="2" fillId="5" borderId="20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19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14" xfId="0" applyFont="1" applyFill="1" applyBorder="1" applyAlignment="1">
      <alignment horizontal="left" vertical="center"/>
    </xf>
    <xf numFmtId="0" fontId="0" fillId="11" borderId="0" xfId="0" applyFill="1" applyProtection="1">
      <protection locked="0"/>
    </xf>
    <xf numFmtId="0" fontId="23" fillId="11" borderId="0" xfId="0" applyFont="1" applyFill="1" applyProtection="1">
      <protection locked="0"/>
    </xf>
    <xf numFmtId="0" fontId="0" fillId="0" borderId="0" xfId="0" applyProtection="1">
      <protection locked="0"/>
    </xf>
    <xf numFmtId="0" fontId="25" fillId="11" borderId="0" xfId="0" applyFont="1" applyFill="1" applyProtection="1">
      <protection locked="0"/>
    </xf>
    <xf numFmtId="0" fontId="26" fillId="11" borderId="0" xfId="1" applyFont="1" applyFill="1" applyBorder="1" applyAlignment="1" applyProtection="1">
      <protection locked="0"/>
    </xf>
    <xf numFmtId="0" fontId="27" fillId="12" borderId="83" xfId="2" applyFont="1" applyFill="1" applyBorder="1" applyAlignment="1" applyProtection="1">
      <alignment horizontal="left" vertical="center"/>
    </xf>
    <xf numFmtId="0" fontId="28" fillId="11" borderId="0" xfId="0" applyFont="1" applyFill="1" applyProtection="1">
      <protection locked="0"/>
    </xf>
    <xf numFmtId="0" fontId="26" fillId="11" borderId="84" xfId="1" applyFont="1" applyFill="1" applyBorder="1" applyAlignment="1" applyProtection="1">
      <protection locked="0"/>
    </xf>
    <xf numFmtId="0" fontId="29" fillId="0" borderId="86" xfId="0" applyFont="1" applyBorder="1" applyAlignment="1" applyProtection="1">
      <alignment horizontal="center" vertical="center"/>
      <protection locked="0"/>
    </xf>
    <xf numFmtId="0" fontId="27" fillId="12" borderId="89" xfId="2" applyFont="1" applyFill="1" applyBorder="1" applyProtection="1"/>
    <xf numFmtId="0" fontId="29" fillId="0" borderId="85" xfId="0" applyFont="1" applyBorder="1" applyProtection="1">
      <protection locked="0"/>
    </xf>
    <xf numFmtId="0" fontId="28" fillId="0" borderId="0" xfId="0" applyFont="1" applyProtection="1">
      <protection locked="0"/>
    </xf>
    <xf numFmtId="0" fontId="28" fillId="0" borderId="0" xfId="0" applyFont="1" applyAlignment="1" applyProtection="1">
      <alignment horizontal="left"/>
      <protection locked="0"/>
    </xf>
    <xf numFmtId="0" fontId="28" fillId="11" borderId="91" xfId="0" applyFont="1" applyFill="1" applyBorder="1" applyProtection="1">
      <protection locked="0"/>
    </xf>
    <xf numFmtId="0" fontId="28" fillId="11" borderId="98" xfId="0" applyFont="1" applyFill="1" applyBorder="1" applyProtection="1">
      <protection locked="0"/>
    </xf>
    <xf numFmtId="0" fontId="27" fillId="12" borderId="99" xfId="2" applyFont="1" applyFill="1" applyBorder="1" applyAlignment="1" applyProtection="1">
      <alignment vertical="center" wrapText="1"/>
    </xf>
    <xf numFmtId="0" fontId="27" fillId="12" borderId="99" xfId="2" applyFont="1" applyFill="1" applyBorder="1" applyAlignment="1" applyProtection="1">
      <alignment vertical="center" wrapText="1"/>
      <protection locked="0"/>
    </xf>
    <xf numFmtId="0" fontId="27" fillId="12" borderId="95" xfId="2" applyFont="1" applyFill="1" applyBorder="1" applyAlignment="1" applyProtection="1">
      <alignment vertical="center" wrapText="1"/>
    </xf>
    <xf numFmtId="0" fontId="27" fillId="12" borderId="100" xfId="2" applyFont="1" applyFill="1" applyBorder="1" applyAlignment="1" applyProtection="1">
      <alignment vertical="center" wrapText="1"/>
    </xf>
    <xf numFmtId="0" fontId="34" fillId="12" borderId="102" xfId="2" applyFont="1" applyFill="1" applyBorder="1" applyProtection="1"/>
    <xf numFmtId="0" fontId="34" fillId="12" borderId="103" xfId="2" applyFont="1" applyFill="1" applyBorder="1" applyProtection="1"/>
    <xf numFmtId="0" fontId="29" fillId="0" borderId="103" xfId="0" applyFont="1" applyBorder="1" applyAlignment="1" applyProtection="1">
      <alignment wrapText="1"/>
      <protection locked="0"/>
    </xf>
    <xf numFmtId="0" fontId="29" fillId="0" borderId="104" xfId="0" applyFont="1" applyBorder="1" applyAlignment="1" applyProtection="1">
      <alignment wrapText="1"/>
      <protection locked="0"/>
    </xf>
    <xf numFmtId="0" fontId="29" fillId="0" borderId="105" xfId="0" applyFont="1" applyBorder="1" applyAlignment="1" applyProtection="1">
      <alignment wrapText="1"/>
      <protection locked="0"/>
    </xf>
    <xf numFmtId="165" fontId="29" fillId="0" borderId="102" xfId="0" applyNumberFormat="1" applyFont="1" applyBorder="1" applyProtection="1">
      <protection locked="0"/>
    </xf>
    <xf numFmtId="166" fontId="29" fillId="0" borderId="103" xfId="0" applyNumberFormat="1" applyFont="1" applyBorder="1" applyProtection="1">
      <protection locked="0"/>
    </xf>
    <xf numFmtId="165" fontId="29" fillId="0" borderId="103" xfId="0" applyNumberFormat="1" applyFont="1" applyBorder="1" applyProtection="1">
      <protection locked="0"/>
    </xf>
    <xf numFmtId="165" fontId="29" fillId="0" borderId="106" xfId="0" applyNumberFormat="1" applyFont="1" applyBorder="1" applyProtection="1">
      <protection locked="0"/>
    </xf>
    <xf numFmtId="166" fontId="29" fillId="0" borderId="107" xfId="0" applyNumberFormat="1" applyFont="1" applyBorder="1" applyProtection="1">
      <protection locked="0"/>
    </xf>
    <xf numFmtId="165" fontId="29" fillId="0" borderId="107" xfId="0" applyNumberFormat="1" applyFont="1" applyBorder="1" applyProtection="1">
      <protection locked="0"/>
    </xf>
    <xf numFmtId="0" fontId="29" fillId="0" borderId="107" xfId="0" applyFont="1" applyBorder="1" applyAlignment="1" applyProtection="1">
      <alignment wrapText="1"/>
      <protection locked="0"/>
    </xf>
    <xf numFmtId="0" fontId="29" fillId="0" borderId="108" xfId="0" applyFont="1" applyBorder="1" applyAlignment="1" applyProtection="1">
      <alignment wrapText="1"/>
      <protection locked="0"/>
    </xf>
    <xf numFmtId="0" fontId="29" fillId="0" borderId="109" xfId="0" applyFont="1" applyBorder="1" applyAlignment="1" applyProtection="1">
      <alignment wrapText="1"/>
      <protection locked="0"/>
    </xf>
    <xf numFmtId="0" fontId="27" fillId="12" borderId="99" xfId="2" applyFont="1" applyFill="1" applyBorder="1" applyAlignment="1" applyProtection="1">
      <alignment horizontal="center"/>
    </xf>
    <xf numFmtId="0" fontId="27" fillId="12" borderId="99" xfId="2" applyFont="1" applyFill="1" applyBorder="1" applyProtection="1"/>
    <xf numFmtId="0" fontId="27" fillId="12" borderId="92" xfId="2" applyFont="1" applyFill="1" applyBorder="1" applyAlignment="1" applyProtection="1"/>
    <xf numFmtId="0" fontId="27" fillId="12" borderId="94" xfId="2" applyFont="1" applyFill="1" applyBorder="1" applyAlignment="1" applyProtection="1">
      <protection locked="0"/>
    </xf>
    <xf numFmtId="0" fontId="27" fillId="12" borderId="93" xfId="2" applyFont="1" applyFill="1" applyBorder="1" applyProtection="1">
      <protection locked="0"/>
    </xf>
    <xf numFmtId="0" fontId="27" fillId="12" borderId="112" xfId="2" applyFont="1" applyFill="1" applyBorder="1" applyProtection="1"/>
    <xf numFmtId="0" fontId="27" fillId="12" borderId="115" xfId="2" applyFont="1" applyFill="1" applyBorder="1" applyAlignment="1" applyProtection="1">
      <alignment horizontal="center" vertical="center"/>
      <protection locked="0"/>
    </xf>
    <xf numFmtId="0" fontId="29" fillId="0" borderId="115" xfId="0" applyFont="1" applyBorder="1" applyProtection="1">
      <protection locked="0"/>
    </xf>
    <xf numFmtId="167" fontId="19" fillId="7" borderId="116" xfId="2" applyNumberFormat="1" applyBorder="1" applyProtection="1">
      <protection locked="0" hidden="1"/>
    </xf>
    <xf numFmtId="167" fontId="36" fillId="12" borderId="117" xfId="0" applyNumberFormat="1" applyFont="1" applyFill="1" applyBorder="1" applyProtection="1">
      <protection locked="0" hidden="1"/>
    </xf>
    <xf numFmtId="0" fontId="19" fillId="7" borderId="118" xfId="2" applyBorder="1" applyProtection="1">
      <protection locked="0" hidden="1"/>
    </xf>
    <xf numFmtId="0" fontId="19" fillId="7" borderId="119" xfId="2" applyBorder="1" applyProtection="1">
      <protection locked="0" hidden="1"/>
    </xf>
    <xf numFmtId="0" fontId="27" fillId="12" borderId="103" xfId="2" applyFont="1" applyFill="1" applyBorder="1" applyAlignment="1" applyProtection="1">
      <alignment horizontal="center" vertical="center"/>
    </xf>
    <xf numFmtId="0" fontId="29" fillId="0" borderId="103" xfId="0" applyFont="1" applyBorder="1" applyProtection="1">
      <protection locked="0"/>
    </xf>
    <xf numFmtId="0" fontId="19" fillId="7" borderId="121" xfId="2" applyBorder="1" applyProtection="1">
      <protection locked="0" hidden="1"/>
    </xf>
    <xf numFmtId="0" fontId="19" fillId="7" borderId="119" xfId="2" applyBorder="1" applyProtection="1">
      <protection hidden="1"/>
    </xf>
    <xf numFmtId="0" fontId="29" fillId="11" borderId="121" xfId="0" applyFont="1" applyFill="1" applyBorder="1" applyProtection="1">
      <protection locked="0"/>
    </xf>
    <xf numFmtId="0" fontId="29" fillId="11" borderId="119" xfId="0" applyFont="1" applyFill="1" applyBorder="1" applyProtection="1">
      <protection locked="0"/>
    </xf>
    <xf numFmtId="0" fontId="35" fillId="0" borderId="103" xfId="0" applyFont="1" applyBorder="1"/>
    <xf numFmtId="0" fontId="27" fillId="12" borderId="103" xfId="2" quotePrefix="1" applyFont="1" applyFill="1" applyBorder="1" applyAlignment="1" applyProtection="1">
      <alignment horizontal="center" vertical="center"/>
    </xf>
    <xf numFmtId="167" fontId="19" fillId="11" borderId="104" xfId="2" applyNumberFormat="1" applyFill="1" applyBorder="1" applyProtection="1">
      <protection locked="0" hidden="1"/>
    </xf>
    <xf numFmtId="167" fontId="19" fillId="11" borderId="102" xfId="2" applyNumberFormat="1" applyFill="1" applyBorder="1" applyProtection="1">
      <protection locked="0" hidden="1"/>
    </xf>
    <xf numFmtId="0" fontId="19" fillId="11" borderId="121" xfId="2" applyFill="1" applyBorder="1" applyProtection="1">
      <protection locked="0" hidden="1"/>
    </xf>
    <xf numFmtId="0" fontId="19" fillId="11" borderId="119" xfId="2" applyFill="1" applyBorder="1" applyProtection="1">
      <protection locked="0" hidden="1"/>
    </xf>
    <xf numFmtId="0" fontId="29" fillId="0" borderId="105" xfId="0" applyFont="1" applyBorder="1" applyProtection="1">
      <protection locked="0"/>
    </xf>
    <xf numFmtId="0" fontId="27" fillId="0" borderId="0" xfId="2" applyFont="1" applyFill="1" applyBorder="1" applyAlignment="1" applyProtection="1">
      <protection locked="0"/>
    </xf>
    <xf numFmtId="0" fontId="27" fillId="12" borderId="93" xfId="2" applyFont="1" applyFill="1" applyBorder="1" applyAlignment="1" applyProtection="1"/>
    <xf numFmtId="0" fontId="35" fillId="12" borderId="93" xfId="0" applyFont="1" applyFill="1" applyBorder="1"/>
    <xf numFmtId="0" fontId="27" fillId="12" borderId="94" xfId="2" applyFont="1" applyFill="1" applyBorder="1" applyAlignment="1" applyProtection="1">
      <alignment horizontal="center"/>
    </xf>
    <xf numFmtId="0" fontId="27" fillId="12" borderId="99" xfId="2" applyFont="1" applyFill="1" applyBorder="1" applyProtection="1">
      <protection locked="0"/>
    </xf>
    <xf numFmtId="0" fontId="27" fillId="12" borderId="92" xfId="2" applyFont="1" applyFill="1" applyBorder="1" applyProtection="1"/>
    <xf numFmtId="0" fontId="35" fillId="11" borderId="121" xfId="0" applyFont="1" applyFill="1" applyBorder="1"/>
    <xf numFmtId="0" fontId="0" fillId="11" borderId="0" xfId="0" applyFill="1"/>
    <xf numFmtId="0" fontId="27" fillId="12" borderId="103" xfId="2" applyFont="1" applyFill="1" applyBorder="1" applyAlignment="1" applyProtection="1">
      <alignment horizontal="center"/>
    </xf>
    <xf numFmtId="0" fontId="29" fillId="0" borderId="104" xfId="0" applyFont="1" applyBorder="1" applyProtection="1">
      <protection locked="0"/>
    </xf>
    <xf numFmtId="0" fontId="35" fillId="11" borderId="121" xfId="0" applyFont="1" applyFill="1" applyBorder="1" applyAlignment="1">
      <alignment horizontal="left"/>
    </xf>
    <xf numFmtId="0" fontId="35" fillId="11" borderId="102" xfId="0" applyFont="1" applyFill="1" applyBorder="1" applyAlignment="1">
      <alignment horizontal="left"/>
    </xf>
    <xf numFmtId="0" fontId="35" fillId="11" borderId="97" xfId="0" applyFont="1" applyFill="1" applyBorder="1" applyAlignment="1">
      <alignment horizontal="left"/>
    </xf>
    <xf numFmtId="0" fontId="0" fillId="0" borderId="105" xfId="0" applyBorder="1" applyProtection="1">
      <protection locked="0"/>
    </xf>
    <xf numFmtId="0" fontId="28" fillId="11" borderId="84" xfId="0" applyFont="1" applyFill="1" applyBorder="1" applyProtection="1">
      <protection locked="0"/>
    </xf>
    <xf numFmtId="0" fontId="38" fillId="7" borderId="127" xfId="2" applyFont="1" applyBorder="1" applyProtection="1">
      <protection locked="0"/>
    </xf>
    <xf numFmtId="0" fontId="35" fillId="11" borderId="130" xfId="0" applyFont="1" applyFill="1" applyBorder="1"/>
    <xf numFmtId="0" fontId="35" fillId="11" borderId="125" xfId="0" applyFont="1" applyFill="1" applyBorder="1" applyAlignment="1">
      <alignment horizontal="center"/>
    </xf>
    <xf numFmtId="0" fontId="29" fillId="11" borderId="97" xfId="0" applyFont="1" applyFill="1" applyBorder="1" applyAlignment="1" applyProtection="1">
      <alignment horizontal="center"/>
      <protection locked="0"/>
    </xf>
    <xf numFmtId="0" fontId="35" fillId="11" borderId="131" xfId="0" applyFont="1" applyFill="1" applyBorder="1" applyAlignment="1" applyProtection="1">
      <alignment horizontal="center"/>
      <protection locked="0"/>
    </xf>
    <xf numFmtId="0" fontId="35" fillId="0" borderId="0" xfId="0" applyFont="1" applyProtection="1">
      <protection locked="0"/>
    </xf>
    <xf numFmtId="0" fontId="35" fillId="11" borderId="0" xfId="0" applyFont="1" applyFill="1"/>
    <xf numFmtId="0" fontId="35" fillId="11" borderId="132" xfId="0" applyFont="1" applyFill="1" applyBorder="1" applyAlignment="1">
      <alignment horizontal="center"/>
    </xf>
    <xf numFmtId="0" fontId="0" fillId="11" borderId="133" xfId="0" applyFill="1" applyBorder="1" applyProtection="1">
      <protection locked="0"/>
    </xf>
    <xf numFmtId="0" fontId="0" fillId="11" borderId="91" xfId="0" applyFill="1" applyBorder="1" applyProtection="1">
      <protection locked="0"/>
    </xf>
    <xf numFmtId="165" fontId="29" fillId="11" borderId="136" xfId="0" applyNumberFormat="1" applyFont="1" applyFill="1" applyBorder="1" applyProtection="1">
      <protection locked="0"/>
    </xf>
    <xf numFmtId="0" fontId="28" fillId="0" borderId="84" xfId="0" applyFont="1" applyBorder="1" applyProtection="1">
      <protection locked="0"/>
    </xf>
    <xf numFmtId="0" fontId="28" fillId="0" borderId="85" xfId="0" applyFont="1" applyBorder="1" applyProtection="1">
      <protection locked="0"/>
    </xf>
    <xf numFmtId="0" fontId="28" fillId="11" borderId="82" xfId="0" applyFont="1" applyFill="1" applyBorder="1" applyProtection="1">
      <protection locked="0"/>
    </xf>
    <xf numFmtId="0" fontId="29" fillId="11" borderId="119" xfId="0" applyFont="1" applyFill="1" applyBorder="1" applyProtection="1"/>
    <xf numFmtId="44" fontId="19" fillId="0" borderId="119" xfId="2" applyNumberFormat="1" applyFill="1" applyBorder="1" applyProtection="1">
      <protection locked="0" hidden="1"/>
    </xf>
    <xf numFmtId="44" fontId="19" fillId="0" borderId="119" xfId="2" applyNumberFormat="1" applyFill="1" applyBorder="1" applyProtection="1">
      <protection hidden="1"/>
    </xf>
    <xf numFmtId="0" fontId="0" fillId="0" borderId="82" xfId="0" applyBorder="1" applyProtection="1">
      <protection locked="0"/>
    </xf>
    <xf numFmtId="0" fontId="35" fillId="11" borderId="123" xfId="0" applyFont="1" applyFill="1" applyBorder="1" applyAlignment="1">
      <alignment horizontal="left"/>
    </xf>
    <xf numFmtId="0" fontId="27" fillId="12" borderId="137" xfId="2" applyFont="1" applyFill="1" applyBorder="1" applyAlignment="1" applyProtection="1">
      <alignment horizontal="center"/>
    </xf>
    <xf numFmtId="49" fontId="28" fillId="11" borderId="137" xfId="0" applyNumberFormat="1" applyFont="1" applyFill="1" applyBorder="1" applyProtection="1">
      <protection locked="0"/>
    </xf>
    <xf numFmtId="49" fontId="28" fillId="11" borderId="137" xfId="0" applyNumberFormat="1" applyFont="1" applyFill="1" applyBorder="1" applyAlignment="1" applyProtection="1">
      <alignment horizontal="center"/>
      <protection locked="0"/>
    </xf>
    <xf numFmtId="9" fontId="20" fillId="8" borderId="121" xfId="3" applyNumberFormat="1" applyBorder="1" applyProtection="1">
      <protection locked="0" hidden="1"/>
    </xf>
    <xf numFmtId="9" fontId="20" fillId="8" borderId="121" xfId="3" applyNumberFormat="1" applyBorder="1" applyProtection="1">
      <protection locked="0"/>
    </xf>
    <xf numFmtId="0" fontId="28" fillId="0" borderId="88" xfId="0" applyFont="1" applyBorder="1" applyProtection="1">
      <protection locked="0"/>
    </xf>
    <xf numFmtId="0" fontId="28" fillId="11" borderId="0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29" fillId="11" borderId="132" xfId="0" applyFont="1" applyFill="1" applyBorder="1" applyAlignment="1" applyProtection="1">
      <alignment horizontal="center"/>
      <protection locked="0"/>
    </xf>
    <xf numFmtId="0" fontId="29" fillId="11" borderId="127" xfId="0" applyFont="1" applyFill="1" applyBorder="1" applyAlignment="1" applyProtection="1">
      <alignment horizontal="center"/>
      <protection locked="0"/>
    </xf>
    <xf numFmtId="0" fontId="35" fillId="11" borderId="138" xfId="0" applyFont="1" applyFill="1" applyBorder="1" applyAlignment="1">
      <alignment horizontal="center"/>
    </xf>
    <xf numFmtId="0" fontId="35" fillId="11" borderId="121" xfId="0" applyFont="1" applyFill="1" applyBorder="1" applyAlignment="1">
      <alignment horizontal="center"/>
    </xf>
    <xf numFmtId="0" fontId="35" fillId="11" borderId="102" xfId="0" applyFont="1" applyFill="1" applyBorder="1" applyAlignment="1">
      <alignment horizontal="center"/>
    </xf>
    <xf numFmtId="0" fontId="39" fillId="11" borderId="139" xfId="0" applyFont="1" applyFill="1" applyBorder="1" applyAlignment="1" applyProtection="1">
      <alignment horizontal="center"/>
      <protection locked="0"/>
    </xf>
    <xf numFmtId="0" fontId="28" fillId="11" borderId="140" xfId="0" applyFont="1" applyFill="1" applyBorder="1" applyAlignment="1" applyProtection="1">
      <alignment horizontal="center"/>
      <protection locked="0"/>
    </xf>
    <xf numFmtId="0" fontId="28" fillId="11" borderId="106" xfId="0" applyFont="1" applyFill="1" applyBorder="1" applyAlignment="1" applyProtection="1">
      <alignment horizontal="center"/>
      <protection locked="0"/>
    </xf>
    <xf numFmtId="0" fontId="27" fillId="12" borderId="91" xfId="2" applyFont="1" applyFill="1" applyBorder="1" applyAlignment="1" applyProtection="1">
      <alignment horizontal="center"/>
    </xf>
    <xf numFmtId="0" fontId="27" fillId="12" borderId="0" xfId="2" applyFont="1" applyFill="1" applyBorder="1" applyAlignment="1" applyProtection="1">
      <alignment horizontal="center"/>
    </xf>
    <xf numFmtId="0" fontId="27" fillId="12" borderId="82" xfId="2" applyFont="1" applyFill="1" applyBorder="1" applyAlignment="1" applyProtection="1">
      <alignment horizontal="center"/>
    </xf>
    <xf numFmtId="0" fontId="27" fillId="12" borderId="128" xfId="2" applyFont="1" applyFill="1" applyBorder="1" applyAlignment="1" applyProtection="1">
      <alignment horizontal="center"/>
    </xf>
    <xf numFmtId="0" fontId="27" fillId="12" borderId="118" xfId="2" applyFont="1" applyFill="1" applyBorder="1" applyAlignment="1" applyProtection="1">
      <alignment horizontal="center"/>
    </xf>
    <xf numFmtId="0" fontId="27" fillId="12" borderId="129" xfId="2" applyFont="1" applyFill="1" applyBorder="1" applyAlignment="1" applyProtection="1">
      <alignment horizontal="center"/>
    </xf>
    <xf numFmtId="0" fontId="35" fillId="11" borderId="91" xfId="0" applyFont="1" applyFill="1" applyBorder="1" applyAlignment="1">
      <alignment horizontal="center"/>
    </xf>
    <xf numFmtId="0" fontId="35" fillId="11" borderId="124" xfId="0" applyFont="1" applyFill="1" applyBorder="1" applyAlignment="1">
      <alignment horizontal="center"/>
    </xf>
    <xf numFmtId="0" fontId="35" fillId="11" borderId="8" xfId="0" applyFont="1" applyFill="1" applyBorder="1" applyAlignment="1">
      <alignment horizontal="center"/>
    </xf>
    <xf numFmtId="0" fontId="35" fillId="11" borderId="82" xfId="0" applyFont="1" applyFill="1" applyBorder="1" applyAlignment="1">
      <alignment horizontal="center"/>
    </xf>
    <xf numFmtId="0" fontId="0" fillId="11" borderId="8" xfId="0" applyFill="1" applyBorder="1" applyAlignment="1" applyProtection="1">
      <alignment horizontal="center"/>
      <protection locked="0"/>
    </xf>
    <xf numFmtId="0" fontId="0" fillId="11" borderId="0" xfId="0" applyFill="1" applyAlignment="1" applyProtection="1">
      <alignment horizontal="center"/>
      <protection locked="0"/>
    </xf>
    <xf numFmtId="0" fontId="0" fillId="11" borderId="82" xfId="0" applyFill="1" applyBorder="1" applyAlignment="1" applyProtection="1">
      <alignment horizontal="center"/>
      <protection locked="0"/>
    </xf>
    <xf numFmtId="0" fontId="0" fillId="11" borderId="134" xfId="0" applyFill="1" applyBorder="1" applyAlignment="1" applyProtection="1">
      <alignment horizontal="center"/>
      <protection locked="0"/>
    </xf>
    <xf numFmtId="0" fontId="0" fillId="11" borderId="84" xfId="0" applyFill="1" applyBorder="1" applyAlignment="1" applyProtection="1">
      <alignment horizontal="center"/>
      <protection locked="0"/>
    </xf>
    <xf numFmtId="0" fontId="0" fillId="11" borderId="85" xfId="0" applyFill="1" applyBorder="1" applyAlignment="1" applyProtection="1">
      <alignment horizontal="center"/>
      <protection locked="0"/>
    </xf>
    <xf numFmtId="165" fontId="29" fillId="11" borderId="91" xfId="0" applyNumberFormat="1" applyFont="1" applyFill="1" applyBorder="1" applyAlignment="1" applyProtection="1">
      <alignment horizontal="center"/>
      <protection locked="0"/>
    </xf>
    <xf numFmtId="165" fontId="29" fillId="11" borderId="124" xfId="0" applyNumberFormat="1" applyFont="1" applyFill="1" applyBorder="1" applyAlignment="1" applyProtection="1">
      <alignment horizontal="center"/>
      <protection locked="0"/>
    </xf>
    <xf numFmtId="165" fontId="29" fillId="11" borderId="90" xfId="0" applyNumberFormat="1" applyFont="1" applyFill="1" applyBorder="1" applyAlignment="1" applyProtection="1">
      <alignment horizontal="center"/>
      <protection locked="0"/>
    </xf>
    <xf numFmtId="165" fontId="29" fillId="11" borderId="135" xfId="0" applyNumberFormat="1" applyFont="1" applyFill="1" applyBorder="1" applyAlignment="1" applyProtection="1">
      <alignment horizontal="center"/>
      <protection locked="0"/>
    </xf>
    <xf numFmtId="0" fontId="29" fillId="11" borderId="8" xfId="0" applyFont="1" applyFill="1" applyBorder="1" applyAlignment="1" applyProtection="1">
      <alignment horizontal="center"/>
      <protection locked="0"/>
    </xf>
    <xf numFmtId="0" fontId="29" fillId="11" borderId="82" xfId="0" applyFont="1" applyFill="1" applyBorder="1" applyAlignment="1" applyProtection="1">
      <alignment horizontal="center"/>
      <protection locked="0"/>
    </xf>
    <xf numFmtId="0" fontId="29" fillId="11" borderId="134" xfId="0" applyFont="1" applyFill="1" applyBorder="1" applyAlignment="1" applyProtection="1">
      <alignment horizontal="center"/>
      <protection locked="0"/>
    </xf>
    <xf numFmtId="0" fontId="29" fillId="11" borderId="85" xfId="0" applyFont="1" applyFill="1" applyBorder="1" applyAlignment="1" applyProtection="1">
      <alignment horizontal="center"/>
      <protection locked="0"/>
    </xf>
    <xf numFmtId="0" fontId="29" fillId="0" borderId="0" xfId="0" applyFont="1" applyAlignment="1" applyProtection="1">
      <alignment horizontal="center"/>
      <protection locked="0"/>
    </xf>
    <xf numFmtId="0" fontId="29" fillId="0" borderId="84" xfId="0" applyFont="1" applyBorder="1" applyAlignment="1" applyProtection="1">
      <alignment horizontal="center"/>
      <protection locked="0"/>
    </xf>
    <xf numFmtId="0" fontId="35" fillId="0" borderId="114" xfId="0" applyFont="1" applyBorder="1" applyAlignment="1">
      <alignment horizontal="center" vertical="center"/>
    </xf>
    <xf numFmtId="0" fontId="35" fillId="0" borderId="123" xfId="0" applyFont="1" applyBorder="1" applyAlignment="1">
      <alignment horizontal="center" vertical="center"/>
    </xf>
    <xf numFmtId="0" fontId="35" fillId="0" borderId="120" xfId="0" applyFont="1" applyBorder="1" applyAlignment="1">
      <alignment horizontal="center" vertical="center"/>
    </xf>
    <xf numFmtId="0" fontId="35" fillId="0" borderId="124" xfId="0" applyFont="1" applyBorder="1" applyAlignment="1">
      <alignment horizontal="center" vertical="center"/>
    </xf>
    <xf numFmtId="0" fontId="35" fillId="0" borderId="122" xfId="0" applyFont="1" applyBorder="1" applyAlignment="1">
      <alignment horizontal="center" vertical="center"/>
    </xf>
    <xf numFmtId="0" fontId="35" fillId="0" borderId="117" xfId="0" applyFont="1" applyBorder="1" applyAlignment="1">
      <alignment horizontal="center" vertical="center"/>
    </xf>
    <xf numFmtId="0" fontId="35" fillId="0" borderId="121" xfId="0" applyFont="1" applyBorder="1"/>
    <xf numFmtId="0" fontId="35" fillId="0" borderId="102" xfId="0" applyFont="1" applyBorder="1"/>
    <xf numFmtId="167" fontId="29" fillId="11" borderId="104" xfId="0" applyNumberFormat="1" applyFont="1" applyFill="1" applyBorder="1" applyProtection="1">
      <protection locked="0"/>
    </xf>
    <xf numFmtId="167" fontId="29" fillId="11" borderId="102" xfId="0" applyNumberFormat="1" applyFont="1" applyFill="1" applyBorder="1" applyProtection="1">
      <protection locked="0"/>
    </xf>
    <xf numFmtId="0" fontId="35" fillId="0" borderId="125" xfId="0" applyFont="1" applyBorder="1" applyAlignment="1">
      <alignment horizontal="left" vertical="top" wrapText="1"/>
    </xf>
    <xf numFmtId="0" fontId="35" fillId="0" borderId="8" xfId="0" applyFont="1" applyBorder="1" applyAlignment="1">
      <alignment horizontal="left" vertical="top" wrapText="1"/>
    </xf>
    <xf numFmtId="0" fontId="35" fillId="0" borderId="116" xfId="0" applyFont="1" applyBorder="1" applyAlignment="1">
      <alignment horizontal="left" vertical="top" wrapText="1"/>
    </xf>
    <xf numFmtId="0" fontId="35" fillId="0" borderId="83" xfId="0" applyFont="1" applyBorder="1" applyAlignment="1">
      <alignment horizontal="center" vertical="center" wrapText="1"/>
    </xf>
    <xf numFmtId="0" fontId="35" fillId="0" borderId="101" xfId="0" applyFont="1" applyBorder="1" applyAlignment="1">
      <alignment horizontal="center" vertical="center" wrapText="1"/>
    </xf>
    <xf numFmtId="0" fontId="35" fillId="0" borderId="86" xfId="0" applyFont="1" applyBorder="1" applyAlignment="1">
      <alignment horizontal="center" vertical="center" wrapText="1"/>
    </xf>
    <xf numFmtId="0" fontId="35" fillId="0" borderId="114" xfId="0" applyFont="1" applyBorder="1" applyAlignment="1">
      <alignment horizontal="center" vertical="center" wrapText="1"/>
    </xf>
    <xf numFmtId="0" fontId="35" fillId="0" borderId="123" xfId="0" applyFont="1" applyBorder="1" applyAlignment="1">
      <alignment horizontal="center" vertical="center" wrapText="1"/>
    </xf>
    <xf numFmtId="0" fontId="35" fillId="0" borderId="120" xfId="0" applyFont="1" applyBorder="1" applyAlignment="1">
      <alignment horizontal="center" vertical="center" wrapText="1"/>
    </xf>
    <xf numFmtId="0" fontId="35" fillId="0" borderId="124" xfId="0" applyFont="1" applyBorder="1" applyAlignment="1">
      <alignment horizontal="center" vertical="center" wrapText="1"/>
    </xf>
    <xf numFmtId="0" fontId="35" fillId="0" borderId="122" xfId="0" applyFont="1" applyBorder="1" applyAlignment="1">
      <alignment horizontal="center" vertical="center" wrapText="1"/>
    </xf>
    <xf numFmtId="0" fontId="35" fillId="0" borderId="117" xfId="0" applyFont="1" applyBorder="1" applyAlignment="1">
      <alignment horizontal="center" vertical="center" wrapText="1"/>
    </xf>
    <xf numFmtId="0" fontId="35" fillId="0" borderId="104" xfId="0" applyFont="1" applyBorder="1"/>
    <xf numFmtId="167" fontId="19" fillId="7" borderId="104" xfId="2" applyNumberFormat="1" applyBorder="1" applyProtection="1">
      <protection hidden="1"/>
    </xf>
    <xf numFmtId="167" fontId="19" fillId="7" borderId="102" xfId="2" applyNumberFormat="1" applyBorder="1" applyProtection="1">
      <protection hidden="1"/>
    </xf>
    <xf numFmtId="0" fontId="35" fillId="11" borderId="126" xfId="0" applyFont="1" applyFill="1" applyBorder="1" applyAlignment="1">
      <alignment horizontal="center" vertical="center" wrapText="1"/>
    </xf>
    <xf numFmtId="0" fontId="35" fillId="11" borderId="102" xfId="0" applyFont="1" applyFill="1" applyBorder="1" applyAlignment="1">
      <alignment horizontal="center" vertical="center" wrapText="1"/>
    </xf>
    <xf numFmtId="0" fontId="35" fillId="0" borderId="104" xfId="0" applyFont="1" applyBorder="1" applyAlignment="1">
      <alignment horizontal="left" vertical="center"/>
    </xf>
    <xf numFmtId="0" fontId="35" fillId="0" borderId="102" xfId="0" applyFont="1" applyBorder="1" applyAlignment="1">
      <alignment horizontal="left" vertical="center"/>
    </xf>
    <xf numFmtId="167" fontId="37" fillId="11" borderId="104" xfId="0" applyNumberFormat="1" applyFont="1" applyFill="1" applyBorder="1" applyProtection="1">
      <protection locked="0"/>
    </xf>
    <xf numFmtId="167" fontId="37" fillId="11" borderId="102" xfId="0" applyNumberFormat="1" applyFont="1" applyFill="1" applyBorder="1" applyProtection="1">
      <protection locked="0"/>
    </xf>
    <xf numFmtId="0" fontId="22" fillId="10" borderId="81" xfId="5"/>
    <xf numFmtId="0" fontId="32" fillId="0" borderId="110" xfId="0" applyFont="1" applyBorder="1" applyAlignment="1">
      <alignment horizontal="center" vertical="center" wrapText="1"/>
    </xf>
    <xf numFmtId="0" fontId="32" fillId="0" borderId="113" xfId="0" applyFont="1" applyBorder="1" applyAlignment="1">
      <alignment horizontal="center" vertical="center" wrapText="1"/>
    </xf>
    <xf numFmtId="0" fontId="32" fillId="0" borderId="91" xfId="0" applyFont="1" applyBorder="1" applyAlignment="1">
      <alignment horizontal="center" vertical="center" wrapText="1"/>
    </xf>
    <xf numFmtId="0" fontId="32" fillId="0" borderId="90" xfId="0" applyFont="1" applyBorder="1" applyAlignment="1">
      <alignment horizontal="center" vertical="center" wrapText="1"/>
    </xf>
    <xf numFmtId="0" fontId="27" fillId="12" borderId="111" xfId="2" applyFont="1" applyFill="1" applyBorder="1" applyAlignment="1" applyProtection="1">
      <alignment horizontal="center"/>
    </xf>
    <xf numFmtId="0" fontId="27" fillId="12" borderId="93" xfId="2" applyFont="1" applyFill="1" applyBorder="1" applyAlignment="1" applyProtection="1">
      <alignment horizontal="center"/>
    </xf>
    <xf numFmtId="0" fontId="27" fillId="12" borderId="94" xfId="2" applyFont="1" applyFill="1" applyBorder="1" applyAlignment="1" applyProtection="1">
      <alignment horizontal="center"/>
    </xf>
    <xf numFmtId="0" fontId="35" fillId="0" borderId="97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18" xfId="0" applyFont="1" applyBorder="1" applyAlignment="1">
      <alignment horizontal="center" vertical="center"/>
    </xf>
    <xf numFmtId="0" fontId="35" fillId="0" borderId="104" xfId="0" applyFont="1" applyBorder="1" applyAlignment="1" applyProtection="1">
      <alignment horizontal="left"/>
      <protection locked="0"/>
    </xf>
    <xf numFmtId="0" fontId="35" fillId="0" borderId="102" xfId="0" applyFont="1" applyBorder="1" applyAlignment="1" applyProtection="1">
      <alignment horizontal="left"/>
      <protection locked="0"/>
    </xf>
    <xf numFmtId="0" fontId="35" fillId="0" borderId="104" xfId="0" applyFont="1" applyBorder="1" applyAlignment="1">
      <alignment horizontal="left"/>
    </xf>
    <xf numFmtId="0" fontId="35" fillId="0" borderId="102" xfId="0" applyFont="1" applyBorder="1" applyAlignment="1">
      <alignment horizontal="left"/>
    </xf>
    <xf numFmtId="0" fontId="21" fillId="9" borderId="104" xfId="4" applyBorder="1"/>
    <xf numFmtId="0" fontId="21" fillId="9" borderId="102" xfId="4" applyBorder="1"/>
    <xf numFmtId="0" fontId="30" fillId="11" borderId="96" xfId="6" applyFill="1" applyBorder="1" applyAlignment="1" applyProtection="1">
      <alignment horizontal="center"/>
      <protection locked="0"/>
    </xf>
    <xf numFmtId="0" fontId="27" fillId="11" borderId="97" xfId="2" applyFont="1" applyFill="1" applyBorder="1" applyAlignment="1" applyProtection="1">
      <alignment horizontal="center"/>
      <protection locked="0"/>
    </xf>
    <xf numFmtId="0" fontId="27" fillId="11" borderId="90" xfId="2" applyFont="1" applyFill="1" applyBorder="1" applyAlignment="1" applyProtection="1">
      <alignment horizontal="center"/>
      <protection locked="0"/>
    </xf>
    <xf numFmtId="0" fontId="27" fillId="11" borderId="84" xfId="2" applyFont="1" applyFill="1" applyBorder="1" applyAlignment="1" applyProtection="1">
      <alignment horizontal="center"/>
      <protection locked="0"/>
    </xf>
    <xf numFmtId="0" fontId="27" fillId="11" borderId="0" xfId="2" applyFont="1" applyFill="1" applyBorder="1" applyAlignment="1" applyProtection="1">
      <alignment horizontal="center" wrapText="1"/>
      <protection locked="0"/>
    </xf>
    <xf numFmtId="0" fontId="27" fillId="11" borderId="82" xfId="2" applyFont="1" applyFill="1" applyBorder="1" applyAlignment="1" applyProtection="1">
      <alignment horizontal="center" wrapText="1"/>
      <protection locked="0"/>
    </xf>
    <xf numFmtId="0" fontId="27" fillId="11" borderId="84" xfId="2" applyFont="1" applyFill="1" applyBorder="1" applyAlignment="1" applyProtection="1">
      <alignment horizontal="center" wrapText="1"/>
      <protection locked="0"/>
    </xf>
    <xf numFmtId="0" fontId="27" fillId="11" borderId="85" xfId="2" applyFont="1" applyFill="1" applyBorder="1" applyAlignment="1" applyProtection="1">
      <alignment horizontal="center" wrapText="1"/>
      <protection locked="0"/>
    </xf>
    <xf numFmtId="0" fontId="32" fillId="0" borderId="83" xfId="0" applyFont="1" applyBorder="1" applyAlignment="1">
      <alignment horizontal="center" vertical="center" wrapText="1"/>
    </xf>
    <xf numFmtId="0" fontId="32" fillId="0" borderId="101" xfId="0" applyFont="1" applyBorder="1" applyAlignment="1">
      <alignment horizontal="center" vertical="center" wrapText="1"/>
    </xf>
    <xf numFmtId="0" fontId="32" fillId="0" borderId="86" xfId="0" applyFont="1" applyBorder="1" applyAlignment="1">
      <alignment horizontal="center" vertical="center" wrapText="1"/>
    </xf>
    <xf numFmtId="0" fontId="27" fillId="12" borderId="94" xfId="2" applyFont="1" applyFill="1" applyBorder="1" applyAlignment="1" applyProtection="1">
      <alignment horizontal="center" vertical="center"/>
    </xf>
    <xf numFmtId="0" fontId="27" fillId="12" borderId="99" xfId="2" applyFont="1" applyFill="1" applyBorder="1" applyAlignment="1" applyProtection="1">
      <alignment horizontal="center" vertical="center"/>
    </xf>
    <xf numFmtId="0" fontId="27" fillId="12" borderId="92" xfId="2" applyFont="1" applyFill="1" applyBorder="1" applyAlignment="1" applyProtection="1">
      <alignment horizontal="center" vertical="center" wrapText="1"/>
    </xf>
    <xf numFmtId="0" fontId="29" fillId="0" borderId="104" xfId="0" applyFont="1" applyBorder="1" applyAlignment="1" applyProtection="1">
      <alignment wrapText="1"/>
      <protection locked="0"/>
    </xf>
    <xf numFmtId="0" fontId="29" fillId="0" borderId="102" xfId="0" applyFont="1" applyBorder="1" applyAlignment="1" applyProtection="1">
      <alignment wrapText="1"/>
      <protection locked="0"/>
    </xf>
    <xf numFmtId="0" fontId="29" fillId="0" borderId="108" xfId="0" applyFont="1" applyBorder="1" applyAlignment="1" applyProtection="1">
      <alignment wrapText="1"/>
      <protection locked="0"/>
    </xf>
    <xf numFmtId="0" fontId="29" fillId="0" borderId="106" xfId="0" applyFont="1" applyBorder="1" applyAlignment="1" applyProtection="1">
      <alignment wrapText="1"/>
      <protection locked="0"/>
    </xf>
    <xf numFmtId="49" fontId="30" fillId="0" borderId="90" xfId="6" applyNumberFormat="1" applyBorder="1" applyAlignment="1" applyProtection="1">
      <alignment horizontal="left"/>
      <protection locked="0"/>
    </xf>
    <xf numFmtId="49" fontId="29" fillId="0" borderId="84" xfId="0" applyNumberFormat="1" applyFont="1" applyBorder="1" applyAlignment="1" applyProtection="1">
      <alignment horizontal="left"/>
      <protection locked="0"/>
    </xf>
    <xf numFmtId="49" fontId="29" fillId="0" borderId="85" xfId="0" applyNumberFormat="1" applyFont="1" applyBorder="1" applyAlignment="1" applyProtection="1">
      <alignment horizontal="left"/>
      <protection locked="0"/>
    </xf>
    <xf numFmtId="0" fontId="29" fillId="0" borderId="90" xfId="0" applyFont="1" applyBorder="1" applyAlignment="1" applyProtection="1">
      <alignment horizontal="center"/>
      <protection locked="0"/>
    </xf>
    <xf numFmtId="0" fontId="29" fillId="0" borderId="85" xfId="0" applyFont="1" applyBorder="1" applyAlignment="1" applyProtection="1">
      <alignment horizontal="center"/>
      <protection locked="0"/>
    </xf>
    <xf numFmtId="0" fontId="27" fillId="12" borderId="92" xfId="2" applyFont="1" applyFill="1" applyBorder="1" applyAlignment="1" applyProtection="1">
      <alignment horizontal="left"/>
    </xf>
    <xf numFmtId="0" fontId="27" fillId="12" borderId="93" xfId="2" applyFont="1" applyFill="1" applyBorder="1" applyAlignment="1" applyProtection="1">
      <alignment horizontal="left"/>
    </xf>
    <xf numFmtId="0" fontId="27" fillId="0" borderId="93" xfId="2" applyFont="1" applyFill="1" applyBorder="1" applyAlignment="1" applyProtection="1">
      <alignment horizontal="center"/>
      <protection locked="0"/>
    </xf>
    <xf numFmtId="0" fontId="27" fillId="0" borderId="94" xfId="2" applyFont="1" applyFill="1" applyBorder="1" applyAlignment="1" applyProtection="1">
      <alignment horizontal="center"/>
      <protection locked="0"/>
    </xf>
    <xf numFmtId="0" fontId="27" fillId="12" borderId="95" xfId="2" applyFont="1" applyFill="1" applyBorder="1" applyAlignment="1" applyProtection="1">
      <alignment horizontal="left"/>
    </xf>
    <xf numFmtId="0" fontId="27" fillId="12" borderId="88" xfId="2" applyFont="1" applyFill="1" applyBorder="1" applyAlignment="1" applyProtection="1">
      <alignment horizontal="left"/>
    </xf>
    <xf numFmtId="0" fontId="27" fillId="12" borderId="89" xfId="2" applyFont="1" applyFill="1" applyBorder="1" applyAlignment="1" applyProtection="1">
      <alignment horizontal="left"/>
    </xf>
    <xf numFmtId="1" fontId="29" fillId="0" borderId="90" xfId="0" applyNumberFormat="1" applyFont="1" applyBorder="1" applyAlignment="1" applyProtection="1">
      <alignment horizontal="center" vertical="center"/>
      <protection locked="0"/>
    </xf>
    <xf numFmtId="1" fontId="29" fillId="0" borderId="84" xfId="0" applyNumberFormat="1" applyFont="1" applyBorder="1" applyAlignment="1" applyProtection="1">
      <alignment horizontal="center" vertical="center"/>
      <protection locked="0"/>
    </xf>
    <xf numFmtId="1" fontId="29" fillId="0" borderId="85" xfId="0" applyNumberFormat="1" applyFont="1" applyBorder="1" applyAlignment="1" applyProtection="1">
      <alignment horizontal="center" vertical="center"/>
      <protection locked="0"/>
    </xf>
    <xf numFmtId="49" fontId="29" fillId="0" borderId="90" xfId="0" applyNumberFormat="1" applyFont="1" applyBorder="1" applyAlignment="1" applyProtection="1">
      <alignment horizontal="center" vertical="center"/>
      <protection locked="0"/>
    </xf>
    <xf numFmtId="49" fontId="29" fillId="0" borderId="84" xfId="0" applyNumberFormat="1" applyFont="1" applyBorder="1" applyAlignment="1" applyProtection="1">
      <alignment horizontal="center" vertical="center"/>
      <protection locked="0"/>
    </xf>
    <xf numFmtId="49" fontId="29" fillId="0" borderId="85" xfId="0" applyNumberFormat="1" applyFont="1" applyBorder="1" applyAlignment="1" applyProtection="1">
      <alignment horizontal="center" vertical="center"/>
      <protection locked="0"/>
    </xf>
    <xf numFmtId="0" fontId="27" fillId="12" borderId="87" xfId="2" applyFont="1" applyFill="1" applyBorder="1" applyAlignment="1" applyProtection="1">
      <alignment horizontal="left"/>
    </xf>
    <xf numFmtId="0" fontId="27" fillId="12" borderId="87" xfId="2" applyFont="1" applyFill="1" applyBorder="1" applyAlignment="1" applyProtection="1">
      <alignment horizontal="center"/>
    </xf>
    <xf numFmtId="0" fontId="27" fillId="12" borderId="89" xfId="2" applyFont="1" applyFill="1" applyBorder="1" applyAlignment="1" applyProtection="1">
      <alignment horizontal="center"/>
    </xf>
    <xf numFmtId="0" fontId="27" fillId="12" borderId="88" xfId="2" applyFont="1" applyFill="1" applyBorder="1" applyAlignment="1" applyProtection="1">
      <alignment horizontal="center"/>
    </xf>
    <xf numFmtId="0" fontId="24" fillId="11" borderId="0" xfId="1" applyFont="1" applyFill="1" applyBorder="1" applyAlignment="1" applyProtection="1">
      <alignment vertical="center"/>
      <protection locked="0"/>
    </xf>
    <xf numFmtId="0" fontId="24" fillId="11" borderId="84" xfId="1" applyFont="1" applyFill="1" applyBorder="1" applyAlignment="1" applyProtection="1">
      <alignment vertical="center"/>
      <protection locked="0"/>
    </xf>
    <xf numFmtId="0" fontId="24" fillId="11" borderId="0" xfId="1" applyFont="1" applyFill="1" applyBorder="1" applyAlignment="1" applyProtection="1">
      <alignment horizontal="center"/>
      <protection locked="0"/>
    </xf>
    <xf numFmtId="0" fontId="24" fillId="11" borderId="84" xfId="1" applyFont="1" applyFill="1" applyBorder="1" applyAlignment="1" applyProtection="1">
      <alignment horizontal="center"/>
      <protection locked="0"/>
    </xf>
    <xf numFmtId="0" fontId="26" fillId="11" borderId="0" xfId="1" applyFont="1" applyFill="1" applyBorder="1" applyAlignment="1" applyProtection="1">
      <alignment horizontal="center" vertical="center"/>
    </xf>
    <xf numFmtId="0" fontId="26" fillId="11" borderId="82" xfId="1" applyFont="1" applyFill="1" applyBorder="1" applyAlignment="1" applyProtection="1">
      <alignment horizontal="center" vertical="center"/>
    </xf>
    <xf numFmtId="0" fontId="26" fillId="11" borderId="84" xfId="1" applyFont="1" applyFill="1" applyBorder="1" applyAlignment="1" applyProtection="1">
      <alignment horizontal="center" vertical="center"/>
    </xf>
    <xf numFmtId="0" fontId="26" fillId="11" borderId="85" xfId="1" applyFont="1" applyFill="1" applyBorder="1" applyAlignment="1" applyProtection="1">
      <alignment horizontal="center" vertical="center"/>
    </xf>
    <xf numFmtId="0" fontId="7" fillId="5" borderId="71" xfId="0" applyFont="1" applyFill="1" applyBorder="1" applyAlignment="1">
      <alignment horizontal="left" vertical="center"/>
    </xf>
    <xf numFmtId="0" fontId="7" fillId="5" borderId="55" xfId="0" applyFont="1" applyFill="1" applyBorder="1" applyAlignment="1">
      <alignment horizontal="left"/>
    </xf>
    <xf numFmtId="0" fontId="0" fillId="5" borderId="56" xfId="0" applyFill="1" applyBorder="1" applyAlignment="1">
      <alignment horizontal="left"/>
    </xf>
    <xf numFmtId="0" fontId="7" fillId="5" borderId="9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left"/>
    </xf>
    <xf numFmtId="0" fontId="7" fillId="5" borderId="66" xfId="0" applyFont="1" applyFill="1" applyBorder="1" applyAlignment="1">
      <alignment horizontal="left"/>
    </xf>
    <xf numFmtId="0" fontId="7" fillId="0" borderId="72" xfId="0" applyFont="1" applyFill="1" applyBorder="1" applyAlignment="1" applyProtection="1">
      <alignment horizontal="left" vertical="center"/>
      <protection locked="0"/>
    </xf>
    <xf numFmtId="0" fontId="0" fillId="0" borderId="18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7" fillId="0" borderId="10" xfId="0" applyFont="1" applyFill="1" applyBorder="1" applyAlignment="1" applyProtection="1">
      <alignment horizontal="left" vertical="center"/>
      <protection locked="0"/>
    </xf>
    <xf numFmtId="0" fontId="8" fillId="0" borderId="10" xfId="0" applyFont="1" applyFill="1" applyBorder="1" applyAlignment="1" applyProtection="1">
      <alignment horizontal="left"/>
      <protection locked="0"/>
    </xf>
    <xf numFmtId="0" fontId="8" fillId="0" borderId="7" xfId="0" applyFont="1" applyFill="1" applyBorder="1" applyAlignment="1" applyProtection="1">
      <alignment horizontal="left"/>
      <protection locked="0"/>
    </xf>
    <xf numFmtId="0" fontId="10" fillId="0" borderId="2" xfId="0" applyFont="1" applyFill="1" applyBorder="1" applyAlignment="1">
      <alignment horizontal="right" vertical="center"/>
    </xf>
    <xf numFmtId="0" fontId="7" fillId="5" borderId="73" xfId="0" applyFont="1" applyFill="1" applyBorder="1" applyAlignment="1">
      <alignment horizontal="left" vertical="center"/>
    </xf>
    <xf numFmtId="0" fontId="0" fillId="5" borderId="3" xfId="0" applyFill="1" applyBorder="1" applyAlignment="1"/>
    <xf numFmtId="0" fontId="0" fillId="5" borderId="4" xfId="0" applyFill="1" applyBorder="1" applyAlignment="1"/>
    <xf numFmtId="0" fontId="7" fillId="5" borderId="74" xfId="0" applyFont="1" applyFill="1" applyBorder="1" applyAlignment="1"/>
    <xf numFmtId="0" fontId="0" fillId="5" borderId="3" xfId="0" applyFont="1" applyFill="1" applyBorder="1" applyAlignment="1"/>
    <xf numFmtId="0" fontId="0" fillId="5" borderId="4" xfId="0" applyFont="1" applyFill="1" applyBorder="1" applyAlignment="1"/>
    <xf numFmtId="0" fontId="7" fillId="5" borderId="74" xfId="0" applyFont="1" applyFill="1" applyBorder="1" applyAlignment="1">
      <alignment horizontal="left" vertical="center"/>
    </xf>
    <xf numFmtId="0" fontId="0" fillId="5" borderId="3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7" fillId="0" borderId="18" xfId="0" applyFont="1" applyBorder="1" applyAlignment="1" applyProtection="1">
      <alignment vertical="center"/>
      <protection locked="0"/>
    </xf>
    <xf numFmtId="0" fontId="7" fillId="0" borderId="28" xfId="0" applyFont="1" applyBorder="1" applyAlignment="1" applyProtection="1">
      <alignment vertical="center"/>
      <protection locked="0"/>
    </xf>
    <xf numFmtId="0" fontId="7" fillId="0" borderId="40" xfId="0" applyNumberFormat="1" applyFont="1" applyFill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0" borderId="28" xfId="0" applyFont="1" applyBorder="1" applyAlignment="1" applyProtection="1">
      <alignment horizontal="center" vertical="center"/>
      <protection locked="0"/>
    </xf>
    <xf numFmtId="49" fontId="7" fillId="0" borderId="40" xfId="0" applyNumberFormat="1" applyFont="1" applyFill="1" applyBorder="1" applyAlignment="1" applyProtection="1">
      <alignment horizontal="center" vertical="center"/>
      <protection locked="0"/>
    </xf>
    <xf numFmtId="49" fontId="7" fillId="0" borderId="18" xfId="0" applyNumberFormat="1" applyFont="1" applyFill="1" applyBorder="1" applyAlignment="1" applyProtection="1">
      <alignment horizontal="center" vertical="center"/>
      <protection locked="0"/>
    </xf>
    <xf numFmtId="49" fontId="7" fillId="0" borderId="28" xfId="0" applyNumberFormat="1" applyFont="1" applyFill="1" applyBorder="1" applyAlignment="1" applyProtection="1">
      <alignment horizontal="center" vertical="center"/>
      <protection locked="0"/>
    </xf>
    <xf numFmtId="0" fontId="7" fillId="0" borderId="40" xfId="0" applyFont="1" applyBorder="1" applyAlignment="1" applyProtection="1">
      <alignment horizontal="center" vertical="center"/>
      <protection locked="0"/>
    </xf>
    <xf numFmtId="14" fontId="7" fillId="0" borderId="42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NumberFormat="1" applyFont="1" applyFill="1" applyBorder="1" applyAlignment="1" applyProtection="1">
      <alignment horizontal="left" vertical="top"/>
      <protection locked="0"/>
    </xf>
    <xf numFmtId="49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1" xfId="0" applyNumberFormat="1" applyFont="1" applyFill="1" applyBorder="1" applyAlignment="1" applyProtection="1">
      <alignment horizontal="left" vertical="top"/>
      <protection locked="0"/>
    </xf>
    <xf numFmtId="0" fontId="3" fillId="0" borderId="1" xfId="0" applyFont="1" applyFill="1" applyBorder="1" applyAlignment="1" applyProtection="1">
      <alignment horizontal="left" vertical="center" wrapText="1"/>
      <protection locked="0"/>
    </xf>
    <xf numFmtId="0" fontId="1" fillId="0" borderId="1" xfId="0" applyFont="1" applyFill="1" applyBorder="1" applyAlignment="1" applyProtection="1">
      <alignment horizontal="left" vertical="top"/>
      <protection locked="0"/>
    </xf>
    <xf numFmtId="4" fontId="3" fillId="0" borderId="1" xfId="0" applyNumberFormat="1" applyFont="1" applyFill="1" applyBorder="1" applyAlignment="1" applyProtection="1">
      <alignment horizontal="right" vertical="center" wrapText="1"/>
      <protection locked="0"/>
    </xf>
    <xf numFmtId="4" fontId="1" fillId="0" borderId="1" xfId="0" applyNumberFormat="1" applyFont="1" applyFill="1" applyBorder="1" applyAlignment="1" applyProtection="1">
      <alignment horizontal="left" vertical="top"/>
      <protection locked="0"/>
    </xf>
    <xf numFmtId="0" fontId="7" fillId="5" borderId="65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left" vertical="top"/>
    </xf>
    <xf numFmtId="0" fontId="7" fillId="0" borderId="67" xfId="0" applyFont="1" applyFill="1" applyBorder="1" applyAlignment="1" applyProtection="1">
      <alignment horizontal="left" vertical="center"/>
      <protection locked="0"/>
    </xf>
    <xf numFmtId="0" fontId="0" fillId="0" borderId="68" xfId="0" applyFill="1" applyBorder="1" applyAlignment="1" applyProtection="1">
      <alignment horizontal="left"/>
      <protection locked="0"/>
    </xf>
    <xf numFmtId="0" fontId="0" fillId="0" borderId="69" xfId="0" applyFill="1" applyBorder="1" applyAlignment="1" applyProtection="1">
      <alignment horizontal="left"/>
      <protection locked="0"/>
    </xf>
    <xf numFmtId="0" fontId="3" fillId="0" borderId="37" xfId="0" applyFont="1" applyFill="1" applyBorder="1" applyAlignment="1" applyProtection="1">
      <alignment horizontal="left" vertical="top"/>
    </xf>
    <xf numFmtId="0" fontId="1" fillId="0" borderId="37" xfId="0" applyFont="1" applyFill="1" applyBorder="1" applyAlignment="1" applyProtection="1">
      <alignment horizontal="left" vertical="top"/>
    </xf>
    <xf numFmtId="0" fontId="11" fillId="5" borderId="46" xfId="0" applyFont="1" applyFill="1" applyBorder="1" applyAlignment="1">
      <alignment horizontal="left" vertical="center"/>
    </xf>
    <xf numFmtId="0" fontId="5" fillId="5" borderId="15" xfId="0" applyFont="1" applyFill="1" applyBorder="1" applyAlignment="1">
      <alignment horizontal="left" vertical="center"/>
    </xf>
    <xf numFmtId="0" fontId="5" fillId="5" borderId="21" xfId="0" applyFont="1" applyFill="1" applyBorder="1" applyAlignment="1">
      <alignment horizontal="left" vertical="center"/>
    </xf>
    <xf numFmtId="0" fontId="7" fillId="5" borderId="70" xfId="0" applyFont="1" applyFill="1" applyBorder="1" applyAlignment="1">
      <alignment horizontal="left" vertical="center"/>
    </xf>
    <xf numFmtId="0" fontId="7" fillId="5" borderId="10" xfId="0" applyFont="1" applyFill="1" applyBorder="1" applyAlignment="1">
      <alignment horizontal="left" vertical="center"/>
    </xf>
    <xf numFmtId="0" fontId="7" fillId="5" borderId="10" xfId="0" applyFont="1" applyFill="1" applyBorder="1" applyAlignment="1">
      <alignment horizontal="center" vertical="center" wrapText="1"/>
    </xf>
    <xf numFmtId="0" fontId="3" fillId="0" borderId="42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NumberFormat="1" applyFont="1" applyFill="1" applyBorder="1" applyAlignment="1" applyProtection="1">
      <alignment horizontal="left" vertical="top"/>
      <protection locked="0"/>
    </xf>
    <xf numFmtId="16" fontId="3" fillId="0" borderId="64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9" xfId="0" applyNumberFormat="1" applyFont="1" applyFill="1" applyBorder="1" applyAlignment="1" applyProtection="1">
      <alignment horizontal="left" vertical="top"/>
      <protection locked="0"/>
    </xf>
    <xf numFmtId="49" fontId="3" fillId="0" borderId="9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9" xfId="0" applyNumberFormat="1" applyFont="1" applyFill="1" applyBorder="1" applyAlignment="1" applyProtection="1">
      <alignment horizontal="left" vertical="top"/>
      <protection locked="0"/>
    </xf>
    <xf numFmtId="0" fontId="3" fillId="0" borderId="9" xfId="0" applyFont="1" applyFill="1" applyBorder="1" applyAlignment="1" applyProtection="1">
      <alignment horizontal="left" vertical="center" wrapText="1"/>
      <protection locked="0"/>
    </xf>
    <xf numFmtId="0" fontId="1" fillId="0" borderId="9" xfId="0" applyFont="1" applyFill="1" applyBorder="1" applyAlignment="1" applyProtection="1">
      <alignment horizontal="left" vertical="top"/>
      <protection locked="0"/>
    </xf>
    <xf numFmtId="4" fontId="3" fillId="0" borderId="9" xfId="0" applyNumberFormat="1" applyFont="1" applyFill="1" applyBorder="1" applyAlignment="1" applyProtection="1">
      <alignment horizontal="right" vertical="center" wrapText="1"/>
      <protection locked="0"/>
    </xf>
    <xf numFmtId="4" fontId="1" fillId="0" borderId="9" xfId="0" applyNumberFormat="1" applyFont="1" applyFill="1" applyBorder="1" applyAlignment="1" applyProtection="1">
      <alignment horizontal="left" vertical="top"/>
      <protection locked="0"/>
    </xf>
    <xf numFmtId="16" fontId="3" fillId="0" borderId="42" xfId="0" applyNumberFormat="1" applyFont="1" applyFill="1" applyBorder="1" applyAlignment="1" applyProtection="1">
      <alignment horizontal="center" vertical="center" wrapText="1"/>
      <protection locked="0"/>
    </xf>
    <xf numFmtId="0" fontId="3" fillId="5" borderId="42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top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top"/>
    </xf>
    <xf numFmtId="4" fontId="2" fillId="0" borderId="1" xfId="0" applyNumberFormat="1" applyFont="1" applyFill="1" applyBorder="1" applyAlignment="1" applyProtection="1">
      <alignment horizontal="right" vertical="center" wrapText="1"/>
    </xf>
    <xf numFmtId="4" fontId="1" fillId="0" borderId="1" xfId="0" applyNumberFormat="1" applyFont="1" applyFill="1" applyBorder="1" applyAlignment="1" applyProtection="1">
      <alignment horizontal="left" vertical="top"/>
    </xf>
    <xf numFmtId="0" fontId="3" fillId="5" borderId="50" xfId="0" applyFont="1" applyFill="1" applyBorder="1" applyAlignment="1">
      <alignment horizontal="left" vertical="center" wrapText="1"/>
    </xf>
    <xf numFmtId="0" fontId="1" fillId="5" borderId="33" xfId="0" applyFont="1" applyFill="1" applyBorder="1" applyAlignment="1">
      <alignment horizontal="left" vertical="top"/>
    </xf>
    <xf numFmtId="0" fontId="0" fillId="5" borderId="33" xfId="0" applyFill="1" applyBorder="1" applyAlignment="1">
      <alignment horizontal="left"/>
    </xf>
    <xf numFmtId="0" fontId="0" fillId="5" borderId="27" xfId="0" applyFill="1" applyBorder="1" applyAlignment="1">
      <alignment horizontal="left"/>
    </xf>
    <xf numFmtId="3" fontId="6" fillId="5" borderId="32" xfId="0" applyNumberFormat="1" applyFont="1" applyFill="1" applyBorder="1" applyAlignment="1" applyProtection="1">
      <alignment horizontal="left" vertical="center" wrapText="1"/>
    </xf>
    <xf numFmtId="0" fontId="6" fillId="5" borderId="33" xfId="0" applyFont="1" applyFill="1" applyBorder="1" applyAlignment="1" applyProtection="1">
      <alignment horizontal="left" vertical="top"/>
    </xf>
    <xf numFmtId="0" fontId="6" fillId="5" borderId="27" xfId="0" applyFont="1" applyFill="1" applyBorder="1" applyAlignment="1" applyProtection="1">
      <alignment horizontal="left"/>
    </xf>
    <xf numFmtId="0" fontId="4" fillId="5" borderId="42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 applyProtection="1">
      <alignment horizontal="left" vertical="center"/>
      <protection locked="0"/>
    </xf>
    <xf numFmtId="0" fontId="1" fillId="0" borderId="1" xfId="0" applyFont="1" applyFill="1" applyBorder="1" applyAlignment="1" applyProtection="1">
      <alignment horizontal="left" vertical="center"/>
      <protection locked="0"/>
    </xf>
    <xf numFmtId="2" fontId="3" fillId="0" borderId="1" xfId="0" applyNumberFormat="1" applyFont="1" applyFill="1" applyBorder="1" applyAlignment="1" applyProtection="1">
      <alignment horizontal="right" vertical="center"/>
      <protection locked="0"/>
    </xf>
    <xf numFmtId="2" fontId="1" fillId="0" borderId="1" xfId="0" applyNumberFormat="1" applyFont="1" applyFill="1" applyBorder="1" applyAlignment="1" applyProtection="1">
      <alignment horizontal="left" vertical="center"/>
      <protection locked="0"/>
    </xf>
    <xf numFmtId="0" fontId="4" fillId="5" borderId="50" xfId="0" applyFont="1" applyFill="1" applyBorder="1" applyAlignment="1">
      <alignment horizontal="left" vertical="center"/>
    </xf>
    <xf numFmtId="0" fontId="4" fillId="5" borderId="33" xfId="0" applyFont="1" applyFill="1" applyBorder="1" applyAlignment="1">
      <alignment horizontal="left" vertical="center"/>
    </xf>
    <xf numFmtId="0" fontId="4" fillId="5" borderId="27" xfId="0" applyFont="1" applyFill="1" applyBorder="1" applyAlignment="1">
      <alignment horizontal="left" vertical="center"/>
    </xf>
    <xf numFmtId="0" fontId="3" fillId="0" borderId="32" xfId="0" applyFont="1" applyFill="1" applyBorder="1" applyAlignment="1" applyProtection="1">
      <alignment horizontal="left" vertical="center"/>
      <protection locked="0"/>
    </xf>
    <xf numFmtId="0" fontId="3" fillId="0" borderId="33" xfId="0" applyFont="1" applyFill="1" applyBorder="1" applyAlignment="1" applyProtection="1">
      <alignment horizontal="left" vertical="center"/>
      <protection locked="0"/>
    </xf>
    <xf numFmtId="0" fontId="3" fillId="0" borderId="27" xfId="0" applyFont="1" applyFill="1" applyBorder="1" applyAlignment="1" applyProtection="1">
      <alignment horizontal="left" vertical="center"/>
      <protection locked="0"/>
    </xf>
    <xf numFmtId="2" fontId="3" fillId="0" borderId="32" xfId="0" applyNumberFormat="1" applyFont="1" applyFill="1" applyBorder="1" applyAlignment="1" applyProtection="1">
      <alignment horizontal="right" vertical="center"/>
      <protection locked="0"/>
    </xf>
    <xf numFmtId="2" fontId="0" fillId="0" borderId="33" xfId="0" applyNumberFormat="1" applyBorder="1" applyAlignment="1" applyProtection="1">
      <alignment horizontal="right" vertical="center"/>
      <protection locked="0"/>
    </xf>
    <xf numFmtId="2" fontId="0" fillId="0" borderId="27" xfId="0" applyNumberFormat="1" applyBorder="1" applyAlignment="1" applyProtection="1">
      <alignment horizontal="right" vertical="center"/>
      <protection locked="0"/>
    </xf>
    <xf numFmtId="0" fontId="7" fillId="5" borderId="15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left" vertical="center"/>
    </xf>
    <xf numFmtId="0" fontId="3" fillId="5" borderId="53" xfId="0" applyFont="1" applyFill="1" applyBorder="1" applyAlignment="1">
      <alignment horizontal="left" vertical="center"/>
    </xf>
    <xf numFmtId="0" fontId="1" fillId="5" borderId="31" xfId="0" applyFont="1" applyFill="1" applyBorder="1" applyAlignment="1">
      <alignment horizontal="left" vertical="center"/>
    </xf>
    <xf numFmtId="0" fontId="0" fillId="5" borderId="31" xfId="0" applyFill="1" applyBorder="1" applyAlignment="1">
      <alignment horizontal="left" vertical="center"/>
    </xf>
    <xf numFmtId="0" fontId="0" fillId="5" borderId="29" xfId="0" applyFill="1" applyBorder="1" applyAlignment="1">
      <alignment horizontal="left" vertical="center"/>
    </xf>
    <xf numFmtId="4" fontId="7" fillId="0" borderId="30" xfId="0" applyNumberFormat="1" applyFont="1" applyFill="1" applyBorder="1" applyAlignment="1" applyProtection="1">
      <alignment horizontal="center" vertical="center"/>
      <protection locked="0"/>
    </xf>
    <xf numFmtId="4" fontId="7" fillId="0" borderId="31" xfId="0" applyNumberFormat="1" applyFont="1" applyFill="1" applyBorder="1" applyAlignment="1" applyProtection="1">
      <alignment horizontal="center" vertical="center"/>
      <protection locked="0"/>
    </xf>
    <xf numFmtId="4" fontId="7" fillId="0" borderId="77" xfId="0" applyNumberFormat="1" applyFont="1" applyBorder="1" applyAlignment="1" applyProtection="1">
      <alignment horizontal="center" vertical="center"/>
      <protection locked="0"/>
    </xf>
    <xf numFmtId="4" fontId="7" fillId="0" borderId="31" xfId="0" applyNumberFormat="1" applyFont="1" applyBorder="1" applyAlignment="1" applyProtection="1">
      <alignment horizontal="center" vertical="center"/>
      <protection locked="0"/>
    </xf>
    <xf numFmtId="4" fontId="7" fillId="0" borderId="75" xfId="0" applyNumberFormat="1" applyFont="1" applyBorder="1" applyAlignment="1" applyProtection="1">
      <alignment horizontal="center" vertical="center"/>
      <protection locked="0"/>
    </xf>
    <xf numFmtId="0" fontId="3" fillId="5" borderId="50" xfId="0" applyFont="1" applyFill="1" applyBorder="1" applyAlignment="1">
      <alignment horizontal="left" vertical="center"/>
    </xf>
    <xf numFmtId="0" fontId="1" fillId="5" borderId="33" xfId="0" applyFont="1" applyFill="1" applyBorder="1" applyAlignment="1">
      <alignment horizontal="left" vertical="center"/>
    </xf>
    <xf numFmtId="0" fontId="0" fillId="5" borderId="33" xfId="0" applyFill="1" applyBorder="1" applyAlignment="1">
      <alignment horizontal="left" vertical="center"/>
    </xf>
    <xf numFmtId="0" fontId="0" fillId="5" borderId="27" xfId="0" applyFill="1" applyBorder="1" applyAlignment="1">
      <alignment horizontal="left" vertical="center"/>
    </xf>
    <xf numFmtId="4" fontId="7" fillId="0" borderId="32" xfId="0" applyNumberFormat="1" applyFont="1" applyFill="1" applyBorder="1" applyAlignment="1" applyProtection="1">
      <alignment horizontal="center" vertical="center"/>
      <protection locked="0"/>
    </xf>
    <xf numFmtId="4" fontId="7" fillId="0" borderId="33" xfId="0" applyNumberFormat="1" applyFont="1" applyFill="1" applyBorder="1" applyAlignment="1" applyProtection="1">
      <alignment horizontal="center" vertical="center"/>
      <protection locked="0"/>
    </xf>
    <xf numFmtId="4" fontId="7" fillId="0" borderId="78" xfId="0" applyNumberFormat="1" applyFont="1" applyBorder="1" applyAlignment="1" applyProtection="1">
      <alignment horizontal="center" vertical="center"/>
      <protection locked="0"/>
    </xf>
    <xf numFmtId="4" fontId="7" fillId="0" borderId="33" xfId="0" applyNumberFormat="1" applyFont="1" applyBorder="1" applyAlignment="1" applyProtection="1">
      <alignment horizontal="center" vertical="center"/>
      <protection locked="0"/>
    </xf>
    <xf numFmtId="4" fontId="7" fillId="0" borderId="76" xfId="0" applyNumberFormat="1" applyFont="1" applyBorder="1" applyAlignment="1" applyProtection="1">
      <alignment horizontal="center" vertical="center"/>
      <protection locked="0"/>
    </xf>
    <xf numFmtId="0" fontId="11" fillId="5" borderId="38" xfId="0" applyFont="1" applyFill="1" applyBorder="1" applyAlignment="1">
      <alignment horizontal="left" vertical="center"/>
    </xf>
    <xf numFmtId="0" fontId="5" fillId="5" borderId="36" xfId="0" applyFont="1" applyFill="1" applyBorder="1" applyAlignment="1">
      <alignment horizontal="left" vertical="center"/>
    </xf>
    <xf numFmtId="0" fontId="0" fillId="5" borderId="36" xfId="0" applyFill="1" applyBorder="1" applyAlignment="1">
      <alignment vertical="center"/>
    </xf>
    <xf numFmtId="0" fontId="0" fillId="5" borderId="63" xfId="0" applyFill="1" applyBorder="1" applyAlignment="1">
      <alignment vertical="center"/>
    </xf>
    <xf numFmtId="0" fontId="5" fillId="5" borderId="57" xfId="0" applyFont="1" applyFill="1" applyBorder="1" applyAlignment="1">
      <alignment horizontal="left" vertical="center"/>
    </xf>
    <xf numFmtId="0" fontId="5" fillId="5" borderId="18" xfId="0" applyFont="1" applyFill="1" applyBorder="1" applyAlignment="1">
      <alignment horizontal="left" vertical="center"/>
    </xf>
    <xf numFmtId="0" fontId="0" fillId="5" borderId="18" xfId="0" applyFill="1" applyBorder="1" applyAlignment="1">
      <alignment vertical="center"/>
    </xf>
    <xf numFmtId="0" fontId="0" fillId="5" borderId="28" xfId="0" applyFill="1" applyBorder="1" applyAlignment="1">
      <alignment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5" borderId="2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left" vertical="center"/>
    </xf>
    <xf numFmtId="0" fontId="7" fillId="5" borderId="40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7" fillId="5" borderId="79" xfId="0" applyFont="1" applyFill="1" applyBorder="1" applyAlignment="1">
      <alignment horizontal="center" vertical="center"/>
    </xf>
    <xf numFmtId="0" fontId="7" fillId="5" borderId="8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left" vertical="center" wrapText="1"/>
    </xf>
    <xf numFmtId="0" fontId="1" fillId="4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top"/>
    </xf>
    <xf numFmtId="0" fontId="1" fillId="4" borderId="0" xfId="0" applyFont="1" applyFill="1" applyBorder="1" applyAlignment="1">
      <alignment horizontal="left" vertical="top"/>
    </xf>
    <xf numFmtId="0" fontId="11" fillId="6" borderId="62" xfId="0" applyFont="1" applyFill="1" applyBorder="1" applyAlignment="1">
      <alignment horizontal="left" vertical="center"/>
    </xf>
    <xf numFmtId="0" fontId="5" fillId="6" borderId="62" xfId="0" applyFont="1" applyFill="1" applyBorder="1" applyAlignment="1">
      <alignment horizontal="left" vertical="center"/>
    </xf>
    <xf numFmtId="0" fontId="7" fillId="5" borderId="54" xfId="0" applyFont="1" applyFill="1" applyBorder="1" applyAlignment="1">
      <alignment horizontal="left" vertical="center"/>
    </xf>
    <xf numFmtId="0" fontId="0" fillId="5" borderId="55" xfId="0" applyFill="1" applyBorder="1" applyAlignment="1">
      <alignment horizontal="left" vertical="center"/>
    </xf>
    <xf numFmtId="0" fontId="0" fillId="5" borderId="56" xfId="0" applyFill="1" applyBorder="1" applyAlignment="1">
      <alignment horizontal="left" vertical="center"/>
    </xf>
    <xf numFmtId="0" fontId="7" fillId="5" borderId="61" xfId="0" applyFont="1" applyFill="1" applyBorder="1" applyAlignment="1">
      <alignment horizontal="center" vertical="center"/>
    </xf>
    <xf numFmtId="0" fontId="0" fillId="5" borderId="56" xfId="0" applyFill="1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57" xfId="0" applyFont="1" applyFill="1" applyBorder="1" applyAlignment="1">
      <alignment horizontal="left" vertical="center"/>
    </xf>
    <xf numFmtId="0" fontId="0" fillId="5" borderId="18" xfId="0" applyFill="1" applyBorder="1" applyAlignment="1">
      <alignment horizontal="left" vertical="center"/>
    </xf>
    <xf numFmtId="0" fontId="0" fillId="5" borderId="28" xfId="0" applyFill="1" applyBorder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40" xfId="0" applyFont="1" applyFill="1" applyBorder="1" applyAlignment="1">
      <alignment horizontal="left" vertical="center"/>
    </xf>
    <xf numFmtId="0" fontId="3" fillId="0" borderId="53" xfId="0" applyFont="1" applyFill="1" applyBorder="1" applyAlignment="1" applyProtection="1">
      <alignment horizontal="left" vertical="center"/>
      <protection locked="0"/>
    </xf>
    <xf numFmtId="0" fontId="0" fillId="0" borderId="31" xfId="0" applyBorder="1" applyAlignment="1" applyProtection="1">
      <alignment horizontal="left" vertical="center"/>
      <protection locked="0"/>
    </xf>
    <xf numFmtId="0" fontId="0" fillId="0" borderId="29" xfId="0" applyBorder="1" applyAlignment="1" applyProtection="1">
      <alignment horizontal="left" vertical="center"/>
      <protection locked="0"/>
    </xf>
    <xf numFmtId="0" fontId="3" fillId="0" borderId="30" xfId="0" applyFont="1" applyFill="1" applyBorder="1" applyAlignment="1" applyProtection="1">
      <alignment horizontal="right" vertical="center"/>
      <protection locked="0"/>
    </xf>
    <xf numFmtId="0" fontId="3" fillId="0" borderId="29" xfId="0" applyFont="1" applyBorder="1" applyAlignment="1" applyProtection="1">
      <alignment horizontal="right" vertical="center"/>
      <protection locked="0"/>
    </xf>
    <xf numFmtId="164" fontId="0" fillId="0" borderId="1" xfId="0" applyNumberFormat="1" applyFont="1" applyFill="1" applyBorder="1" applyAlignment="1" applyProtection="1">
      <alignment horizontal="center" vertical="center"/>
      <protection locked="0"/>
    </xf>
    <xf numFmtId="164" fontId="0" fillId="0" borderId="30" xfId="0" applyNumberFormat="1" applyFont="1" applyFill="1" applyBorder="1" applyAlignment="1" applyProtection="1">
      <alignment horizontal="left" vertical="center"/>
      <protection locked="0"/>
    </xf>
    <xf numFmtId="164" fontId="0" fillId="0" borderId="29" xfId="0" applyNumberFormat="1" applyFont="1" applyFill="1" applyBorder="1" applyAlignment="1" applyProtection="1">
      <alignment horizontal="center" vertical="center"/>
      <protection locked="0"/>
    </xf>
    <xf numFmtId="164" fontId="0" fillId="0" borderId="1" xfId="0" applyNumberFormat="1" applyFont="1" applyFill="1" applyBorder="1" applyAlignment="1" applyProtection="1">
      <alignment horizontal="left" vertical="center"/>
      <protection locked="0"/>
    </xf>
    <xf numFmtId="0" fontId="3" fillId="0" borderId="50" xfId="0" applyFont="1" applyFill="1" applyBorder="1" applyAlignment="1" applyProtection="1">
      <alignment horizontal="left" vertical="center"/>
      <protection locked="0"/>
    </xf>
    <xf numFmtId="0" fontId="0" fillId="0" borderId="33" xfId="0" applyBorder="1" applyAlignment="1" applyProtection="1">
      <alignment horizontal="left" vertical="center"/>
      <protection locked="0"/>
    </xf>
    <xf numFmtId="0" fontId="0" fillId="0" borderId="27" xfId="0" applyBorder="1" applyAlignment="1" applyProtection="1">
      <alignment horizontal="left" vertical="center"/>
      <protection locked="0"/>
    </xf>
    <xf numFmtId="0" fontId="3" fillId="0" borderId="32" xfId="0" applyFont="1" applyFill="1" applyBorder="1" applyAlignment="1" applyProtection="1">
      <alignment horizontal="right" vertical="center"/>
      <protection locked="0"/>
    </xf>
    <xf numFmtId="0" fontId="3" fillId="0" borderId="27" xfId="0" applyFont="1" applyBorder="1" applyAlignment="1" applyProtection="1">
      <alignment horizontal="right" vertical="center"/>
      <protection locked="0"/>
    </xf>
    <xf numFmtId="164" fontId="0" fillId="0" borderId="16" xfId="0" applyNumberFormat="1" applyFont="1" applyFill="1" applyBorder="1" applyAlignment="1" applyProtection="1">
      <alignment horizontal="center" vertical="center"/>
      <protection locked="0"/>
    </xf>
    <xf numFmtId="164" fontId="0" fillId="0" borderId="32" xfId="0" applyNumberFormat="1" applyFont="1" applyFill="1" applyBorder="1" applyAlignment="1" applyProtection="1">
      <alignment horizontal="left" vertical="center"/>
      <protection locked="0"/>
    </xf>
    <xf numFmtId="164" fontId="0" fillId="0" borderId="27" xfId="0" applyNumberFormat="1" applyFont="1" applyFill="1" applyBorder="1" applyAlignment="1" applyProtection="1">
      <alignment horizontal="center" vertical="center"/>
      <protection locked="0"/>
    </xf>
    <xf numFmtId="164" fontId="0" fillId="0" borderId="16" xfId="0" applyNumberFormat="1" applyFont="1" applyFill="1" applyBorder="1" applyAlignment="1" applyProtection="1">
      <alignment horizontal="left" vertical="center"/>
      <protection locked="0"/>
    </xf>
    <xf numFmtId="0" fontId="3" fillId="0" borderId="44" xfId="0" applyFont="1" applyFill="1" applyBorder="1" applyAlignment="1">
      <alignment horizontal="left" vertical="center"/>
    </xf>
    <xf numFmtId="0" fontId="1" fillId="0" borderId="44" xfId="0" applyFont="1" applyFill="1" applyBorder="1" applyAlignment="1">
      <alignment horizontal="left" vertical="center"/>
    </xf>
    <xf numFmtId="0" fontId="17" fillId="5" borderId="17" xfId="0" applyFont="1" applyFill="1" applyBorder="1" applyAlignment="1">
      <alignment horizontal="center" vertical="center"/>
    </xf>
    <xf numFmtId="0" fontId="17" fillId="5" borderId="17" xfId="0" applyFont="1" applyFill="1" applyBorder="1" applyAlignment="1">
      <alignment horizontal="left" vertical="center"/>
    </xf>
    <xf numFmtId="0" fontId="3" fillId="5" borderId="54" xfId="0" applyFont="1" applyFill="1" applyBorder="1" applyAlignment="1">
      <alignment horizontal="left" vertical="center"/>
    </xf>
    <xf numFmtId="0" fontId="0" fillId="5" borderId="57" xfId="0" applyFill="1" applyBorder="1" applyAlignment="1">
      <alignment horizontal="left" vertical="center"/>
    </xf>
    <xf numFmtId="0" fontId="2" fillId="5" borderId="58" xfId="0" applyFont="1" applyFill="1" applyBorder="1" applyAlignment="1">
      <alignment horizontal="center" vertical="center"/>
    </xf>
    <xf numFmtId="0" fontId="3" fillId="5" borderId="59" xfId="0" applyFont="1" applyFill="1" applyBorder="1" applyAlignment="1">
      <alignment vertical="center"/>
    </xf>
    <xf numFmtId="0" fontId="3" fillId="5" borderId="58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 vertical="center"/>
    </xf>
    <xf numFmtId="0" fontId="3" fillId="5" borderId="59" xfId="0" applyFont="1" applyFill="1" applyBorder="1" applyAlignment="1">
      <alignment horizontal="left" vertical="center"/>
    </xf>
    <xf numFmtId="0" fontId="3" fillId="5" borderId="60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left" vertical="center"/>
    </xf>
    <xf numFmtId="0" fontId="0" fillId="5" borderId="31" xfId="0" applyFill="1" applyBorder="1" applyAlignment="1">
      <alignment vertical="center"/>
    </xf>
    <xf numFmtId="0" fontId="0" fillId="5" borderId="29" xfId="0" applyFill="1" applyBorder="1" applyAlignment="1">
      <alignment vertical="center"/>
    </xf>
    <xf numFmtId="4" fontId="3" fillId="0" borderId="1" xfId="0" applyNumberFormat="1" applyFont="1" applyFill="1" applyBorder="1" applyAlignment="1" applyProtection="1">
      <alignment horizontal="right" vertical="center"/>
      <protection locked="0"/>
    </xf>
    <xf numFmtId="4" fontId="1" fillId="0" borderId="1" xfId="0" applyNumberFormat="1" applyFont="1" applyFill="1" applyBorder="1" applyAlignment="1" applyProtection="1">
      <alignment horizontal="left" vertical="center"/>
      <protection locked="0"/>
    </xf>
    <xf numFmtId="0" fontId="1" fillId="0" borderId="33" xfId="0" applyFont="1" applyFill="1" applyBorder="1" applyAlignment="1" applyProtection="1">
      <alignment horizontal="left" vertic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4" fontId="3" fillId="0" borderId="16" xfId="0" applyNumberFormat="1" applyFont="1" applyFill="1" applyBorder="1" applyAlignment="1" applyProtection="1">
      <alignment horizontal="right" vertical="center"/>
      <protection locked="0"/>
    </xf>
    <xf numFmtId="4" fontId="1" fillId="0" borderId="16" xfId="0" applyNumberFormat="1" applyFont="1" applyFill="1" applyBorder="1" applyAlignment="1" applyProtection="1">
      <alignment horizontal="left" vertical="center"/>
      <protection locked="0"/>
    </xf>
    <xf numFmtId="2" fontId="3" fillId="0" borderId="16" xfId="0" applyNumberFormat="1" applyFont="1" applyFill="1" applyBorder="1" applyAlignment="1" applyProtection="1">
      <alignment horizontal="center" vertical="center"/>
      <protection locked="0"/>
    </xf>
    <xf numFmtId="2" fontId="1" fillId="0" borderId="16" xfId="0" applyNumberFormat="1" applyFont="1" applyFill="1" applyBorder="1" applyAlignment="1" applyProtection="1">
      <alignment horizontal="center" vertical="center"/>
      <protection locked="0"/>
    </xf>
    <xf numFmtId="0" fontId="13" fillId="0" borderId="37" xfId="0" applyFont="1" applyFill="1" applyBorder="1" applyAlignment="1" applyProtection="1">
      <alignment horizontal="left" vertical="center"/>
    </xf>
    <xf numFmtId="0" fontId="9" fillId="0" borderId="37" xfId="0" applyFont="1" applyFill="1" applyBorder="1" applyAlignment="1" applyProtection="1">
      <alignment horizontal="left" vertical="center"/>
    </xf>
    <xf numFmtId="0" fontId="7" fillId="5" borderId="42" xfId="0" applyFont="1" applyFill="1" applyBorder="1" applyAlignment="1">
      <alignment horizontal="left" vertical="center"/>
    </xf>
    <xf numFmtId="0" fontId="3" fillId="0" borderId="42" xfId="0" applyFont="1" applyFill="1" applyBorder="1" applyAlignment="1" applyProtection="1">
      <alignment horizontal="left" vertical="center"/>
      <protection locked="0"/>
    </xf>
    <xf numFmtId="0" fontId="4" fillId="0" borderId="51" xfId="0" applyFont="1" applyFill="1" applyBorder="1" applyAlignment="1">
      <alignment horizontal="left" vertical="center" wrapText="1"/>
    </xf>
    <xf numFmtId="0" fontId="4" fillId="0" borderId="39" xfId="0" applyFont="1" applyFill="1" applyBorder="1" applyAlignment="1">
      <alignment horizontal="left" vertical="center"/>
    </xf>
    <xf numFmtId="0" fontId="4" fillId="0" borderId="38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left" vertical="center" wrapText="1"/>
    </xf>
    <xf numFmtId="0" fontId="4" fillId="0" borderId="52" xfId="0" applyFont="1" applyFill="1" applyBorder="1" applyAlignment="1">
      <alignment horizontal="left" vertical="center"/>
    </xf>
    <xf numFmtId="0" fontId="4" fillId="0" borderId="41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 wrapText="1"/>
    </xf>
    <xf numFmtId="0" fontId="16" fillId="0" borderId="52" xfId="0" applyFont="1" applyFill="1" applyBorder="1" applyAlignment="1">
      <alignment horizontal="left" vertical="center"/>
    </xf>
    <xf numFmtId="0" fontId="16" fillId="0" borderId="41" xfId="0" applyFont="1" applyFill="1" applyBorder="1" applyAlignment="1">
      <alignment horizontal="left" vertical="center"/>
    </xf>
    <xf numFmtId="0" fontId="3" fillId="0" borderId="37" xfId="0" applyFont="1" applyFill="1" applyBorder="1" applyAlignment="1">
      <alignment horizontal="left" vertical="top"/>
    </xf>
    <xf numFmtId="0" fontId="1" fillId="0" borderId="37" xfId="0" applyFont="1" applyFill="1" applyBorder="1" applyAlignment="1">
      <alignment horizontal="left" vertical="top"/>
    </xf>
    <xf numFmtId="0" fontId="11" fillId="5" borderId="47" xfId="0" applyFont="1" applyFill="1" applyBorder="1" applyAlignment="1">
      <alignment horizontal="left" vertical="center"/>
    </xf>
    <xf numFmtId="0" fontId="5" fillId="5" borderId="48" xfId="0" applyFont="1" applyFill="1" applyBorder="1" applyAlignment="1">
      <alignment horizontal="left" vertical="center"/>
    </xf>
    <xf numFmtId="0" fontId="0" fillId="5" borderId="48" xfId="0" applyFill="1" applyBorder="1" applyAlignment="1">
      <alignment vertical="center"/>
    </xf>
    <xf numFmtId="0" fontId="0" fillId="5" borderId="49" xfId="0" applyFill="1" applyBorder="1" applyAlignment="1">
      <alignment vertical="center"/>
    </xf>
    <xf numFmtId="0" fontId="7" fillId="5" borderId="15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left" vertical="center" wrapText="1"/>
    </xf>
    <xf numFmtId="0" fontId="3" fillId="5" borderId="46" xfId="0" applyFont="1" applyFill="1" applyBorder="1" applyAlignment="1">
      <alignment horizontal="left" vertical="center"/>
    </xf>
    <xf numFmtId="0" fontId="1" fillId="5" borderId="15" xfId="0" applyFont="1" applyFill="1" applyBorder="1" applyAlignment="1">
      <alignment horizontal="left" vertical="center"/>
    </xf>
    <xf numFmtId="0" fontId="3" fillId="0" borderId="15" xfId="0" applyFont="1" applyFill="1" applyBorder="1" applyAlignment="1" applyProtection="1">
      <alignment horizontal="left" vertical="center"/>
      <protection locked="0"/>
    </xf>
    <xf numFmtId="0" fontId="1" fillId="0" borderId="15" xfId="0" applyFont="1" applyFill="1" applyBorder="1" applyAlignment="1" applyProtection="1">
      <alignment horizontal="left" vertical="center"/>
      <protection locked="0"/>
    </xf>
    <xf numFmtId="0" fontId="3" fillId="5" borderId="42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2" fillId="5" borderId="43" xfId="0" applyFont="1" applyFill="1" applyBorder="1" applyAlignment="1">
      <alignment horizontal="left" vertical="center"/>
    </xf>
    <xf numFmtId="0" fontId="1" fillId="5" borderId="16" xfId="0" applyFont="1" applyFill="1" applyBorder="1" applyAlignment="1">
      <alignment horizontal="left" vertical="center"/>
    </xf>
    <xf numFmtId="0" fontId="3" fillId="0" borderId="36" xfId="0" applyFont="1" applyFill="1" applyBorder="1" applyAlignment="1">
      <alignment horizontal="left" vertical="top"/>
    </xf>
    <xf numFmtId="0" fontId="1" fillId="0" borderId="36" xfId="0" applyFont="1" applyFill="1" applyBorder="1" applyAlignment="1">
      <alignment horizontal="left" vertical="top"/>
    </xf>
    <xf numFmtId="0" fontId="3" fillId="0" borderId="43" xfId="0" applyFont="1" applyFill="1" applyBorder="1" applyAlignment="1" applyProtection="1">
      <alignment horizontal="left" vertical="center"/>
      <protection locked="0"/>
    </xf>
    <xf numFmtId="0" fontId="1" fillId="0" borderId="16" xfId="0" applyFont="1" applyFill="1" applyBorder="1" applyAlignment="1" applyProtection="1">
      <alignment horizontal="left" vertical="center"/>
      <protection locked="0"/>
    </xf>
    <xf numFmtId="0" fontId="2" fillId="5" borderId="45" xfId="0" applyFont="1" applyFill="1" applyBorder="1" applyAlignment="1">
      <alignment horizontal="left" vertical="center"/>
    </xf>
    <xf numFmtId="0" fontId="1" fillId="5" borderId="22" xfId="0" applyFont="1" applyFill="1" applyBorder="1" applyAlignment="1">
      <alignment horizontal="left" vertical="center"/>
    </xf>
    <xf numFmtId="0" fontId="3" fillId="0" borderId="36" xfId="0" applyFont="1" applyFill="1" applyBorder="1" applyAlignment="1">
      <alignment horizontal="left" vertical="center"/>
    </xf>
    <xf numFmtId="0" fontId="1" fillId="0" borderId="36" xfId="0" applyFont="1" applyFill="1" applyBorder="1" applyAlignment="1">
      <alignment horizontal="left" vertical="center"/>
    </xf>
    <xf numFmtId="0" fontId="3" fillId="6" borderId="38" xfId="0" applyFont="1" applyFill="1" applyBorder="1" applyAlignment="1">
      <alignment horizontal="left" vertical="top"/>
    </xf>
    <xf numFmtId="0" fontId="1" fillId="6" borderId="38" xfId="0" applyFont="1" applyFill="1" applyBorder="1" applyAlignment="1">
      <alignment horizontal="left" vertical="top"/>
    </xf>
    <xf numFmtId="0" fontId="3" fillId="6" borderId="39" xfId="0" applyFont="1" applyFill="1" applyBorder="1" applyAlignment="1">
      <alignment horizontal="left" vertical="top"/>
    </xf>
    <xf numFmtId="0" fontId="1" fillId="6" borderId="39" xfId="0" applyFont="1" applyFill="1" applyBorder="1" applyAlignment="1">
      <alignment horizontal="left" vertical="top"/>
    </xf>
    <xf numFmtId="14" fontId="3" fillId="4" borderId="34" xfId="0" applyNumberFormat="1" applyFont="1" applyFill="1" applyBorder="1" applyAlignment="1" applyProtection="1">
      <alignment horizontal="left" vertical="top"/>
      <protection locked="0"/>
    </xf>
    <xf numFmtId="0" fontId="1" fillId="4" borderId="34" xfId="0" applyFont="1" applyFill="1" applyBorder="1" applyAlignment="1" applyProtection="1">
      <alignment horizontal="left" vertical="top"/>
      <protection locked="0"/>
    </xf>
    <xf numFmtId="0" fontId="3" fillId="4" borderId="34" xfId="0" applyFont="1" applyFill="1" applyBorder="1" applyAlignment="1">
      <alignment horizontal="left" vertical="top"/>
    </xf>
    <xf numFmtId="0" fontId="1" fillId="4" borderId="34" xfId="0" applyFont="1" applyFill="1" applyBorder="1" applyAlignment="1">
      <alignment horizontal="left" vertical="top"/>
    </xf>
    <xf numFmtId="0" fontId="3" fillId="4" borderId="35" xfId="0" applyFont="1" applyFill="1" applyBorder="1" applyAlignment="1">
      <alignment horizontal="left" vertical="top"/>
    </xf>
    <xf numFmtId="0" fontId="1" fillId="4" borderId="35" xfId="0" applyFont="1" applyFill="1" applyBorder="1" applyAlignment="1">
      <alignment horizontal="left" vertical="top"/>
    </xf>
    <xf numFmtId="0" fontId="3" fillId="0" borderId="41" xfId="0" applyFont="1" applyFill="1" applyBorder="1" applyAlignment="1">
      <alignment horizontal="left" vertical="top"/>
    </xf>
    <xf numFmtId="0" fontId="1" fillId="0" borderId="41" xfId="0" applyFont="1" applyFill="1" applyBorder="1" applyAlignment="1">
      <alignment horizontal="left" vertical="top"/>
    </xf>
    <xf numFmtId="0" fontId="2" fillId="0" borderId="37" xfId="0" applyFont="1" applyFill="1" applyBorder="1" applyAlignment="1" applyProtection="1">
      <alignment horizontal="left" vertical="top"/>
      <protection locked="0"/>
    </xf>
    <xf numFmtId="0" fontId="1" fillId="0" borderId="37" xfId="0" applyFont="1" applyFill="1" applyBorder="1" applyAlignment="1" applyProtection="1">
      <alignment horizontal="left" vertical="top"/>
      <protection locked="0"/>
    </xf>
    <xf numFmtId="0" fontId="3" fillId="0" borderId="64" xfId="0" applyNumberFormat="1" applyFont="1" applyFill="1" applyBorder="1" applyAlignment="1" applyProtection="1">
      <alignment horizontal="center" vertical="center" wrapText="1"/>
      <protection locked="0"/>
    </xf>
    <xf numFmtId="0" fontId="3" fillId="4" borderId="34" xfId="0" applyFont="1" applyFill="1" applyBorder="1" applyAlignment="1" applyProtection="1">
      <alignment horizontal="left" vertical="top"/>
      <protection locked="0"/>
    </xf>
    <xf numFmtId="0" fontId="7" fillId="0" borderId="71" xfId="0" applyFont="1" applyFill="1" applyBorder="1" applyAlignment="1">
      <alignment horizontal="left" vertical="center"/>
    </xf>
    <xf numFmtId="0" fontId="7" fillId="0" borderId="55" xfId="0" applyFont="1" applyFill="1" applyBorder="1" applyAlignment="1">
      <alignment horizontal="left"/>
    </xf>
    <xf numFmtId="0" fontId="0" fillId="0" borderId="56" xfId="0" applyBorder="1" applyAlignment="1">
      <alignment horizontal="left"/>
    </xf>
    <xf numFmtId="0" fontId="7" fillId="0" borderId="9" xfId="0" applyFont="1" applyFill="1" applyBorder="1" applyAlignment="1">
      <alignment horizontal="left" vertical="center"/>
    </xf>
    <xf numFmtId="0" fontId="7" fillId="0" borderId="9" xfId="0" applyFont="1" applyFill="1" applyBorder="1" applyAlignment="1">
      <alignment horizontal="left"/>
    </xf>
    <xf numFmtId="0" fontId="7" fillId="0" borderId="66" xfId="0" applyFont="1" applyFill="1" applyBorder="1" applyAlignment="1">
      <alignment horizontal="left"/>
    </xf>
    <xf numFmtId="0" fontId="7" fillId="0" borderId="73" xfId="0" applyFont="1" applyFill="1" applyBorder="1" applyAlignment="1">
      <alignment horizontal="left" vertical="center"/>
    </xf>
    <xf numFmtId="0" fontId="0" fillId="0" borderId="3" xfId="0" applyBorder="1" applyAlignment="1"/>
    <xf numFmtId="0" fontId="0" fillId="0" borderId="4" xfId="0" applyBorder="1" applyAlignment="1"/>
    <xf numFmtId="0" fontId="7" fillId="0" borderId="74" xfId="0" applyFont="1" applyFill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7" fillId="0" borderId="74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7" fillId="0" borderId="65" xfId="0" applyFont="1" applyFill="1" applyBorder="1" applyAlignment="1">
      <alignment horizontal="left" vertical="center"/>
    </xf>
    <xf numFmtId="0" fontId="7" fillId="0" borderId="9" xfId="0" applyFont="1" applyFill="1" applyBorder="1" applyAlignment="1">
      <alignment horizontal="left" vertical="top"/>
    </xf>
    <xf numFmtId="0" fontId="11" fillId="0" borderId="46" xfId="0" applyFont="1" applyFill="1" applyBorder="1" applyAlignment="1">
      <alignment horizontal="left" vertical="center"/>
    </xf>
    <xf numFmtId="0" fontId="5" fillId="0" borderId="15" xfId="0" applyFont="1" applyFill="1" applyBorder="1" applyAlignment="1">
      <alignment horizontal="left" vertical="center"/>
    </xf>
    <xf numFmtId="0" fontId="5" fillId="0" borderId="21" xfId="0" applyFont="1" applyFill="1" applyBorder="1" applyAlignment="1">
      <alignment horizontal="left" vertical="center"/>
    </xf>
    <xf numFmtId="0" fontId="7" fillId="0" borderId="70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left" vertical="center"/>
    </xf>
    <xf numFmtId="0" fontId="4" fillId="0" borderId="42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3" fillId="0" borderId="42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top"/>
    </xf>
    <xf numFmtId="0" fontId="3" fillId="0" borderId="50" xfId="0" applyFont="1" applyFill="1" applyBorder="1" applyAlignment="1">
      <alignment horizontal="left" vertical="center" wrapText="1"/>
    </xf>
    <xf numFmtId="0" fontId="1" fillId="0" borderId="33" xfId="0" applyFont="1" applyFill="1" applyBorder="1" applyAlignment="1">
      <alignment horizontal="left" vertical="top"/>
    </xf>
    <xf numFmtId="0" fontId="0" fillId="0" borderId="33" xfId="0" applyBorder="1" applyAlignment="1">
      <alignment horizontal="left"/>
    </xf>
    <xf numFmtId="0" fontId="0" fillId="0" borderId="27" xfId="0" applyBorder="1" applyAlignment="1">
      <alignment horizontal="left"/>
    </xf>
    <xf numFmtId="3" fontId="6" fillId="0" borderId="32" xfId="0" applyNumberFormat="1" applyFont="1" applyFill="1" applyBorder="1" applyAlignment="1" applyProtection="1">
      <alignment horizontal="left" vertical="center" wrapText="1"/>
    </xf>
    <xf numFmtId="0" fontId="6" fillId="0" borderId="33" xfId="0" applyFont="1" applyFill="1" applyBorder="1" applyAlignment="1" applyProtection="1">
      <alignment horizontal="left" vertical="top"/>
    </xf>
    <xf numFmtId="0" fontId="6" fillId="0" borderId="27" xfId="0" applyFont="1" applyBorder="1" applyAlignment="1" applyProtection="1">
      <alignment horizontal="left"/>
    </xf>
    <xf numFmtId="0" fontId="3" fillId="0" borderId="53" xfId="0" applyFont="1" applyFill="1" applyBorder="1" applyAlignment="1">
      <alignment horizontal="left" vertical="center"/>
    </xf>
    <xf numFmtId="0" fontId="1" fillId="0" borderId="31" xfId="0" applyFont="1" applyFill="1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11" fillId="0" borderId="38" xfId="0" applyFont="1" applyFill="1" applyBorder="1" applyAlignment="1">
      <alignment horizontal="left" vertical="center"/>
    </xf>
    <xf numFmtId="0" fontId="5" fillId="0" borderId="36" xfId="0" applyFont="1" applyFill="1" applyBorder="1" applyAlignment="1">
      <alignment horizontal="left" vertical="center"/>
    </xf>
    <xf numFmtId="0" fontId="0" fillId="0" borderId="36" xfId="0" applyBorder="1" applyAlignment="1">
      <alignment vertical="center"/>
    </xf>
    <xf numFmtId="0" fontId="0" fillId="0" borderId="63" xfId="0" applyBorder="1" applyAlignment="1">
      <alignment vertical="center"/>
    </xf>
    <xf numFmtId="0" fontId="5" fillId="0" borderId="57" xfId="0" applyFont="1" applyFill="1" applyBorder="1" applyAlignment="1">
      <alignment horizontal="left" vertical="center"/>
    </xf>
    <xf numFmtId="0" fontId="5" fillId="0" borderId="18" xfId="0" applyFont="1" applyFill="1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0" fillId="0" borderId="28" xfId="0" applyBorder="1" applyAlignment="1">
      <alignment vertical="center"/>
    </xf>
    <xf numFmtId="0" fontId="7" fillId="0" borderId="17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7" fillId="0" borderId="21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right" vertical="center"/>
    </xf>
    <xf numFmtId="0" fontId="4" fillId="0" borderId="50" xfId="0" applyFont="1" applyFill="1" applyBorder="1" applyAlignment="1">
      <alignment horizontal="left" vertical="center"/>
    </xf>
    <xf numFmtId="0" fontId="4" fillId="0" borderId="33" xfId="0" applyFont="1" applyFill="1" applyBorder="1" applyAlignment="1">
      <alignment horizontal="left" vertical="center"/>
    </xf>
    <xf numFmtId="0" fontId="4" fillId="0" borderId="27" xfId="0" applyFont="1" applyFill="1" applyBorder="1" applyAlignment="1">
      <alignment horizontal="left" vertical="center"/>
    </xf>
    <xf numFmtId="0" fontId="7" fillId="0" borderId="40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7" fillId="0" borderId="79" xfId="0" applyFont="1" applyFill="1" applyBorder="1" applyAlignment="1">
      <alignment horizontal="center" vertical="center"/>
    </xf>
    <xf numFmtId="0" fontId="7" fillId="0" borderId="80" xfId="0" applyFont="1" applyFill="1" applyBorder="1" applyAlignment="1">
      <alignment horizontal="center" vertical="center"/>
    </xf>
    <xf numFmtId="0" fontId="7" fillId="0" borderId="54" xfId="0" applyFont="1" applyFill="1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7" fillId="0" borderId="61" xfId="0" applyFont="1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57" xfId="0" applyFont="1" applyFill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40" xfId="0" applyFont="1" applyFill="1" applyBorder="1" applyAlignment="1">
      <alignment horizontal="left" vertical="center"/>
    </xf>
    <xf numFmtId="0" fontId="3" fillId="0" borderId="50" xfId="0" applyFont="1" applyFill="1" applyBorder="1" applyAlignment="1">
      <alignment horizontal="left" vertical="center"/>
    </xf>
    <xf numFmtId="0" fontId="1" fillId="0" borderId="33" xfId="0" applyFont="1" applyFill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11" fillId="4" borderId="62" xfId="0" applyFont="1" applyFill="1" applyBorder="1" applyAlignment="1">
      <alignment horizontal="left" vertical="center"/>
    </xf>
    <xf numFmtId="0" fontId="5" fillId="4" borderId="62" xfId="0" applyFont="1" applyFill="1" applyBorder="1" applyAlignment="1">
      <alignment horizontal="left" vertical="center"/>
    </xf>
    <xf numFmtId="0" fontId="0" fillId="0" borderId="31" xfId="0" applyBorder="1" applyAlignment="1">
      <alignment vertical="center"/>
    </xf>
    <xf numFmtId="0" fontId="0" fillId="0" borderId="29" xfId="0" applyBorder="1" applyAlignment="1">
      <alignment vertical="center"/>
    </xf>
    <xf numFmtId="0" fontId="17" fillId="0" borderId="17" xfId="0" applyFont="1" applyFill="1" applyBorder="1" applyAlignment="1">
      <alignment horizontal="center" vertical="center"/>
    </xf>
    <xf numFmtId="0" fontId="17" fillId="0" borderId="17" xfId="0" applyFont="1" applyFill="1" applyBorder="1" applyAlignment="1">
      <alignment horizontal="left" vertical="center"/>
    </xf>
    <xf numFmtId="0" fontId="3" fillId="0" borderId="54" xfId="0" applyFont="1" applyFill="1" applyBorder="1" applyAlignment="1">
      <alignment horizontal="left" vertical="center"/>
    </xf>
    <xf numFmtId="0" fontId="0" fillId="0" borderId="57" xfId="0" applyBorder="1" applyAlignment="1">
      <alignment horizontal="left" vertical="center"/>
    </xf>
    <xf numFmtId="0" fontId="2" fillId="0" borderId="58" xfId="0" applyFont="1" applyFill="1" applyBorder="1" applyAlignment="1">
      <alignment horizontal="center" vertical="center"/>
    </xf>
    <xf numFmtId="0" fontId="3" fillId="0" borderId="59" xfId="0" applyFont="1" applyFill="1" applyBorder="1" applyAlignment="1">
      <alignment vertical="center"/>
    </xf>
    <xf numFmtId="0" fontId="3" fillId="0" borderId="58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59" xfId="0" applyFont="1" applyFill="1" applyBorder="1" applyAlignment="1">
      <alignment horizontal="left" vertical="center"/>
    </xf>
    <xf numFmtId="0" fontId="3" fillId="0" borderId="6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left" vertical="center"/>
    </xf>
    <xf numFmtId="0" fontId="7" fillId="0" borderId="42" xfId="0" applyFont="1" applyFill="1" applyBorder="1" applyAlignment="1">
      <alignment horizontal="left" vertical="center"/>
    </xf>
    <xf numFmtId="0" fontId="3" fillId="0" borderId="42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" fillId="0" borderId="43" xfId="0" applyFont="1" applyFill="1" applyBorder="1" applyAlignment="1">
      <alignment horizontal="left" vertical="center"/>
    </xf>
    <xf numFmtId="0" fontId="1" fillId="0" borderId="16" xfId="0" applyFont="1" applyFill="1" applyBorder="1" applyAlignment="1">
      <alignment horizontal="left" vertical="center"/>
    </xf>
    <xf numFmtId="0" fontId="3" fillId="4" borderId="38" xfId="0" applyFont="1" applyFill="1" applyBorder="1" applyAlignment="1">
      <alignment horizontal="left" vertical="top"/>
    </xf>
    <xf numFmtId="0" fontId="1" fillId="4" borderId="38" xfId="0" applyFont="1" applyFill="1" applyBorder="1" applyAlignment="1">
      <alignment horizontal="left" vertical="top"/>
    </xf>
    <xf numFmtId="0" fontId="3" fillId="4" borderId="39" xfId="0" applyFont="1" applyFill="1" applyBorder="1" applyAlignment="1">
      <alignment horizontal="left" vertical="top"/>
    </xf>
    <xf numFmtId="0" fontId="1" fillId="4" borderId="39" xfId="0" applyFont="1" applyFill="1" applyBorder="1" applyAlignment="1">
      <alignment horizontal="left" vertical="top"/>
    </xf>
    <xf numFmtId="0" fontId="2" fillId="0" borderId="45" xfId="0" applyFont="1" applyFill="1" applyBorder="1" applyAlignment="1">
      <alignment horizontal="left" vertical="center"/>
    </xf>
    <xf numFmtId="0" fontId="1" fillId="0" borderId="22" xfId="0" applyFont="1" applyFill="1" applyBorder="1" applyAlignment="1">
      <alignment horizontal="left" vertical="center"/>
    </xf>
    <xf numFmtId="0" fontId="3" fillId="0" borderId="46" xfId="0" applyFont="1" applyFill="1" applyBorder="1" applyAlignment="1">
      <alignment horizontal="left" vertical="center"/>
    </xf>
    <xf numFmtId="0" fontId="1" fillId="0" borderId="15" xfId="0" applyFont="1" applyFill="1" applyBorder="1" applyAlignment="1">
      <alignment horizontal="left" vertical="center"/>
    </xf>
    <xf numFmtId="0" fontId="11" fillId="0" borderId="47" xfId="0" applyFont="1" applyFill="1" applyBorder="1" applyAlignment="1">
      <alignment horizontal="left" vertical="center"/>
    </xf>
    <xf numFmtId="0" fontId="5" fillId="0" borderId="48" xfId="0" applyFont="1" applyFill="1" applyBorder="1" applyAlignment="1">
      <alignment horizontal="left" vertical="center"/>
    </xf>
    <xf numFmtId="0" fontId="0" fillId="0" borderId="48" xfId="0" applyBorder="1" applyAlignment="1">
      <alignment vertical="center"/>
    </xf>
    <xf numFmtId="0" fontId="0" fillId="0" borderId="49" xfId="0" applyBorder="1" applyAlignment="1">
      <alignment vertical="center"/>
    </xf>
    <xf numFmtId="0" fontId="7" fillId="0" borderId="15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left" vertical="center" wrapText="1"/>
    </xf>
    <xf numFmtId="2" fontId="3" fillId="0" borderId="32" xfId="0" applyNumberFormat="1" applyFont="1" applyFill="1" applyBorder="1" applyAlignment="1" applyProtection="1">
      <alignment horizontal="center" vertical="center"/>
      <protection locked="0"/>
    </xf>
    <xf numFmtId="2" fontId="0" fillId="0" borderId="33" xfId="0" applyNumberFormat="1" applyBorder="1" applyAlignment="1" applyProtection="1">
      <alignment horizontal="center" vertical="center"/>
      <protection locked="0"/>
    </xf>
    <xf numFmtId="2" fontId="0" fillId="0" borderId="27" xfId="0" applyNumberFormat="1" applyBorder="1" applyAlignment="1" applyProtection="1">
      <alignment horizontal="center" vertical="center"/>
      <protection locked="0"/>
    </xf>
    <xf numFmtId="4" fontId="7" fillId="0" borderId="30" xfId="0" applyNumberFormat="1" applyFont="1" applyFill="1" applyBorder="1" applyAlignment="1" applyProtection="1">
      <alignment horizontal="right" vertical="center"/>
      <protection locked="0"/>
    </xf>
    <xf numFmtId="4" fontId="7" fillId="0" borderId="31" xfId="0" applyNumberFormat="1" applyFont="1" applyFill="1" applyBorder="1" applyAlignment="1" applyProtection="1">
      <alignment horizontal="right" vertical="center"/>
      <protection locked="0"/>
    </xf>
    <xf numFmtId="0" fontId="7" fillId="0" borderId="31" xfId="0" applyFont="1" applyBorder="1" applyAlignment="1" applyProtection="1">
      <alignment horizontal="right" vertical="center"/>
      <protection locked="0"/>
    </xf>
    <xf numFmtId="0" fontId="7" fillId="0" borderId="29" xfId="0" applyFont="1" applyBorder="1" applyAlignment="1" applyProtection="1">
      <alignment horizontal="right" vertical="center"/>
      <protection locked="0"/>
    </xf>
    <xf numFmtId="0" fontId="7" fillId="0" borderId="18" xfId="0" applyFont="1" applyFill="1" applyBorder="1" applyAlignment="1">
      <alignment horizontal="left" vertical="center"/>
    </xf>
    <xf numFmtId="4" fontId="7" fillId="0" borderId="32" xfId="0" applyNumberFormat="1" applyFont="1" applyFill="1" applyBorder="1" applyAlignment="1" applyProtection="1">
      <alignment horizontal="right" vertical="center"/>
      <protection locked="0"/>
    </xf>
    <xf numFmtId="4" fontId="7" fillId="0" borderId="33" xfId="0" applyNumberFormat="1" applyFont="1" applyFill="1" applyBorder="1" applyAlignment="1" applyProtection="1">
      <alignment horizontal="right" vertical="center"/>
      <protection locked="0"/>
    </xf>
    <xf numFmtId="0" fontId="7" fillId="0" borderId="33" xfId="0" applyFont="1" applyBorder="1" applyAlignment="1" applyProtection="1">
      <alignment horizontal="right" vertical="center"/>
      <protection locked="0"/>
    </xf>
    <xf numFmtId="0" fontId="7" fillId="0" borderId="27" xfId="0" applyFont="1" applyBorder="1" applyAlignment="1" applyProtection="1">
      <alignment horizontal="right" vertical="center"/>
      <protection locked="0"/>
    </xf>
    <xf numFmtId="0" fontId="1" fillId="0" borderId="30" xfId="0" applyFont="1" applyFill="1" applyBorder="1" applyAlignment="1" applyProtection="1">
      <alignment horizontal="left" vertical="center"/>
      <protection locked="0"/>
    </xf>
    <xf numFmtId="0" fontId="1" fillId="0" borderId="32" xfId="0" applyFont="1" applyFill="1" applyBorder="1" applyAlignment="1" applyProtection="1">
      <alignment horizontal="left" vertical="center"/>
      <protection locked="0"/>
    </xf>
    <xf numFmtId="0" fontId="12" fillId="0" borderId="47" xfId="0" applyFont="1" applyFill="1" applyBorder="1" applyAlignment="1">
      <alignment horizontal="left" vertical="center"/>
    </xf>
    <xf numFmtId="0" fontId="12" fillId="0" borderId="48" xfId="0" applyFont="1" applyFill="1" applyBorder="1" applyAlignment="1">
      <alignment horizontal="left" vertical="center"/>
    </xf>
    <xf numFmtId="3" fontId="3" fillId="0" borderId="16" xfId="0" applyNumberFormat="1" applyFont="1" applyFill="1" applyBorder="1" applyAlignment="1" applyProtection="1">
      <alignment horizontal="center" vertical="center"/>
      <protection locked="0"/>
    </xf>
    <xf numFmtId="0" fontId="1" fillId="0" borderId="16" xfId="0" applyFont="1" applyFill="1" applyBorder="1" applyAlignment="1" applyProtection="1">
      <alignment horizontal="center" vertical="center"/>
      <protection locked="0"/>
    </xf>
    <xf numFmtId="0" fontId="3" fillId="0" borderId="37" xfId="0" applyFont="1" applyFill="1" applyBorder="1" applyAlignment="1" applyProtection="1">
      <alignment horizontal="left" vertical="center"/>
    </xf>
    <xf numFmtId="0" fontId="1" fillId="0" borderId="37" xfId="0" applyFont="1" applyFill="1" applyBorder="1" applyAlignment="1" applyProtection="1">
      <alignment horizontal="left" vertical="center"/>
    </xf>
  </cellXfs>
  <cellStyles count="7">
    <cellStyle name="Dårlig" xfId="3" builtinId="27"/>
    <cellStyle name="God" xfId="2" builtinId="26"/>
    <cellStyle name="Hyperkobling" xfId="6" builtinId="8"/>
    <cellStyle name="Inndata" xfId="5" builtinId="20"/>
    <cellStyle name="Normal" xfId="0" builtinId="0"/>
    <cellStyle name="Nøytral" xfId="4" builtinId="28"/>
    <cellStyle name="Tittel" xfId="1" builtinId="15"/>
  </cellStyles>
  <dxfs count="0"/>
  <tableStyles count="0" defaultTableStyle="TableStyleMedium9" defaultPivotStyle="PivotStyleLight16"/>
  <colors>
    <mruColors>
      <color rgb="FFEAF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19050</xdr:rowOff>
    </xdr:from>
    <xdr:to>
      <xdr:col>5</xdr:col>
      <xdr:colOff>409575</xdr:colOff>
      <xdr:row>11</xdr:row>
      <xdr:rowOff>85725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DE98B363-23B2-4606-A999-F1509AB057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9" t="330000" r="-204003" b="-330000"/>
        <a:stretch/>
      </xdr:blipFill>
      <xdr:spPr>
        <a:xfrm>
          <a:off x="838200" y="1571625"/>
          <a:ext cx="1743075" cy="476250"/>
        </a:xfrm>
        <a:prstGeom prst="rect">
          <a:avLst/>
        </a:prstGeom>
      </xdr:spPr>
    </xdr:pic>
    <xdr:clientData/>
  </xdr:twoCellAnchor>
  <xdr:twoCellAnchor editAs="oneCell">
    <xdr:from>
      <xdr:col>2</xdr:col>
      <xdr:colOff>600075</xdr:colOff>
      <xdr:row>0</xdr:row>
      <xdr:rowOff>66675</xdr:rowOff>
    </xdr:from>
    <xdr:to>
      <xdr:col>5</xdr:col>
      <xdr:colOff>228600</xdr:colOff>
      <xdr:row>1</xdr:row>
      <xdr:rowOff>212101</xdr:rowOff>
    </xdr:to>
    <xdr:pic>
      <xdr:nvPicPr>
        <xdr:cNvPr id="4" name="Bilde 3">
          <a:extLst>
            <a:ext uri="{FF2B5EF4-FFF2-40B4-BE49-F238E27FC236}">
              <a16:creationId xmlns:a16="http://schemas.microsoft.com/office/drawing/2014/main" id="{5C1DCEF1-9CD6-4085-9849-3BBBFA0EC1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416" r="2500" b="33750"/>
        <a:stretch/>
      </xdr:blipFill>
      <xdr:spPr>
        <a:xfrm>
          <a:off x="733425" y="66675"/>
          <a:ext cx="1819275" cy="38355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523875</xdr:colOff>
      <xdr:row>2</xdr:row>
      <xdr:rowOff>142875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ACE97682-76FE-4AA6-B0E4-D4DAAD82A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85725"/>
          <a:ext cx="523875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a@vikenklynge.n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F7359-86D3-483E-929D-081B8A44B552}">
  <sheetPr>
    <pageSetUpPr fitToPage="1"/>
  </sheetPr>
  <dimension ref="A1:O53"/>
  <sheetViews>
    <sheetView tabSelected="1" topLeftCell="A13" workbookViewId="0">
      <selection activeCell="O40" sqref="O40"/>
    </sheetView>
  </sheetViews>
  <sheetFormatPr baseColWidth="10" defaultColWidth="9.140625" defaultRowHeight="12.75" x14ac:dyDescent="0.2"/>
  <cols>
    <col min="1" max="1" width="2" style="140" customWidth="1"/>
    <col min="2" max="2" width="1.140625" style="140" hidden="1" customWidth="1"/>
    <col min="3" max="3" width="10.5703125" style="140" customWidth="1"/>
    <col min="4" max="6" width="7.7109375" style="140" customWidth="1"/>
    <col min="7" max="7" width="7.28515625" style="140" customWidth="1"/>
    <col min="8" max="8" width="6.5703125" style="140" customWidth="1"/>
    <col min="9" max="9" width="7.28515625" style="140" customWidth="1"/>
    <col min="10" max="10" width="15.5703125" style="140" customWidth="1"/>
    <col min="11" max="11" width="7.28515625" style="140" hidden="1" customWidth="1"/>
    <col min="12" max="12" width="7.85546875" style="140" customWidth="1"/>
    <col min="13" max="13" width="15.42578125" style="140" customWidth="1"/>
    <col min="14" max="14" width="2" style="140" customWidth="1"/>
    <col min="15" max="15" width="36.85546875" style="140" customWidth="1"/>
    <col min="16" max="16" width="24.28515625" style="140" bestFit="1" customWidth="1"/>
    <col min="17" max="16384" width="9.140625" style="140"/>
  </cols>
  <sheetData>
    <row r="1" spans="1:14" ht="15" thickBot="1" x14ac:dyDescent="0.25">
      <c r="A1" s="138"/>
      <c r="B1" s="138"/>
      <c r="C1" s="138"/>
      <c r="D1" s="138"/>
      <c r="E1" s="139"/>
      <c r="F1" s="139"/>
      <c r="G1" s="139"/>
      <c r="H1" s="138"/>
      <c r="I1" s="138"/>
      <c r="J1" s="138"/>
      <c r="K1" s="138"/>
      <c r="L1" s="138"/>
      <c r="M1" s="138"/>
      <c r="N1" s="138"/>
    </row>
    <row r="2" spans="1:14" ht="25.5" x14ac:dyDescent="0.35">
      <c r="A2" s="138"/>
      <c r="B2" s="138"/>
      <c r="C2" s="360"/>
      <c r="D2" s="362"/>
      <c r="E2" s="141"/>
      <c r="G2" s="142"/>
      <c r="H2" s="364" t="s">
        <v>109</v>
      </c>
      <c r="I2" s="364"/>
      <c r="J2" s="364"/>
      <c r="K2" s="364"/>
      <c r="L2" s="365"/>
      <c r="M2" s="143" t="s">
        <v>110</v>
      </c>
      <c r="N2" s="144"/>
    </row>
    <row r="3" spans="1:14" ht="26.25" thickBot="1" x14ac:dyDescent="0.4">
      <c r="B3" s="138"/>
      <c r="C3" s="361"/>
      <c r="D3" s="363"/>
      <c r="E3" s="144"/>
      <c r="F3" s="145"/>
      <c r="G3" s="145"/>
      <c r="H3" s="366"/>
      <c r="I3" s="366"/>
      <c r="J3" s="366"/>
      <c r="K3" s="366"/>
      <c r="L3" s="367"/>
      <c r="M3" s="146"/>
      <c r="N3" s="144"/>
    </row>
    <row r="4" spans="1:14" x14ac:dyDescent="0.2">
      <c r="A4" s="138"/>
      <c r="B4" s="138"/>
      <c r="C4" s="356" t="s">
        <v>111</v>
      </c>
      <c r="D4" s="348"/>
      <c r="E4" s="349"/>
      <c r="F4" s="356" t="s">
        <v>112</v>
      </c>
      <c r="G4" s="348"/>
      <c r="H4" s="348"/>
      <c r="I4" s="348"/>
      <c r="J4" s="348"/>
      <c r="K4" s="348"/>
      <c r="L4" s="349"/>
      <c r="M4" s="147" t="s">
        <v>113</v>
      </c>
      <c r="N4" s="144"/>
    </row>
    <row r="5" spans="1:14" ht="13.5" thickBot="1" x14ac:dyDescent="0.25">
      <c r="A5" s="138"/>
      <c r="B5" s="138"/>
      <c r="C5" s="350">
        <v>150465</v>
      </c>
      <c r="D5" s="351"/>
      <c r="E5" s="352"/>
      <c r="F5" s="353" t="s">
        <v>157</v>
      </c>
      <c r="G5" s="354"/>
      <c r="H5" s="354"/>
      <c r="I5" s="354"/>
      <c r="J5" s="354"/>
      <c r="K5" s="354"/>
      <c r="L5" s="355"/>
      <c r="M5" s="148" t="s">
        <v>158</v>
      </c>
      <c r="N5" s="144"/>
    </row>
    <row r="6" spans="1:14" ht="13.5" thickBot="1" x14ac:dyDescent="0.25">
      <c r="A6" s="138"/>
      <c r="B6" s="138"/>
      <c r="C6" s="149"/>
      <c r="D6" s="150"/>
      <c r="E6" s="150"/>
      <c r="F6" s="150"/>
      <c r="G6" s="150"/>
      <c r="H6" s="150"/>
      <c r="I6" s="150"/>
      <c r="J6" s="150"/>
      <c r="K6" s="150"/>
      <c r="L6" s="150"/>
      <c r="M6" s="149"/>
      <c r="N6" s="144"/>
    </row>
    <row r="7" spans="1:14" x14ac:dyDescent="0.2">
      <c r="A7" s="138"/>
      <c r="B7" s="138"/>
      <c r="C7" s="356" t="s">
        <v>55</v>
      </c>
      <c r="D7" s="348"/>
      <c r="E7" s="348"/>
      <c r="F7" s="349"/>
      <c r="G7" s="357" t="s">
        <v>114</v>
      </c>
      <c r="H7" s="358"/>
      <c r="I7" s="357" t="s">
        <v>115</v>
      </c>
      <c r="J7" s="358"/>
      <c r="K7" s="359" t="s">
        <v>116</v>
      </c>
      <c r="L7" s="359"/>
      <c r="M7" s="358"/>
      <c r="N7" s="151"/>
    </row>
    <row r="8" spans="1:14" ht="15.75" thickBot="1" x14ac:dyDescent="0.3">
      <c r="A8" s="138"/>
      <c r="B8" s="138"/>
      <c r="C8" s="338" t="s">
        <v>159</v>
      </c>
      <c r="D8" s="339"/>
      <c r="E8" s="339"/>
      <c r="F8" s="340"/>
      <c r="G8" s="341">
        <v>1555</v>
      </c>
      <c r="H8" s="342"/>
      <c r="I8" s="341" t="s">
        <v>160</v>
      </c>
      <c r="J8" s="342"/>
      <c r="K8" s="271">
        <v>11351033438</v>
      </c>
      <c r="L8" s="271"/>
      <c r="M8" s="342"/>
      <c r="N8" s="151"/>
    </row>
    <row r="9" spans="1:14" x14ac:dyDescent="0.2">
      <c r="A9" s="138"/>
      <c r="B9" s="138"/>
      <c r="C9" s="343" t="s">
        <v>117</v>
      </c>
      <c r="D9" s="344"/>
      <c r="E9" s="345"/>
      <c r="F9" s="345"/>
      <c r="G9" s="345"/>
      <c r="H9" s="346"/>
      <c r="I9" s="347" t="s">
        <v>163</v>
      </c>
      <c r="J9" s="348"/>
      <c r="K9" s="348"/>
      <c r="L9" s="348"/>
      <c r="M9" s="349"/>
      <c r="N9" s="151"/>
    </row>
    <row r="10" spans="1:14" x14ac:dyDescent="0.2">
      <c r="A10" s="138"/>
      <c r="B10" s="138"/>
      <c r="C10" s="320" t="s">
        <v>161</v>
      </c>
      <c r="D10" s="321"/>
      <c r="E10" s="321"/>
      <c r="F10" s="321"/>
      <c r="G10" s="324" t="s">
        <v>162</v>
      </c>
      <c r="H10" s="324"/>
      <c r="I10" s="324"/>
      <c r="J10" s="324"/>
      <c r="K10" s="324"/>
      <c r="L10" s="324"/>
      <c r="M10" s="325"/>
      <c r="N10" s="151"/>
    </row>
    <row r="11" spans="1:14" ht="13.5" thickBot="1" x14ac:dyDescent="0.25">
      <c r="A11" s="138"/>
      <c r="B11" s="138"/>
      <c r="C11" s="322"/>
      <c r="D11" s="323"/>
      <c r="E11" s="323"/>
      <c r="F11" s="323"/>
      <c r="G11" s="326"/>
      <c r="H11" s="326"/>
      <c r="I11" s="326"/>
      <c r="J11" s="326"/>
      <c r="K11" s="326"/>
      <c r="L11" s="326"/>
      <c r="M11" s="327"/>
      <c r="N11" s="151"/>
    </row>
    <row r="12" spans="1:14" ht="13.5" thickBot="1" x14ac:dyDescent="0.25">
      <c r="A12" s="138"/>
      <c r="B12" s="138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52"/>
      <c r="N12" s="144"/>
    </row>
    <row r="13" spans="1:14" ht="36" x14ac:dyDescent="0.2">
      <c r="A13" s="138"/>
      <c r="B13" s="138"/>
      <c r="C13" s="328" t="s">
        <v>164</v>
      </c>
      <c r="D13" s="331" t="s">
        <v>118</v>
      </c>
      <c r="E13" s="332"/>
      <c r="F13" s="332" t="s">
        <v>119</v>
      </c>
      <c r="G13" s="332"/>
      <c r="H13" s="333" t="s">
        <v>167</v>
      </c>
      <c r="I13" s="331"/>
      <c r="J13" s="153" t="s">
        <v>120</v>
      </c>
      <c r="K13" s="154" t="s">
        <v>121</v>
      </c>
      <c r="L13" s="155" t="s">
        <v>121</v>
      </c>
      <c r="M13" s="156" t="s">
        <v>122</v>
      </c>
      <c r="N13" s="144"/>
    </row>
    <row r="14" spans="1:14" x14ac:dyDescent="0.2">
      <c r="A14" s="138"/>
      <c r="B14" s="138"/>
      <c r="C14" s="329"/>
      <c r="D14" s="157" t="s">
        <v>32</v>
      </c>
      <c r="E14" s="158" t="s">
        <v>50</v>
      </c>
      <c r="F14" s="158" t="s">
        <v>32</v>
      </c>
      <c r="G14" s="158" t="s">
        <v>50</v>
      </c>
      <c r="H14" s="334"/>
      <c r="I14" s="335"/>
      <c r="J14" s="159"/>
      <c r="K14" s="159"/>
      <c r="L14" s="160"/>
      <c r="M14" s="161"/>
      <c r="N14" s="144"/>
    </row>
    <row r="15" spans="1:14" x14ac:dyDescent="0.2">
      <c r="A15" s="138"/>
      <c r="B15" s="138"/>
      <c r="C15" s="329"/>
      <c r="D15" s="162">
        <v>44684</v>
      </c>
      <c r="E15" s="163" t="s">
        <v>165</v>
      </c>
      <c r="F15" s="164">
        <v>44686</v>
      </c>
      <c r="G15" s="163" t="s">
        <v>166</v>
      </c>
      <c r="H15" s="334" t="s">
        <v>168</v>
      </c>
      <c r="I15" s="335"/>
      <c r="J15" s="159" t="s">
        <v>169</v>
      </c>
      <c r="K15" s="159"/>
      <c r="L15" s="160"/>
      <c r="M15" s="161" t="s">
        <v>173</v>
      </c>
      <c r="N15" s="144"/>
    </row>
    <row r="16" spans="1:14" x14ac:dyDescent="0.2">
      <c r="A16" s="138"/>
      <c r="B16" s="138"/>
      <c r="C16" s="329"/>
      <c r="D16" s="162"/>
      <c r="E16" s="163"/>
      <c r="F16" s="164"/>
      <c r="G16" s="163"/>
      <c r="H16" s="334"/>
      <c r="I16" s="335"/>
      <c r="J16" s="159"/>
      <c r="K16" s="159"/>
      <c r="L16" s="160"/>
      <c r="M16" s="161"/>
      <c r="N16" s="144"/>
    </row>
    <row r="17" spans="1:14" ht="13.5" thickBot="1" x14ac:dyDescent="0.25">
      <c r="A17" s="138"/>
      <c r="B17" s="138"/>
      <c r="C17" s="330"/>
      <c r="D17" s="165"/>
      <c r="E17" s="166"/>
      <c r="F17" s="167"/>
      <c r="G17" s="166"/>
      <c r="H17" s="336"/>
      <c r="I17" s="337"/>
      <c r="J17" s="168"/>
      <c r="K17" s="168"/>
      <c r="L17" s="169"/>
      <c r="M17" s="170"/>
      <c r="N17" s="144"/>
    </row>
    <row r="18" spans="1:14" ht="13.5" thickBot="1" x14ac:dyDescent="0.25">
      <c r="A18" s="138"/>
      <c r="B18" s="138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</row>
    <row r="19" spans="1:14" x14ac:dyDescent="0.2">
      <c r="A19" s="138"/>
      <c r="B19" s="138"/>
      <c r="C19" s="304" t="s">
        <v>123</v>
      </c>
      <c r="D19" s="308" t="s">
        <v>124</v>
      </c>
      <c r="E19" s="309"/>
      <c r="F19" s="309"/>
      <c r="G19" s="310"/>
      <c r="H19" s="171" t="s">
        <v>125</v>
      </c>
      <c r="I19" s="172" t="s">
        <v>38</v>
      </c>
      <c r="J19" s="173" t="s">
        <v>126</v>
      </c>
      <c r="K19" s="174"/>
      <c r="L19" s="175"/>
      <c r="M19" s="176" t="s">
        <v>127</v>
      </c>
      <c r="N19" s="144"/>
    </row>
    <row r="20" spans="1:14" ht="15" hidden="1" x14ac:dyDescent="0.25">
      <c r="A20" s="138"/>
      <c r="B20" s="138"/>
      <c r="C20" s="305"/>
      <c r="D20" s="272" t="s">
        <v>128</v>
      </c>
      <c r="E20" s="311"/>
      <c r="F20" s="314" t="s">
        <v>129</v>
      </c>
      <c r="G20" s="315"/>
      <c r="H20" s="177">
        <v>5040</v>
      </c>
      <c r="I20" s="178"/>
      <c r="J20" s="179">
        <v>4.2</v>
      </c>
      <c r="K20" s="180"/>
      <c r="L20" s="181" t="s">
        <v>130</v>
      </c>
      <c r="M20" s="182" t="str">
        <f>IF(J20*I20=0,"",J20*I20)</f>
        <v/>
      </c>
      <c r="N20" s="144"/>
    </row>
    <row r="21" spans="1:14" ht="15" x14ac:dyDescent="0.25">
      <c r="A21" s="138"/>
      <c r="B21" s="138"/>
      <c r="C21" s="305"/>
      <c r="D21" s="274"/>
      <c r="E21" s="312"/>
      <c r="F21" s="316" t="s">
        <v>131</v>
      </c>
      <c r="G21" s="317"/>
      <c r="H21" s="183">
        <v>460</v>
      </c>
      <c r="I21" s="184"/>
      <c r="J21" s="295">
        <v>4.03</v>
      </c>
      <c r="K21" s="296"/>
      <c r="L21" s="185"/>
      <c r="M21" s="186" t="str">
        <f t="shared" ref="M21:M30" si="0">IF(J21*I21=0,"",J21*I21)</f>
        <v/>
      </c>
      <c r="N21" s="144"/>
    </row>
    <row r="22" spans="1:14" ht="15" x14ac:dyDescent="0.25">
      <c r="A22" s="138"/>
      <c r="B22" s="138"/>
      <c r="C22" s="305"/>
      <c r="D22" s="276"/>
      <c r="E22" s="313"/>
      <c r="F22" s="294" t="s">
        <v>132</v>
      </c>
      <c r="G22" s="279"/>
      <c r="H22" s="183">
        <v>463</v>
      </c>
      <c r="I22" s="184"/>
      <c r="J22" s="295">
        <v>1</v>
      </c>
      <c r="K22" s="296"/>
      <c r="L22" s="185"/>
      <c r="M22" s="186" t="str">
        <f t="shared" si="0"/>
        <v/>
      </c>
      <c r="N22" s="144"/>
    </row>
    <row r="23" spans="1:14" ht="15" x14ac:dyDescent="0.25">
      <c r="A23" s="138"/>
      <c r="B23" s="138"/>
      <c r="C23" s="305"/>
      <c r="D23" s="288" t="s">
        <v>154</v>
      </c>
      <c r="E23" s="273"/>
      <c r="F23" s="318" t="s">
        <v>155</v>
      </c>
      <c r="G23" s="319"/>
      <c r="H23" s="183">
        <v>490</v>
      </c>
      <c r="I23" s="184">
        <v>0</v>
      </c>
      <c r="J23" s="301"/>
      <c r="K23" s="302"/>
      <c r="L23" s="187"/>
      <c r="M23" s="225" t="str">
        <f t="shared" si="0"/>
        <v/>
      </c>
      <c r="N23" s="144"/>
    </row>
    <row r="24" spans="1:14" ht="15" x14ac:dyDescent="0.25">
      <c r="A24" s="138"/>
      <c r="B24" s="138"/>
      <c r="C24" s="305"/>
      <c r="D24" s="276"/>
      <c r="E24" s="277"/>
      <c r="F24" s="303" t="s">
        <v>156</v>
      </c>
      <c r="G24" s="303"/>
      <c r="H24" s="183"/>
      <c r="I24" s="184">
        <v>1</v>
      </c>
      <c r="J24" s="301"/>
      <c r="K24" s="302"/>
      <c r="L24" s="187">
        <v>5204.91</v>
      </c>
      <c r="M24" s="225">
        <f>I24*L24</f>
        <v>5204.91</v>
      </c>
      <c r="N24" s="144"/>
    </row>
    <row r="25" spans="1:14" ht="15" x14ac:dyDescent="0.25">
      <c r="A25" s="138"/>
      <c r="B25" s="138"/>
      <c r="C25" s="305"/>
      <c r="D25" s="290" t="s">
        <v>133</v>
      </c>
      <c r="E25" s="291"/>
      <c r="F25" s="294" t="s">
        <v>134</v>
      </c>
      <c r="G25" s="279"/>
      <c r="H25" s="183">
        <v>466</v>
      </c>
      <c r="I25" s="184"/>
      <c r="J25" s="295">
        <v>324</v>
      </c>
      <c r="K25" s="296"/>
      <c r="L25" s="185"/>
      <c r="M25" s="186" t="str">
        <f t="shared" si="0"/>
        <v/>
      </c>
      <c r="N25" s="144"/>
    </row>
    <row r="26" spans="1:14" ht="15" x14ac:dyDescent="0.25">
      <c r="A26" s="138"/>
      <c r="B26" s="138"/>
      <c r="C26" s="305"/>
      <c r="D26" s="290"/>
      <c r="E26" s="291"/>
      <c r="F26" s="294" t="s">
        <v>135</v>
      </c>
      <c r="G26" s="279"/>
      <c r="H26" s="183">
        <v>467</v>
      </c>
      <c r="I26" s="184"/>
      <c r="J26" s="295">
        <v>603</v>
      </c>
      <c r="K26" s="296"/>
      <c r="L26" s="185"/>
      <c r="M26" s="186" t="str">
        <f t="shared" si="0"/>
        <v/>
      </c>
      <c r="N26" s="144"/>
    </row>
    <row r="27" spans="1:14" ht="15" x14ac:dyDescent="0.25">
      <c r="A27" s="138"/>
      <c r="B27" s="138"/>
      <c r="C27" s="305"/>
      <c r="D27" s="290"/>
      <c r="E27" s="291"/>
      <c r="F27" s="282" t="s">
        <v>136</v>
      </c>
      <c r="G27" s="189" t="s">
        <v>29</v>
      </c>
      <c r="H27" s="190" t="s">
        <v>137</v>
      </c>
      <c r="I27" s="184"/>
      <c r="J27" s="191"/>
      <c r="K27" s="192"/>
      <c r="L27" s="193"/>
      <c r="M27" s="194"/>
      <c r="N27" s="144"/>
    </row>
    <row r="28" spans="1:14" ht="15" x14ac:dyDescent="0.25">
      <c r="A28" s="138"/>
      <c r="B28" s="138"/>
      <c r="C28" s="305"/>
      <c r="D28" s="290"/>
      <c r="E28" s="291"/>
      <c r="F28" s="283"/>
      <c r="G28" s="189" t="s">
        <v>16</v>
      </c>
      <c r="H28" s="190" t="s">
        <v>137</v>
      </c>
      <c r="I28" s="184"/>
      <c r="J28" s="191"/>
      <c r="K28" s="192"/>
      <c r="L28" s="193"/>
      <c r="M28" s="194"/>
      <c r="N28" s="144"/>
    </row>
    <row r="29" spans="1:14" x14ac:dyDescent="0.2">
      <c r="A29" s="138"/>
      <c r="B29" s="138"/>
      <c r="C29" s="305"/>
      <c r="D29" s="292"/>
      <c r="E29" s="293"/>
      <c r="F29" s="284"/>
      <c r="G29" s="189" t="s">
        <v>18</v>
      </c>
      <c r="H29" s="190" t="s">
        <v>137</v>
      </c>
      <c r="I29" s="184"/>
      <c r="J29" s="301"/>
      <c r="K29" s="302"/>
      <c r="L29" s="187"/>
      <c r="M29" s="188" t="str">
        <f t="shared" si="0"/>
        <v/>
      </c>
      <c r="N29" s="144"/>
    </row>
    <row r="30" spans="1:14" ht="15" x14ac:dyDescent="0.25">
      <c r="A30" s="138"/>
      <c r="B30" s="138"/>
      <c r="C30" s="305"/>
      <c r="D30" s="288" t="s">
        <v>138</v>
      </c>
      <c r="E30" s="289"/>
      <c r="F30" s="294" t="s">
        <v>135</v>
      </c>
      <c r="G30" s="279"/>
      <c r="H30" s="183">
        <v>468</v>
      </c>
      <c r="I30" s="184"/>
      <c r="J30" s="295">
        <v>825</v>
      </c>
      <c r="K30" s="296"/>
      <c r="L30" s="185"/>
      <c r="M30" s="186" t="str">
        <f t="shared" si="0"/>
        <v/>
      </c>
      <c r="N30" s="144"/>
    </row>
    <row r="31" spans="1:14" ht="15" x14ac:dyDescent="0.25">
      <c r="A31" s="138"/>
      <c r="B31" s="138"/>
      <c r="C31" s="305"/>
      <c r="D31" s="290"/>
      <c r="E31" s="291"/>
      <c r="F31" s="282" t="s">
        <v>136</v>
      </c>
      <c r="G31" s="189" t="s">
        <v>29</v>
      </c>
      <c r="H31" s="190" t="s">
        <v>137</v>
      </c>
      <c r="I31" s="184"/>
      <c r="J31" s="191"/>
      <c r="K31" s="192"/>
      <c r="L31" s="233">
        <v>0.2</v>
      </c>
      <c r="M31" s="227">
        <f>I31*J31</f>
        <v>0</v>
      </c>
      <c r="N31" s="144"/>
    </row>
    <row r="32" spans="1:14" ht="15" x14ac:dyDescent="0.25">
      <c r="A32" s="138"/>
      <c r="B32" s="138"/>
      <c r="C32" s="305"/>
      <c r="D32" s="290"/>
      <c r="E32" s="291"/>
      <c r="F32" s="283"/>
      <c r="G32" s="189" t="s">
        <v>16</v>
      </c>
      <c r="H32" s="190" t="s">
        <v>137</v>
      </c>
      <c r="I32" s="184"/>
      <c r="J32" s="191"/>
      <c r="K32" s="192"/>
      <c r="L32" s="233">
        <v>0.3</v>
      </c>
      <c r="M32" s="226">
        <f>I32*J32</f>
        <v>0</v>
      </c>
      <c r="N32" s="144"/>
    </row>
    <row r="33" spans="1:14" ht="15" x14ac:dyDescent="0.25">
      <c r="A33" s="138"/>
      <c r="B33" s="138"/>
      <c r="C33" s="305"/>
      <c r="D33" s="292"/>
      <c r="E33" s="293"/>
      <c r="F33" s="284"/>
      <c r="G33" s="189" t="s">
        <v>18</v>
      </c>
      <c r="H33" s="190" t="s">
        <v>137</v>
      </c>
      <c r="I33" s="184"/>
      <c r="J33" s="280"/>
      <c r="K33" s="281"/>
      <c r="L33" s="234">
        <v>0.5</v>
      </c>
      <c r="M33" s="226">
        <f t="shared" ref="M33:M38" si="1">I33*J33</f>
        <v>0</v>
      </c>
      <c r="N33" s="144"/>
    </row>
    <row r="34" spans="1:14" ht="31.5" customHeight="1" x14ac:dyDescent="0.25">
      <c r="A34" s="138"/>
      <c r="B34" s="138"/>
      <c r="C34" s="305"/>
      <c r="D34" s="297" t="s">
        <v>139</v>
      </c>
      <c r="E34" s="298"/>
      <c r="F34" s="299" t="s">
        <v>140</v>
      </c>
      <c r="G34" s="300"/>
      <c r="H34" s="190">
        <v>469</v>
      </c>
      <c r="I34" s="184"/>
      <c r="J34" s="280"/>
      <c r="K34" s="281"/>
      <c r="L34" s="187"/>
      <c r="M34" s="226">
        <f t="shared" si="1"/>
        <v>0</v>
      </c>
      <c r="N34" s="144"/>
    </row>
    <row r="35" spans="1:14" ht="15" x14ac:dyDescent="0.25">
      <c r="A35" s="138"/>
      <c r="B35" s="138"/>
      <c r="C35" s="306"/>
      <c r="D35" s="272" t="s">
        <v>141</v>
      </c>
      <c r="E35" s="273"/>
      <c r="F35" s="278" t="s">
        <v>142</v>
      </c>
      <c r="G35" s="279"/>
      <c r="H35" s="190">
        <v>475</v>
      </c>
      <c r="I35" s="184"/>
      <c r="J35" s="280"/>
      <c r="K35" s="281"/>
      <c r="L35" s="187"/>
      <c r="M35" s="226">
        <f t="shared" si="1"/>
        <v>0</v>
      </c>
      <c r="N35" s="144"/>
    </row>
    <row r="36" spans="1:14" ht="15" x14ac:dyDescent="0.25">
      <c r="A36" s="138"/>
      <c r="B36" s="138"/>
      <c r="C36" s="306"/>
      <c r="D36" s="274"/>
      <c r="E36" s="275"/>
      <c r="F36" s="282" t="s">
        <v>136</v>
      </c>
      <c r="G36" s="189" t="s">
        <v>29</v>
      </c>
      <c r="H36" s="190" t="s">
        <v>137</v>
      </c>
      <c r="I36" s="184"/>
      <c r="J36" s="191"/>
      <c r="K36" s="192"/>
      <c r="L36" s="193"/>
      <c r="M36" s="226">
        <f t="shared" si="1"/>
        <v>0</v>
      </c>
      <c r="N36" s="144"/>
    </row>
    <row r="37" spans="1:14" ht="15" customHeight="1" x14ac:dyDescent="0.25">
      <c r="A37" s="138"/>
      <c r="B37" s="138"/>
      <c r="C37" s="306"/>
      <c r="D37" s="274"/>
      <c r="E37" s="275"/>
      <c r="F37" s="283"/>
      <c r="G37" s="189" t="s">
        <v>16</v>
      </c>
      <c r="H37" s="190" t="s">
        <v>137</v>
      </c>
      <c r="I37" s="184"/>
      <c r="J37" s="191"/>
      <c r="K37" s="192"/>
      <c r="L37" s="193"/>
      <c r="M37" s="226">
        <f t="shared" si="1"/>
        <v>0</v>
      </c>
      <c r="N37" s="144"/>
    </row>
    <row r="38" spans="1:14" ht="15.75" thickBot="1" x14ac:dyDescent="0.3">
      <c r="A38" s="138"/>
      <c r="B38" s="138"/>
      <c r="C38" s="307"/>
      <c r="D38" s="276"/>
      <c r="E38" s="277"/>
      <c r="F38" s="284"/>
      <c r="G38" s="189" t="s">
        <v>18</v>
      </c>
      <c r="H38" s="190" t="s">
        <v>137</v>
      </c>
      <c r="I38" s="184"/>
      <c r="J38" s="280"/>
      <c r="K38" s="281"/>
      <c r="L38" s="187"/>
      <c r="M38" s="226">
        <f t="shared" si="1"/>
        <v>0</v>
      </c>
      <c r="N38" s="144"/>
    </row>
    <row r="39" spans="1:14" ht="13.5" thickBot="1" x14ac:dyDescent="0.25">
      <c r="A39" s="138"/>
      <c r="B39" s="138"/>
      <c r="C39" s="144"/>
      <c r="E39" s="196"/>
      <c r="F39" s="149"/>
      <c r="G39" s="149"/>
      <c r="H39" s="149"/>
      <c r="I39" s="149"/>
      <c r="J39" s="149"/>
      <c r="K39" s="149"/>
      <c r="L39" s="149"/>
      <c r="M39" s="149"/>
      <c r="N39" s="144"/>
    </row>
    <row r="40" spans="1:14" x14ac:dyDescent="0.2">
      <c r="A40" s="138"/>
      <c r="B40" s="138"/>
      <c r="C40" s="285" t="s">
        <v>143</v>
      </c>
      <c r="D40" s="197" t="s">
        <v>144</v>
      </c>
      <c r="E40" s="198"/>
      <c r="F40" s="197"/>
      <c r="G40" s="199"/>
      <c r="H40" s="171" t="s">
        <v>125</v>
      </c>
      <c r="I40" s="172" t="s">
        <v>38</v>
      </c>
      <c r="J40" s="172" t="s">
        <v>126</v>
      </c>
      <c r="K40" s="200" t="s">
        <v>145</v>
      </c>
      <c r="L40" s="201"/>
      <c r="M40" s="176" t="s">
        <v>127</v>
      </c>
      <c r="N40" s="144"/>
    </row>
    <row r="41" spans="1:14" x14ac:dyDescent="0.2">
      <c r="A41" s="138"/>
      <c r="B41" s="138"/>
      <c r="C41" s="286"/>
      <c r="D41" s="202" t="s">
        <v>146</v>
      </c>
      <c r="E41" s="203"/>
      <c r="F41" s="203"/>
      <c r="G41" s="203"/>
      <c r="H41" s="204">
        <v>255</v>
      </c>
      <c r="I41" s="184"/>
      <c r="J41" s="184"/>
      <c r="K41" s="184"/>
      <c r="L41" s="205"/>
      <c r="M41" s="195"/>
      <c r="N41" s="144"/>
    </row>
    <row r="42" spans="1:14" x14ac:dyDescent="0.2">
      <c r="A42" s="138"/>
      <c r="B42" s="138"/>
      <c r="C42" s="286"/>
      <c r="D42" s="206" t="s">
        <v>147</v>
      </c>
      <c r="E42" s="206"/>
      <c r="F42" s="206"/>
      <c r="G42" s="207"/>
      <c r="H42" s="204">
        <v>257</v>
      </c>
      <c r="I42" s="184"/>
      <c r="J42" s="184"/>
      <c r="K42" s="184"/>
      <c r="L42" s="205"/>
      <c r="M42" s="195"/>
      <c r="N42" s="144"/>
    </row>
    <row r="43" spans="1:14" x14ac:dyDescent="0.2">
      <c r="A43" s="138"/>
      <c r="B43" s="138"/>
      <c r="C43" s="286"/>
      <c r="D43" s="206" t="s">
        <v>148</v>
      </c>
      <c r="E43" s="203"/>
      <c r="F43" s="206"/>
      <c r="G43" s="207"/>
      <c r="H43" s="204">
        <v>257</v>
      </c>
      <c r="I43" s="184"/>
      <c r="J43" s="184"/>
      <c r="K43" s="184"/>
      <c r="L43" s="205"/>
      <c r="M43" s="195"/>
      <c r="N43" s="144"/>
    </row>
    <row r="44" spans="1:14" x14ac:dyDescent="0.2">
      <c r="A44" s="138"/>
      <c r="B44" s="138"/>
      <c r="C44" s="286"/>
      <c r="D44" s="208" t="s">
        <v>149</v>
      </c>
      <c r="E44" s="208"/>
      <c r="F44" s="208"/>
      <c r="G44" s="229"/>
      <c r="H44" s="230">
        <v>494</v>
      </c>
      <c r="I44" s="231"/>
      <c r="J44" s="231"/>
      <c r="K44" s="231"/>
      <c r="L44" s="232"/>
      <c r="M44" s="209"/>
      <c r="N44" s="144"/>
    </row>
    <row r="45" spans="1:14" x14ac:dyDescent="0.2">
      <c r="A45" s="138"/>
      <c r="B45" s="138"/>
      <c r="C45" s="286"/>
      <c r="D45" s="240" t="s">
        <v>170</v>
      </c>
      <c r="E45" s="241"/>
      <c r="F45" s="241"/>
      <c r="G45" s="241"/>
      <c r="H45" s="241"/>
      <c r="I45" s="241"/>
      <c r="J45" s="241"/>
      <c r="K45" s="241"/>
      <c r="L45" s="242"/>
      <c r="M45" s="228">
        <f>SUM(M21:M38)</f>
        <v>5204.91</v>
      </c>
      <c r="N45" s="144"/>
    </row>
    <row r="46" spans="1:14" ht="15.75" thickBot="1" x14ac:dyDescent="0.3">
      <c r="A46" s="138"/>
      <c r="B46" s="138"/>
      <c r="C46" s="287"/>
      <c r="D46" s="243" t="s">
        <v>171</v>
      </c>
      <c r="E46" s="244"/>
      <c r="F46" s="244"/>
      <c r="G46" s="244"/>
      <c r="H46" s="244"/>
      <c r="I46" s="244"/>
      <c r="J46" s="244"/>
      <c r="K46" s="244"/>
      <c r="L46" s="245"/>
      <c r="M46" s="211">
        <f>M24</f>
        <v>5204.91</v>
      </c>
      <c r="N46" s="144"/>
    </row>
    <row r="47" spans="1:14" x14ac:dyDescent="0.2">
      <c r="A47" s="138"/>
      <c r="B47" s="138"/>
      <c r="C47" s="246" t="s">
        <v>150</v>
      </c>
      <c r="D47" s="247"/>
      <c r="E47" s="247"/>
      <c r="F47" s="248"/>
      <c r="G47" s="249" t="s">
        <v>151</v>
      </c>
      <c r="H47" s="250"/>
      <c r="I47" s="250"/>
      <c r="J47" s="251"/>
      <c r="K47" s="249" t="s">
        <v>152</v>
      </c>
      <c r="L47" s="250"/>
      <c r="M47" s="251"/>
      <c r="N47" s="144"/>
    </row>
    <row r="48" spans="1:14" x14ac:dyDescent="0.2">
      <c r="A48" s="138"/>
      <c r="B48" s="138"/>
      <c r="C48" s="212" t="s">
        <v>32</v>
      </c>
      <c r="D48" s="213" t="s">
        <v>153</v>
      </c>
      <c r="E48" s="214"/>
      <c r="F48" s="215"/>
      <c r="G48" s="252" t="s">
        <v>32</v>
      </c>
      <c r="H48" s="253"/>
      <c r="I48" s="254" t="s">
        <v>153</v>
      </c>
      <c r="J48" s="255"/>
      <c r="K48" s="216" t="s">
        <v>32</v>
      </c>
      <c r="L48" s="217" t="s">
        <v>32</v>
      </c>
      <c r="M48" s="218" t="s">
        <v>153</v>
      </c>
      <c r="N48" s="144"/>
    </row>
    <row r="49" spans="1:15" x14ac:dyDescent="0.2">
      <c r="A49" s="138"/>
      <c r="B49" s="138"/>
      <c r="C49" s="219"/>
      <c r="D49" s="256" t="s">
        <v>168</v>
      </c>
      <c r="E49" s="257"/>
      <c r="F49" s="258"/>
      <c r="G49" s="262">
        <v>44693</v>
      </c>
      <c r="H49" s="263"/>
      <c r="I49" s="266" t="s">
        <v>172</v>
      </c>
      <c r="J49" s="267"/>
      <c r="K49" s="270"/>
      <c r="L49" s="263"/>
      <c r="M49" s="238"/>
      <c r="N49" s="144"/>
    </row>
    <row r="50" spans="1:15" ht="13.5" thickBot="1" x14ac:dyDescent="0.25">
      <c r="A50" s="138"/>
      <c r="B50" s="138"/>
      <c r="C50" s="221">
        <v>44693</v>
      </c>
      <c r="D50" s="259"/>
      <c r="E50" s="260"/>
      <c r="F50" s="261"/>
      <c r="G50" s="264"/>
      <c r="H50" s="265"/>
      <c r="I50" s="268"/>
      <c r="J50" s="269"/>
      <c r="K50" s="271"/>
      <c r="L50" s="265"/>
      <c r="M50" s="239"/>
      <c r="N50" s="144"/>
    </row>
    <row r="51" spans="1:15" ht="13.5" hidden="1" thickBot="1" x14ac:dyDescent="0.25">
      <c r="A51" s="138"/>
      <c r="B51" s="220"/>
      <c r="C51" s="221"/>
      <c r="D51" s="210"/>
      <c r="E51" s="210"/>
      <c r="F51" s="222"/>
      <c r="G51" s="222"/>
      <c r="H51" s="222"/>
      <c r="I51" s="222"/>
      <c r="J51" s="222"/>
      <c r="K51" s="222"/>
      <c r="L51" s="222"/>
      <c r="M51" s="223"/>
      <c r="N51" s="224"/>
    </row>
    <row r="52" spans="1:15" x14ac:dyDescent="0.2">
      <c r="A52" s="138"/>
      <c r="B52" s="138"/>
      <c r="C52" s="235"/>
      <c r="F52" s="144"/>
      <c r="G52" s="144"/>
      <c r="H52" s="144"/>
      <c r="I52" s="144"/>
      <c r="J52" s="144"/>
      <c r="K52" s="144"/>
      <c r="L52" s="144"/>
      <c r="M52" s="144"/>
      <c r="N52" s="236"/>
      <c r="O52" s="237"/>
    </row>
    <row r="53" spans="1:15" x14ac:dyDescent="0.2">
      <c r="A53" s="138"/>
      <c r="B53" s="138"/>
      <c r="C53" s="144"/>
      <c r="N53" s="144"/>
    </row>
  </sheetData>
  <mergeCells count="75">
    <mergeCell ref="C2:C3"/>
    <mergeCell ref="D2:D3"/>
    <mergeCell ref="H2:L3"/>
    <mergeCell ref="C4:E4"/>
    <mergeCell ref="F4:L4"/>
    <mergeCell ref="C5:E5"/>
    <mergeCell ref="F5:L5"/>
    <mergeCell ref="C7:F7"/>
    <mergeCell ref="G7:H7"/>
    <mergeCell ref="I7:J7"/>
    <mergeCell ref="K7:M7"/>
    <mergeCell ref="C8:F8"/>
    <mergeCell ref="G8:H8"/>
    <mergeCell ref="I8:J8"/>
    <mergeCell ref="K8:M8"/>
    <mergeCell ref="C9:D9"/>
    <mergeCell ref="E9:H9"/>
    <mergeCell ref="I9:M9"/>
    <mergeCell ref="C10:F11"/>
    <mergeCell ref="G10:M11"/>
    <mergeCell ref="C13:C17"/>
    <mergeCell ref="D13:E13"/>
    <mergeCell ref="F13:G13"/>
    <mergeCell ref="H13:I13"/>
    <mergeCell ref="H14:I14"/>
    <mergeCell ref="H15:I15"/>
    <mergeCell ref="H16:I16"/>
    <mergeCell ref="H17:I17"/>
    <mergeCell ref="J21:K21"/>
    <mergeCell ref="F22:G22"/>
    <mergeCell ref="J22:K22"/>
    <mergeCell ref="D23:E24"/>
    <mergeCell ref="F23:G23"/>
    <mergeCell ref="C19:C38"/>
    <mergeCell ref="D19:G19"/>
    <mergeCell ref="D20:E22"/>
    <mergeCell ref="F20:G20"/>
    <mergeCell ref="F21:G21"/>
    <mergeCell ref="D34:E34"/>
    <mergeCell ref="F34:G34"/>
    <mergeCell ref="J34:K34"/>
    <mergeCell ref="J23:K23"/>
    <mergeCell ref="F24:G24"/>
    <mergeCell ref="J24:K24"/>
    <mergeCell ref="D25:E29"/>
    <mergeCell ref="F25:G25"/>
    <mergeCell ref="J25:K25"/>
    <mergeCell ref="F26:G26"/>
    <mergeCell ref="J26:K26"/>
    <mergeCell ref="F27:F29"/>
    <mergeCell ref="J29:K29"/>
    <mergeCell ref="D30:E33"/>
    <mergeCell ref="F30:G30"/>
    <mergeCell ref="J30:K30"/>
    <mergeCell ref="F31:F33"/>
    <mergeCell ref="J33:K33"/>
    <mergeCell ref="D35:E38"/>
    <mergeCell ref="F35:G35"/>
    <mergeCell ref="J35:K35"/>
    <mergeCell ref="F36:F38"/>
    <mergeCell ref="J38:K38"/>
    <mergeCell ref="M49:M50"/>
    <mergeCell ref="D45:L45"/>
    <mergeCell ref="D46:L46"/>
    <mergeCell ref="C47:F47"/>
    <mergeCell ref="G47:J47"/>
    <mergeCell ref="K47:M47"/>
    <mergeCell ref="G48:H48"/>
    <mergeCell ref="I48:J48"/>
    <mergeCell ref="D49:F50"/>
    <mergeCell ref="G49:H50"/>
    <mergeCell ref="I49:J50"/>
    <mergeCell ref="K49:K50"/>
    <mergeCell ref="L49:L50"/>
    <mergeCell ref="C40:C46"/>
  </mergeCells>
  <hyperlinks>
    <hyperlink ref="C10" r:id="rId1" xr:uid="{34E4C5F6-1939-4D87-A0AC-1DB7043648F3}"/>
  </hyperlinks>
  <pageMargins left="0.7" right="0.7" top="0.75" bottom="0.75" header="0.3" footer="0.3"/>
  <pageSetup paperSize="9" scale="9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333"/>
  <sheetViews>
    <sheetView showGridLines="0" zoomScale="70" zoomScaleNormal="70" workbookViewId="0">
      <selection activeCell="M49" sqref="M49:N49"/>
    </sheetView>
  </sheetViews>
  <sheetFormatPr baseColWidth="10" defaultColWidth="9.140625" defaultRowHeight="12.75" x14ac:dyDescent="0.2"/>
  <cols>
    <col min="1" max="1" width="3.42578125" customWidth="1"/>
    <col min="2" max="2" width="12" customWidth="1"/>
    <col min="3" max="3" width="7.28515625" customWidth="1"/>
    <col min="4" max="4" width="5" customWidth="1"/>
    <col min="5" max="5" width="11" customWidth="1"/>
    <col min="6" max="6" width="4.7109375" customWidth="1"/>
    <col min="7" max="7" width="12" customWidth="1"/>
    <col min="8" max="8" width="12.5703125" customWidth="1"/>
    <col min="9" max="9" width="6.140625" customWidth="1"/>
    <col min="10" max="10" width="6.42578125" customWidth="1"/>
    <col min="11" max="12" width="10.28515625" customWidth="1"/>
    <col min="13" max="14" width="5.28515625" customWidth="1"/>
    <col min="15" max="15" width="2.7109375" customWidth="1"/>
    <col min="16" max="16" width="3.85546875" customWidth="1"/>
    <col min="17" max="17" width="5.85546875" customWidth="1"/>
    <col min="18" max="18" width="11" customWidth="1"/>
    <col min="19" max="19" width="12.5703125" customWidth="1"/>
    <col min="20" max="20" width="12.140625" customWidth="1"/>
  </cols>
  <sheetData>
    <row r="1" spans="1:103" ht="99.95" customHeight="1" x14ac:dyDescent="0.2">
      <c r="A1" s="380" t="s">
        <v>56</v>
      </c>
      <c r="B1" s="380"/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0"/>
      <c r="O1" s="380"/>
      <c r="P1" s="380"/>
      <c r="Q1" s="380"/>
      <c r="R1" s="380"/>
      <c r="S1" s="380"/>
      <c r="T1" s="380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3"/>
      <c r="AO1" s="3"/>
    </row>
    <row r="2" spans="1:103" s="14" customFormat="1" ht="18" customHeight="1" x14ac:dyDescent="0.25">
      <c r="A2" s="381" t="s">
        <v>48</v>
      </c>
      <c r="B2" s="382"/>
      <c r="C2" s="382"/>
      <c r="D2" s="382"/>
      <c r="E2" s="382"/>
      <c r="F2" s="382"/>
      <c r="G2" s="382"/>
      <c r="H2" s="382"/>
      <c r="I2" s="382"/>
      <c r="J2" s="383"/>
      <c r="K2" s="384" t="s">
        <v>49</v>
      </c>
      <c r="L2" s="385"/>
      <c r="M2" s="386"/>
      <c r="N2" s="387" t="s">
        <v>50</v>
      </c>
      <c r="O2" s="388"/>
      <c r="P2" s="389"/>
      <c r="Q2" s="103" t="s">
        <v>51</v>
      </c>
      <c r="R2" s="104"/>
      <c r="S2" s="105"/>
      <c r="T2" s="106" t="s">
        <v>50</v>
      </c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3"/>
      <c r="AO2" s="13"/>
    </row>
    <row r="3" spans="1:103" s="1" customFormat="1" ht="36" customHeight="1" x14ac:dyDescent="0.2">
      <c r="A3" s="374" t="s">
        <v>104</v>
      </c>
      <c r="B3" s="390"/>
      <c r="C3" s="390"/>
      <c r="D3" s="390"/>
      <c r="E3" s="390"/>
      <c r="F3" s="390"/>
      <c r="G3" s="390"/>
      <c r="H3" s="390"/>
      <c r="I3" s="390"/>
      <c r="J3" s="391"/>
      <c r="K3" s="392"/>
      <c r="L3" s="393"/>
      <c r="M3" s="394"/>
      <c r="N3" s="395"/>
      <c r="O3" s="396"/>
      <c r="P3" s="397"/>
      <c r="Q3" s="398"/>
      <c r="R3" s="393"/>
      <c r="S3" s="394"/>
      <c r="T3" s="15"/>
      <c r="U3" s="16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8"/>
      <c r="AO3" s="18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</row>
    <row r="4" spans="1:103" s="22" customFormat="1" ht="18" customHeight="1" x14ac:dyDescent="0.2">
      <c r="A4" s="368" t="s">
        <v>52</v>
      </c>
      <c r="B4" s="369"/>
      <c r="C4" s="369"/>
      <c r="D4" s="369"/>
      <c r="E4" s="369"/>
      <c r="F4" s="370"/>
      <c r="G4" s="108" t="s">
        <v>53</v>
      </c>
      <c r="H4" s="371" t="s">
        <v>54</v>
      </c>
      <c r="I4" s="371"/>
      <c r="J4" s="371"/>
      <c r="K4" s="371" t="s">
        <v>55</v>
      </c>
      <c r="L4" s="372"/>
      <c r="M4" s="372"/>
      <c r="N4" s="372"/>
      <c r="O4" s="372"/>
      <c r="P4" s="372"/>
      <c r="Q4" s="371" t="s">
        <v>57</v>
      </c>
      <c r="R4" s="372"/>
      <c r="S4" s="372"/>
      <c r="T4" s="373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1"/>
      <c r="AO4" s="21"/>
    </row>
    <row r="5" spans="1:103" ht="36" customHeight="1" x14ac:dyDescent="0.2">
      <c r="A5" s="374"/>
      <c r="B5" s="375"/>
      <c r="C5" s="375"/>
      <c r="D5" s="375"/>
      <c r="E5" s="375"/>
      <c r="F5" s="376"/>
      <c r="G5" s="102"/>
      <c r="H5" s="377"/>
      <c r="I5" s="377"/>
      <c r="J5" s="377"/>
      <c r="K5" s="377" t="s">
        <v>105</v>
      </c>
      <c r="L5" s="378"/>
      <c r="M5" s="378"/>
      <c r="N5" s="378"/>
      <c r="O5" s="378"/>
      <c r="P5" s="378"/>
      <c r="Q5" s="377" t="s">
        <v>106</v>
      </c>
      <c r="R5" s="378"/>
      <c r="S5" s="378"/>
      <c r="T5" s="379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3"/>
      <c r="AO5" s="3"/>
    </row>
    <row r="6" spans="1:103" s="22" customFormat="1" ht="18" customHeight="1" x14ac:dyDescent="0.2">
      <c r="A6" s="407" t="s">
        <v>82</v>
      </c>
      <c r="B6" s="408"/>
      <c r="C6" s="408"/>
      <c r="D6" s="408"/>
      <c r="E6" s="372"/>
      <c r="F6" s="372"/>
      <c r="G6" s="372"/>
      <c r="H6" s="372"/>
      <c r="I6" s="372"/>
      <c r="J6" s="372"/>
      <c r="K6" s="372"/>
      <c r="L6" s="372"/>
      <c r="M6" s="372"/>
      <c r="N6" s="372"/>
      <c r="O6" s="372"/>
      <c r="P6" s="372"/>
      <c r="Q6" s="372"/>
      <c r="R6" s="372"/>
      <c r="S6" s="372"/>
      <c r="T6" s="373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1"/>
      <c r="AO6" s="21"/>
    </row>
    <row r="7" spans="1:103" ht="36" customHeight="1" x14ac:dyDescent="0.2">
      <c r="A7" s="409"/>
      <c r="B7" s="410"/>
      <c r="C7" s="410"/>
      <c r="D7" s="410"/>
      <c r="E7" s="410"/>
      <c r="F7" s="410"/>
      <c r="G7" s="410"/>
      <c r="H7" s="410"/>
      <c r="I7" s="410"/>
      <c r="J7" s="410"/>
      <c r="K7" s="410"/>
      <c r="L7" s="410"/>
      <c r="M7" s="410"/>
      <c r="N7" s="410"/>
      <c r="O7" s="410"/>
      <c r="P7" s="410"/>
      <c r="Q7" s="410"/>
      <c r="R7" s="410"/>
      <c r="S7" s="410"/>
      <c r="T7" s="411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3"/>
      <c r="AO7" s="3"/>
    </row>
    <row r="8" spans="1:103" ht="24" customHeight="1" x14ac:dyDescent="0.2">
      <c r="A8" s="412"/>
      <c r="B8" s="413"/>
      <c r="C8" s="413"/>
      <c r="D8" s="413"/>
      <c r="E8" s="413"/>
      <c r="F8" s="413"/>
      <c r="G8" s="413"/>
      <c r="H8" s="413"/>
      <c r="I8" s="413"/>
      <c r="J8" s="413"/>
      <c r="K8" s="413"/>
      <c r="L8" s="413"/>
      <c r="M8" s="413"/>
      <c r="N8" s="413"/>
      <c r="O8" s="413"/>
      <c r="P8" s="413"/>
      <c r="Q8" s="413"/>
      <c r="R8" s="413"/>
      <c r="S8" s="413"/>
      <c r="T8" s="413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3"/>
      <c r="AO8" s="3"/>
    </row>
    <row r="9" spans="1:103" ht="24" customHeight="1" x14ac:dyDescent="0.2">
      <c r="A9" s="414" t="s">
        <v>58</v>
      </c>
      <c r="B9" s="415"/>
      <c r="C9" s="415"/>
      <c r="D9" s="415"/>
      <c r="E9" s="415"/>
      <c r="F9" s="415"/>
      <c r="G9" s="415"/>
      <c r="H9" s="415"/>
      <c r="I9" s="415"/>
      <c r="J9" s="415"/>
      <c r="K9" s="415"/>
      <c r="L9" s="415"/>
      <c r="M9" s="415"/>
      <c r="N9" s="415"/>
      <c r="O9" s="415"/>
      <c r="P9" s="415"/>
      <c r="Q9" s="415"/>
      <c r="R9" s="415"/>
      <c r="S9" s="415"/>
      <c r="T9" s="416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3"/>
      <c r="AO9" s="3"/>
    </row>
    <row r="10" spans="1:103" s="2" customFormat="1" ht="30" customHeight="1" x14ac:dyDescent="0.2">
      <c r="A10" s="417" t="s">
        <v>32</v>
      </c>
      <c r="B10" s="418"/>
      <c r="C10" s="418" t="s">
        <v>59</v>
      </c>
      <c r="D10" s="418"/>
      <c r="E10" s="418" t="s">
        <v>67</v>
      </c>
      <c r="F10" s="418"/>
      <c r="G10" s="418"/>
      <c r="H10" s="418" t="s">
        <v>68</v>
      </c>
      <c r="I10" s="418"/>
      <c r="J10" s="418"/>
      <c r="K10" s="123" t="s">
        <v>60</v>
      </c>
      <c r="L10" s="419" t="s">
        <v>61</v>
      </c>
      <c r="M10" s="419"/>
      <c r="N10" s="419"/>
      <c r="O10" s="419" t="s">
        <v>1</v>
      </c>
      <c r="P10" s="419"/>
      <c r="Q10" s="419"/>
      <c r="R10" s="110" t="s">
        <v>62</v>
      </c>
      <c r="S10" s="110" t="s">
        <v>63</v>
      </c>
      <c r="T10" s="111" t="s">
        <v>64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4"/>
      <c r="AO10" s="4"/>
    </row>
    <row r="11" spans="1:103" ht="36" customHeight="1" x14ac:dyDescent="0.2">
      <c r="A11" s="399"/>
      <c r="B11" s="400"/>
      <c r="C11" s="401"/>
      <c r="D11" s="402"/>
      <c r="E11" s="403"/>
      <c r="F11" s="404"/>
      <c r="G11" s="404"/>
      <c r="H11" s="403"/>
      <c r="I11" s="404"/>
      <c r="J11" s="404"/>
      <c r="K11" s="98"/>
      <c r="L11" s="403"/>
      <c r="M11" s="404"/>
      <c r="N11" s="404"/>
      <c r="O11" s="405"/>
      <c r="P11" s="406"/>
      <c r="Q11" s="406"/>
      <c r="R11" s="30"/>
      <c r="S11" s="99"/>
      <c r="T11" s="31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3"/>
      <c r="AO11" s="3"/>
    </row>
    <row r="12" spans="1:103" ht="36" customHeight="1" x14ac:dyDescent="0.2">
      <c r="A12" s="420"/>
      <c r="B12" s="421"/>
      <c r="C12" s="401"/>
      <c r="D12" s="402"/>
      <c r="E12" s="403"/>
      <c r="F12" s="404"/>
      <c r="G12" s="404"/>
      <c r="H12" s="403"/>
      <c r="I12" s="404"/>
      <c r="J12" s="404"/>
      <c r="K12" s="98"/>
      <c r="L12" s="403"/>
      <c r="M12" s="404"/>
      <c r="N12" s="404"/>
      <c r="O12" s="405"/>
      <c r="P12" s="406"/>
      <c r="Q12" s="406"/>
      <c r="R12" s="30"/>
      <c r="S12" s="99"/>
      <c r="T12" s="31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3"/>
      <c r="AO12" s="3"/>
    </row>
    <row r="13" spans="1:103" ht="36" customHeight="1" x14ac:dyDescent="0.2">
      <c r="A13" s="420"/>
      <c r="B13" s="421"/>
      <c r="C13" s="401"/>
      <c r="D13" s="402"/>
      <c r="E13" s="403"/>
      <c r="F13" s="404"/>
      <c r="G13" s="404"/>
      <c r="H13" s="403"/>
      <c r="I13" s="404"/>
      <c r="J13" s="404"/>
      <c r="K13" s="98"/>
      <c r="L13" s="403"/>
      <c r="M13" s="404"/>
      <c r="N13" s="404"/>
      <c r="O13" s="405"/>
      <c r="P13" s="406"/>
      <c r="Q13" s="406"/>
      <c r="R13" s="30"/>
      <c r="S13" s="99"/>
      <c r="T13" s="31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3"/>
      <c r="AO13" s="3"/>
    </row>
    <row r="14" spans="1:103" ht="36" customHeight="1" x14ac:dyDescent="0.2">
      <c r="A14" s="422"/>
      <c r="B14" s="423"/>
      <c r="C14" s="424"/>
      <c r="D14" s="425"/>
      <c r="E14" s="426"/>
      <c r="F14" s="427"/>
      <c r="G14" s="427"/>
      <c r="H14" s="426"/>
      <c r="I14" s="427"/>
      <c r="J14" s="427"/>
      <c r="K14" s="100"/>
      <c r="L14" s="426"/>
      <c r="M14" s="427"/>
      <c r="N14" s="427"/>
      <c r="O14" s="428"/>
      <c r="P14" s="429"/>
      <c r="Q14" s="429"/>
      <c r="R14" s="34"/>
      <c r="S14" s="101"/>
      <c r="T14" s="35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3"/>
      <c r="AO14" s="3"/>
    </row>
    <row r="15" spans="1:103" ht="36" customHeight="1" x14ac:dyDescent="0.2">
      <c r="A15" s="420"/>
      <c r="B15" s="421"/>
      <c r="C15" s="401"/>
      <c r="D15" s="402"/>
      <c r="E15" s="403"/>
      <c r="F15" s="404"/>
      <c r="G15" s="404"/>
      <c r="H15" s="403"/>
      <c r="I15" s="404"/>
      <c r="J15" s="404"/>
      <c r="K15" s="98"/>
      <c r="L15" s="403"/>
      <c r="M15" s="404"/>
      <c r="N15" s="404"/>
      <c r="O15" s="405"/>
      <c r="P15" s="406"/>
      <c r="Q15" s="406"/>
      <c r="R15" s="30"/>
      <c r="S15" s="99"/>
      <c r="T15" s="31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3"/>
      <c r="AO15" s="3"/>
    </row>
    <row r="16" spans="1:103" ht="36" customHeight="1" x14ac:dyDescent="0.2">
      <c r="A16" s="420"/>
      <c r="B16" s="421"/>
      <c r="C16" s="401"/>
      <c r="D16" s="402"/>
      <c r="E16" s="403"/>
      <c r="F16" s="404"/>
      <c r="G16" s="404"/>
      <c r="H16" s="403"/>
      <c r="I16" s="404"/>
      <c r="J16" s="404"/>
      <c r="K16" s="98"/>
      <c r="L16" s="403"/>
      <c r="M16" s="404"/>
      <c r="N16" s="404"/>
      <c r="O16" s="405"/>
      <c r="P16" s="406"/>
      <c r="Q16" s="406"/>
      <c r="R16" s="30"/>
      <c r="S16" s="99"/>
      <c r="T16" s="31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3"/>
      <c r="AO16" s="3"/>
    </row>
    <row r="17" spans="1:41" ht="36" customHeight="1" x14ac:dyDescent="0.2">
      <c r="A17" s="430"/>
      <c r="B17" s="421"/>
      <c r="C17" s="401"/>
      <c r="D17" s="402"/>
      <c r="E17" s="403"/>
      <c r="F17" s="404"/>
      <c r="G17" s="404"/>
      <c r="H17" s="403"/>
      <c r="I17" s="404"/>
      <c r="J17" s="404"/>
      <c r="K17" s="98"/>
      <c r="L17" s="403"/>
      <c r="M17" s="404"/>
      <c r="N17" s="404"/>
      <c r="O17" s="405"/>
      <c r="P17" s="406"/>
      <c r="Q17" s="406"/>
      <c r="R17" s="30"/>
      <c r="S17" s="99"/>
      <c r="T17" s="31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3"/>
      <c r="AO17" s="3"/>
    </row>
    <row r="18" spans="1:41" ht="36" customHeight="1" x14ac:dyDescent="0.2">
      <c r="A18" s="430"/>
      <c r="B18" s="421"/>
      <c r="C18" s="401"/>
      <c r="D18" s="402"/>
      <c r="E18" s="403"/>
      <c r="F18" s="404"/>
      <c r="G18" s="404"/>
      <c r="H18" s="403"/>
      <c r="I18" s="404"/>
      <c r="J18" s="404"/>
      <c r="K18" s="98"/>
      <c r="L18" s="403"/>
      <c r="M18" s="404"/>
      <c r="N18" s="404"/>
      <c r="O18" s="405"/>
      <c r="P18" s="406"/>
      <c r="Q18" s="406"/>
      <c r="R18" s="30"/>
      <c r="S18" s="99"/>
      <c r="T18" s="31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3"/>
      <c r="AO18" s="3"/>
    </row>
    <row r="19" spans="1:41" ht="36" customHeight="1" x14ac:dyDescent="0.2">
      <c r="A19" s="420"/>
      <c r="B19" s="421"/>
      <c r="C19" s="401"/>
      <c r="D19" s="402"/>
      <c r="E19" s="403"/>
      <c r="F19" s="404"/>
      <c r="G19" s="404"/>
      <c r="H19" s="403"/>
      <c r="I19" s="404"/>
      <c r="J19" s="404"/>
      <c r="K19" s="98"/>
      <c r="L19" s="403"/>
      <c r="M19" s="404"/>
      <c r="N19" s="404"/>
      <c r="O19" s="405"/>
      <c r="P19" s="406"/>
      <c r="Q19" s="406"/>
      <c r="R19" s="30"/>
      <c r="S19" s="99"/>
      <c r="T19" s="31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3"/>
      <c r="AO19" s="3"/>
    </row>
    <row r="20" spans="1:41" ht="36" customHeight="1" x14ac:dyDescent="0.2">
      <c r="A20" s="420"/>
      <c r="B20" s="421"/>
      <c r="C20" s="401"/>
      <c r="D20" s="402"/>
      <c r="E20" s="403"/>
      <c r="F20" s="404"/>
      <c r="G20" s="404"/>
      <c r="H20" s="403"/>
      <c r="I20" s="404"/>
      <c r="J20" s="404"/>
      <c r="K20" s="98"/>
      <c r="L20" s="403"/>
      <c r="M20" s="404"/>
      <c r="N20" s="404"/>
      <c r="O20" s="405"/>
      <c r="P20" s="406"/>
      <c r="Q20" s="406"/>
      <c r="R20" s="30"/>
      <c r="S20" s="99"/>
      <c r="T20" s="31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3"/>
      <c r="AO20" s="3"/>
    </row>
    <row r="21" spans="1:41" ht="36" customHeight="1" x14ac:dyDescent="0.2">
      <c r="A21" s="420"/>
      <c r="B21" s="421"/>
      <c r="C21" s="401"/>
      <c r="D21" s="402"/>
      <c r="E21" s="403"/>
      <c r="F21" s="404"/>
      <c r="G21" s="404"/>
      <c r="H21" s="403"/>
      <c r="I21" s="404"/>
      <c r="J21" s="404"/>
      <c r="K21" s="98"/>
      <c r="L21" s="403"/>
      <c r="M21" s="404"/>
      <c r="N21" s="404"/>
      <c r="O21" s="405"/>
      <c r="P21" s="406"/>
      <c r="Q21" s="406"/>
      <c r="R21" s="30"/>
      <c r="S21" s="99"/>
      <c r="T21" s="31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3"/>
      <c r="AO21" s="3"/>
    </row>
    <row r="22" spans="1:41" ht="36" customHeight="1" x14ac:dyDescent="0.2">
      <c r="A22" s="420"/>
      <c r="B22" s="421"/>
      <c r="C22" s="401"/>
      <c r="D22" s="402"/>
      <c r="E22" s="403"/>
      <c r="F22" s="404"/>
      <c r="G22" s="404"/>
      <c r="H22" s="403"/>
      <c r="I22" s="404"/>
      <c r="J22" s="404"/>
      <c r="K22" s="98"/>
      <c r="L22" s="403"/>
      <c r="M22" s="404"/>
      <c r="N22" s="404"/>
      <c r="O22" s="405"/>
      <c r="P22" s="406"/>
      <c r="Q22" s="406"/>
      <c r="R22" s="30"/>
      <c r="S22" s="99"/>
      <c r="T22" s="31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3"/>
      <c r="AO22" s="3"/>
    </row>
    <row r="23" spans="1:41" ht="36" customHeight="1" x14ac:dyDescent="0.2">
      <c r="A23" s="431"/>
      <c r="B23" s="432"/>
      <c r="C23" s="432"/>
      <c r="D23" s="432"/>
      <c r="E23" s="432"/>
      <c r="F23" s="432"/>
      <c r="G23" s="432"/>
      <c r="H23" s="432"/>
      <c r="I23" s="432"/>
      <c r="J23" s="432"/>
      <c r="K23" s="432"/>
      <c r="L23" s="433" t="s">
        <v>65</v>
      </c>
      <c r="M23" s="434"/>
      <c r="N23" s="434"/>
      <c r="O23" s="435">
        <f>SUM(O11:Q22)</f>
        <v>0</v>
      </c>
      <c r="P23" s="436"/>
      <c r="Q23" s="436"/>
      <c r="R23" s="112" t="s">
        <v>3</v>
      </c>
      <c r="S23" s="97">
        <f>SUM(S11:S22)</f>
        <v>0</v>
      </c>
      <c r="T23" s="113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3"/>
      <c r="AO23" s="3"/>
    </row>
    <row r="24" spans="1:41" ht="36" customHeight="1" x14ac:dyDescent="0.25">
      <c r="A24" s="437"/>
      <c r="B24" s="438"/>
      <c r="C24" s="438"/>
      <c r="D24" s="438"/>
      <c r="E24" s="438"/>
      <c r="F24" s="438"/>
      <c r="G24" s="438"/>
      <c r="H24" s="438"/>
      <c r="I24" s="438"/>
      <c r="J24" s="438"/>
      <c r="K24" s="438"/>
      <c r="L24" s="439"/>
      <c r="M24" s="439"/>
      <c r="N24" s="440"/>
      <c r="O24" s="441" t="s">
        <v>66</v>
      </c>
      <c r="P24" s="442"/>
      <c r="Q24" s="442"/>
      <c r="R24" s="443"/>
      <c r="S24" s="78"/>
      <c r="T24" s="114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3"/>
      <c r="AO24" s="3"/>
    </row>
    <row r="25" spans="1:41" ht="24" customHeight="1" x14ac:dyDescent="0.2">
      <c r="A25" s="412"/>
      <c r="B25" s="413"/>
      <c r="C25" s="413"/>
      <c r="D25" s="413"/>
      <c r="E25" s="413"/>
      <c r="F25" s="413"/>
      <c r="G25" s="413"/>
      <c r="H25" s="413"/>
      <c r="I25" s="413"/>
      <c r="J25" s="413"/>
      <c r="K25" s="413"/>
      <c r="L25" s="413"/>
      <c r="M25" s="413"/>
      <c r="N25" s="413"/>
      <c r="O25" s="413"/>
      <c r="P25" s="413"/>
      <c r="Q25" s="413"/>
      <c r="R25" s="413"/>
      <c r="S25" s="413"/>
      <c r="T25" s="413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3"/>
      <c r="AO25" s="3"/>
    </row>
    <row r="26" spans="1:41" s="2" customFormat="1" ht="36" customHeight="1" x14ac:dyDescent="0.2">
      <c r="A26" s="414" t="s">
        <v>44</v>
      </c>
      <c r="B26" s="415"/>
      <c r="C26" s="415"/>
      <c r="D26" s="415"/>
      <c r="E26" s="415"/>
      <c r="F26" s="415"/>
      <c r="G26" s="415"/>
      <c r="H26" s="415"/>
      <c r="I26" s="415"/>
      <c r="J26" s="415"/>
      <c r="K26" s="415"/>
      <c r="L26" s="415"/>
      <c r="M26" s="415"/>
      <c r="N26" s="415"/>
      <c r="O26" s="460" t="s">
        <v>3</v>
      </c>
      <c r="P26" s="461"/>
      <c r="Q26" s="461"/>
      <c r="R26" s="115" t="s">
        <v>41</v>
      </c>
      <c r="S26" s="115" t="s">
        <v>1</v>
      </c>
      <c r="T26" s="119" t="s">
        <v>78</v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4"/>
      <c r="AO26" s="4"/>
    </row>
    <row r="27" spans="1:41" s="2" customFormat="1" ht="36" customHeight="1" x14ac:dyDescent="0.2">
      <c r="A27" s="444" t="s">
        <v>99</v>
      </c>
      <c r="B27" s="445"/>
      <c r="C27" s="445"/>
      <c r="D27" s="445"/>
      <c r="E27" s="445"/>
      <c r="F27" s="445"/>
      <c r="G27" s="445"/>
      <c r="H27" s="445"/>
      <c r="I27" s="445"/>
      <c r="J27" s="445"/>
      <c r="K27" s="445"/>
      <c r="L27" s="445"/>
      <c r="M27" s="445"/>
      <c r="N27" s="445"/>
      <c r="O27" s="449"/>
      <c r="P27" s="450"/>
      <c r="Q27" s="450"/>
      <c r="R27" s="93">
        <v>4.03</v>
      </c>
      <c r="S27" s="42">
        <f>+O27*R27</f>
        <v>0</v>
      </c>
      <c r="T27" s="43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4"/>
      <c r="AO27" s="4"/>
    </row>
    <row r="28" spans="1:41" s="2" customFormat="1" ht="36" customHeight="1" x14ac:dyDescent="0.2">
      <c r="A28" s="444" t="s">
        <v>100</v>
      </c>
      <c r="B28" s="445"/>
      <c r="C28" s="445"/>
      <c r="D28" s="445"/>
      <c r="E28" s="445"/>
      <c r="F28" s="445"/>
      <c r="G28" s="445"/>
      <c r="H28" s="445"/>
      <c r="I28" s="445"/>
      <c r="J28" s="445"/>
      <c r="K28" s="445"/>
      <c r="L28" s="445"/>
      <c r="M28" s="445"/>
      <c r="N28" s="445"/>
      <c r="O28" s="449"/>
      <c r="P28" s="450"/>
      <c r="Q28" s="450"/>
      <c r="R28" s="93"/>
      <c r="S28" s="42">
        <f>+O28*R28</f>
        <v>0</v>
      </c>
      <c r="T28" s="43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4"/>
      <c r="AO28" s="4"/>
    </row>
    <row r="29" spans="1:41" s="2" customFormat="1" ht="36" customHeight="1" x14ac:dyDescent="0.2">
      <c r="A29" s="444" t="s">
        <v>10</v>
      </c>
      <c r="B29" s="445"/>
      <c r="C29" s="445"/>
      <c r="D29" s="446" t="s">
        <v>12</v>
      </c>
      <c r="E29" s="445"/>
      <c r="F29" s="445"/>
      <c r="G29" s="445"/>
      <c r="H29" s="447"/>
      <c r="I29" s="448"/>
      <c r="J29" s="448"/>
      <c r="K29" s="448"/>
      <c r="L29" s="448"/>
      <c r="M29" s="448"/>
      <c r="N29" s="448"/>
      <c r="O29" s="449"/>
      <c r="P29" s="450"/>
      <c r="Q29" s="450"/>
      <c r="R29" s="93">
        <v>1</v>
      </c>
      <c r="S29" s="42">
        <f>+O29*R29</f>
        <v>0</v>
      </c>
      <c r="T29" s="43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4"/>
      <c r="AO29" s="4"/>
    </row>
    <row r="30" spans="1:41" ht="36" customHeight="1" x14ac:dyDescent="0.2">
      <c r="A30" s="451" t="s">
        <v>40</v>
      </c>
      <c r="B30" s="452"/>
      <c r="C30" s="453"/>
      <c r="D30" s="454"/>
      <c r="E30" s="455"/>
      <c r="F30" s="455"/>
      <c r="G30" s="455"/>
      <c r="H30" s="455"/>
      <c r="I30" s="455"/>
      <c r="J30" s="455"/>
      <c r="K30" s="455"/>
      <c r="L30" s="455"/>
      <c r="M30" s="455"/>
      <c r="N30" s="456"/>
      <c r="O30" s="457"/>
      <c r="P30" s="458"/>
      <c r="Q30" s="459"/>
      <c r="R30" s="90"/>
      <c r="S30" s="82">
        <f>+O30*R30</f>
        <v>0</v>
      </c>
      <c r="T30" s="46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3"/>
      <c r="AO30" s="3"/>
    </row>
    <row r="31" spans="1:41" ht="24" customHeight="1" x14ac:dyDescent="0.2">
      <c r="A31" s="412"/>
      <c r="B31" s="413"/>
      <c r="C31" s="413"/>
      <c r="D31" s="413"/>
      <c r="E31" s="413"/>
      <c r="F31" s="413"/>
      <c r="G31" s="413"/>
      <c r="H31" s="413"/>
      <c r="I31" s="413"/>
      <c r="J31" s="413"/>
      <c r="K31" s="413"/>
      <c r="L31" s="413"/>
      <c r="M31" s="413"/>
      <c r="N31" s="413"/>
      <c r="O31" s="413"/>
      <c r="P31" s="413"/>
      <c r="Q31" s="413"/>
      <c r="R31" s="413"/>
      <c r="S31" s="413"/>
      <c r="T31" s="413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3"/>
      <c r="AO31" s="3"/>
    </row>
    <row r="32" spans="1:41" s="2" customFormat="1" ht="20.100000000000001" customHeight="1" x14ac:dyDescent="0.2">
      <c r="A32" s="480" t="s">
        <v>39</v>
      </c>
      <c r="B32" s="481"/>
      <c r="C32" s="481"/>
      <c r="D32" s="481"/>
      <c r="E32" s="481"/>
      <c r="F32" s="481"/>
      <c r="G32" s="481"/>
      <c r="H32" s="482"/>
      <c r="I32" s="482"/>
      <c r="J32" s="483"/>
      <c r="K32" s="118"/>
      <c r="L32" s="118"/>
      <c r="M32" s="488" t="s">
        <v>36</v>
      </c>
      <c r="N32" s="489"/>
      <c r="O32" s="489"/>
      <c r="P32" s="489"/>
      <c r="Q32" s="489"/>
      <c r="R32" s="489"/>
      <c r="S32" s="460" t="s">
        <v>1</v>
      </c>
      <c r="T32" s="491" t="s">
        <v>78</v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4"/>
      <c r="AO32" s="4"/>
    </row>
    <row r="33" spans="1:41" s="2" customFormat="1" ht="20.100000000000001" customHeight="1" x14ac:dyDescent="0.2">
      <c r="A33" s="484"/>
      <c r="B33" s="485"/>
      <c r="C33" s="485"/>
      <c r="D33" s="485"/>
      <c r="E33" s="485"/>
      <c r="F33" s="485"/>
      <c r="G33" s="485"/>
      <c r="H33" s="486"/>
      <c r="I33" s="486"/>
      <c r="J33" s="487"/>
      <c r="K33" s="123" t="s">
        <v>38</v>
      </c>
      <c r="L33" s="123" t="s">
        <v>41</v>
      </c>
      <c r="M33" s="493" t="s">
        <v>29</v>
      </c>
      <c r="N33" s="494"/>
      <c r="O33" s="495" t="s">
        <v>16</v>
      </c>
      <c r="P33" s="494"/>
      <c r="Q33" s="496"/>
      <c r="R33" s="120" t="s">
        <v>18</v>
      </c>
      <c r="S33" s="490"/>
      <c r="T33" s="492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4"/>
      <c r="AO33" s="4"/>
    </row>
    <row r="34" spans="1:41" s="2" customFormat="1" ht="36" customHeight="1" x14ac:dyDescent="0.2">
      <c r="A34" s="462" t="s">
        <v>101</v>
      </c>
      <c r="B34" s="463"/>
      <c r="C34" s="463"/>
      <c r="D34" s="463"/>
      <c r="E34" s="463"/>
      <c r="F34" s="463"/>
      <c r="G34" s="463"/>
      <c r="H34" s="464"/>
      <c r="I34" s="464"/>
      <c r="J34" s="465"/>
      <c r="K34" s="48"/>
      <c r="L34" s="93">
        <v>231</v>
      </c>
      <c r="M34" s="466"/>
      <c r="N34" s="467"/>
      <c r="O34" s="468"/>
      <c r="P34" s="469"/>
      <c r="Q34" s="470"/>
      <c r="R34" s="95"/>
      <c r="S34" s="42">
        <f>+K34*L34-M34-O34-R34</f>
        <v>0</v>
      </c>
      <c r="T34" s="43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4"/>
      <c r="AO34" s="4"/>
    </row>
    <row r="35" spans="1:41" s="2" customFormat="1" ht="36" customHeight="1" x14ac:dyDescent="0.2">
      <c r="A35" s="471" t="s">
        <v>102</v>
      </c>
      <c r="B35" s="472"/>
      <c r="C35" s="472"/>
      <c r="D35" s="472"/>
      <c r="E35" s="472"/>
      <c r="F35" s="472"/>
      <c r="G35" s="472"/>
      <c r="H35" s="473"/>
      <c r="I35" s="473"/>
      <c r="J35" s="474"/>
      <c r="K35" s="65"/>
      <c r="L35" s="94">
        <v>537</v>
      </c>
      <c r="M35" s="475"/>
      <c r="N35" s="476"/>
      <c r="O35" s="477"/>
      <c r="P35" s="478"/>
      <c r="Q35" s="479"/>
      <c r="R35" s="96"/>
      <c r="S35" s="81">
        <f>+K35*L35-M35-O35-R35</f>
        <v>0</v>
      </c>
      <c r="T35" s="46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4"/>
      <c r="AO35" s="4"/>
    </row>
    <row r="36" spans="1:41" ht="36" customHeight="1" x14ac:dyDescent="0.2">
      <c r="A36" s="497" t="s">
        <v>88</v>
      </c>
      <c r="B36" s="498"/>
      <c r="C36" s="498"/>
      <c r="D36" s="498"/>
      <c r="E36" s="498"/>
      <c r="F36" s="498"/>
      <c r="G36" s="498"/>
      <c r="H36" s="498"/>
      <c r="I36" s="498"/>
      <c r="J36" s="498"/>
      <c r="K36" s="498"/>
      <c r="L36" s="498"/>
      <c r="M36" s="498"/>
      <c r="N36" s="498"/>
      <c r="O36" s="498"/>
      <c r="P36" s="498"/>
      <c r="Q36" s="498"/>
      <c r="R36" s="498"/>
      <c r="S36" s="498"/>
      <c r="T36" s="498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49"/>
      <c r="AO36" s="3"/>
    </row>
    <row r="37" spans="1:41" ht="20.100000000000001" customHeight="1" x14ac:dyDescent="0.2">
      <c r="A37" s="499"/>
      <c r="B37" s="500"/>
      <c r="C37" s="500"/>
      <c r="D37" s="500"/>
      <c r="E37" s="500"/>
      <c r="F37" s="500"/>
      <c r="G37" s="500"/>
      <c r="H37" s="500"/>
      <c r="I37" s="500"/>
      <c r="J37" s="500"/>
      <c r="K37" s="500"/>
      <c r="L37" s="500"/>
      <c r="M37" s="500"/>
      <c r="N37" s="500"/>
      <c r="O37" s="500"/>
      <c r="P37" s="500"/>
      <c r="Q37" s="500"/>
      <c r="R37" s="500"/>
      <c r="S37" s="500"/>
      <c r="T37" s="500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3"/>
      <c r="AO37" s="3"/>
    </row>
    <row r="38" spans="1:41" s="2" customFormat="1" ht="36" customHeight="1" x14ac:dyDescent="0.2">
      <c r="A38" s="501" t="s">
        <v>89</v>
      </c>
      <c r="B38" s="502"/>
      <c r="C38" s="502"/>
      <c r="D38" s="502"/>
      <c r="E38" s="502"/>
      <c r="F38" s="502"/>
      <c r="G38" s="502"/>
      <c r="H38" s="502"/>
      <c r="I38" s="502"/>
      <c r="J38" s="502"/>
      <c r="K38" s="502"/>
      <c r="L38" s="502"/>
      <c r="M38" s="502"/>
      <c r="N38" s="502"/>
      <c r="O38" s="502"/>
      <c r="P38" s="502"/>
      <c r="Q38" s="502"/>
      <c r="R38" s="502"/>
      <c r="S38" s="502"/>
      <c r="T38" s="502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4"/>
      <c r="AO38" s="4"/>
    </row>
    <row r="39" spans="1:41" ht="19.5" customHeight="1" x14ac:dyDescent="0.2">
      <c r="A39" s="503" t="s">
        <v>15</v>
      </c>
      <c r="B39" s="504"/>
      <c r="C39" s="504"/>
      <c r="D39" s="504"/>
      <c r="E39" s="504"/>
      <c r="F39" s="504"/>
      <c r="G39" s="504"/>
      <c r="H39" s="504"/>
      <c r="I39" s="504"/>
      <c r="J39" s="505"/>
      <c r="K39" s="506" t="s">
        <v>81</v>
      </c>
      <c r="L39" s="507"/>
      <c r="M39" s="510" t="s">
        <v>32</v>
      </c>
      <c r="N39" s="371"/>
      <c r="O39" s="371"/>
      <c r="P39" s="371"/>
      <c r="Q39" s="371"/>
      <c r="R39" s="121" t="s">
        <v>34</v>
      </c>
      <c r="S39" s="121" t="s">
        <v>11</v>
      </c>
      <c r="T39" s="122" t="s">
        <v>4</v>
      </c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3"/>
      <c r="AO39" s="3"/>
    </row>
    <row r="40" spans="1:41" ht="20.100000000000001" customHeight="1" x14ac:dyDescent="0.2">
      <c r="A40" s="511" t="s">
        <v>85</v>
      </c>
      <c r="B40" s="512"/>
      <c r="C40" s="512"/>
      <c r="D40" s="512"/>
      <c r="E40" s="512"/>
      <c r="F40" s="512"/>
      <c r="G40" s="512"/>
      <c r="H40" s="512"/>
      <c r="I40" s="512"/>
      <c r="J40" s="513"/>
      <c r="K40" s="508"/>
      <c r="L40" s="509"/>
      <c r="M40" s="514" t="s">
        <v>8</v>
      </c>
      <c r="N40" s="515"/>
      <c r="O40" s="124" t="s">
        <v>2</v>
      </c>
      <c r="P40" s="496" t="s">
        <v>7</v>
      </c>
      <c r="Q40" s="418"/>
      <c r="R40" s="123" t="s">
        <v>22</v>
      </c>
      <c r="S40" s="123" t="s">
        <v>21</v>
      </c>
      <c r="T40" s="125" t="s">
        <v>37</v>
      </c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3"/>
      <c r="AO40" s="3"/>
    </row>
    <row r="41" spans="1:41" ht="36" customHeight="1" x14ac:dyDescent="0.2">
      <c r="A41" s="516"/>
      <c r="B41" s="517"/>
      <c r="C41" s="517"/>
      <c r="D41" s="517"/>
      <c r="E41" s="517"/>
      <c r="F41" s="517"/>
      <c r="G41" s="517"/>
      <c r="H41" s="517"/>
      <c r="I41" s="517"/>
      <c r="J41" s="518"/>
      <c r="K41" s="519"/>
      <c r="L41" s="520"/>
      <c r="M41" s="521"/>
      <c r="N41" s="522"/>
      <c r="O41" s="54" t="s">
        <v>2</v>
      </c>
      <c r="P41" s="523"/>
      <c r="Q41" s="524"/>
      <c r="R41" s="55"/>
      <c r="S41" s="93"/>
      <c r="T41" s="43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3"/>
      <c r="AO41" s="3"/>
    </row>
    <row r="42" spans="1:41" ht="36" customHeight="1" x14ac:dyDescent="0.2">
      <c r="A42" s="516"/>
      <c r="B42" s="517"/>
      <c r="C42" s="517"/>
      <c r="D42" s="517"/>
      <c r="E42" s="517"/>
      <c r="F42" s="517"/>
      <c r="G42" s="517"/>
      <c r="H42" s="517"/>
      <c r="I42" s="517"/>
      <c r="J42" s="518"/>
      <c r="K42" s="519"/>
      <c r="L42" s="520"/>
      <c r="M42" s="521"/>
      <c r="N42" s="522"/>
      <c r="O42" s="54" t="s">
        <v>2</v>
      </c>
      <c r="P42" s="523"/>
      <c r="Q42" s="524"/>
      <c r="R42" s="56"/>
      <c r="S42" s="93"/>
      <c r="T42" s="43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3"/>
      <c r="AO42" s="3"/>
    </row>
    <row r="43" spans="1:41" s="2" customFormat="1" ht="36" customHeight="1" x14ac:dyDescent="0.2">
      <c r="A43" s="516"/>
      <c r="B43" s="517"/>
      <c r="C43" s="517"/>
      <c r="D43" s="517"/>
      <c r="E43" s="517"/>
      <c r="F43" s="517"/>
      <c r="G43" s="517"/>
      <c r="H43" s="517"/>
      <c r="I43" s="517"/>
      <c r="J43" s="518"/>
      <c r="K43" s="519"/>
      <c r="L43" s="520"/>
      <c r="M43" s="521"/>
      <c r="N43" s="522"/>
      <c r="O43" s="54" t="s">
        <v>2</v>
      </c>
      <c r="P43" s="523"/>
      <c r="Q43" s="524"/>
      <c r="R43" s="55"/>
      <c r="S43" s="93"/>
      <c r="T43" s="43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4"/>
      <c r="AO43" s="4"/>
    </row>
    <row r="44" spans="1:41" s="2" customFormat="1" ht="36" customHeight="1" x14ac:dyDescent="0.2">
      <c r="A44" s="525"/>
      <c r="B44" s="526"/>
      <c r="C44" s="526"/>
      <c r="D44" s="526"/>
      <c r="E44" s="526"/>
      <c r="F44" s="526"/>
      <c r="G44" s="526"/>
      <c r="H44" s="526"/>
      <c r="I44" s="526"/>
      <c r="J44" s="527"/>
      <c r="K44" s="528"/>
      <c r="L44" s="529"/>
      <c r="M44" s="530"/>
      <c r="N44" s="531"/>
      <c r="O44" s="54" t="s">
        <v>2</v>
      </c>
      <c r="P44" s="532"/>
      <c r="Q44" s="533"/>
      <c r="R44" s="57"/>
      <c r="S44" s="94"/>
      <c r="T44" s="46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4"/>
      <c r="AO44" s="4"/>
    </row>
    <row r="45" spans="1:41" s="2" customFormat="1" ht="24" customHeight="1" x14ac:dyDescent="0.2">
      <c r="A45" s="534"/>
      <c r="B45" s="535"/>
      <c r="C45" s="535"/>
      <c r="D45" s="535"/>
      <c r="E45" s="535"/>
      <c r="F45" s="535"/>
      <c r="G45" s="535"/>
      <c r="H45" s="535"/>
      <c r="I45" s="535"/>
      <c r="J45" s="535"/>
      <c r="K45" s="535"/>
      <c r="L45" s="535"/>
      <c r="M45" s="535"/>
      <c r="N45" s="535"/>
      <c r="O45" s="535"/>
      <c r="P45" s="535"/>
      <c r="Q45" s="535"/>
      <c r="R45" s="535"/>
      <c r="S45" s="535"/>
      <c r="T45" s="535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4"/>
      <c r="AO45" s="4"/>
    </row>
    <row r="46" spans="1:41" s="2" customFormat="1" ht="36" customHeight="1" x14ac:dyDescent="0.2">
      <c r="A46" s="414" t="s">
        <v>30</v>
      </c>
      <c r="B46" s="415"/>
      <c r="C46" s="415"/>
      <c r="D46" s="415"/>
      <c r="E46" s="415"/>
      <c r="F46" s="415"/>
      <c r="G46" s="415"/>
      <c r="H46" s="415"/>
      <c r="I46" s="415"/>
      <c r="J46" s="415"/>
      <c r="K46" s="126"/>
      <c r="L46" s="126"/>
      <c r="M46" s="536" t="s">
        <v>91</v>
      </c>
      <c r="N46" s="537"/>
      <c r="O46" s="537"/>
      <c r="P46" s="537"/>
      <c r="Q46" s="537"/>
      <c r="R46" s="537"/>
      <c r="S46" s="127"/>
      <c r="T46" s="128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4"/>
      <c r="AO46" s="4"/>
    </row>
    <row r="47" spans="1:41" s="2" customFormat="1" ht="18" customHeight="1" x14ac:dyDescent="0.2">
      <c r="A47" s="538" t="s">
        <v>92</v>
      </c>
      <c r="B47" s="504"/>
      <c r="C47" s="504"/>
      <c r="D47" s="504"/>
      <c r="E47" s="504"/>
      <c r="F47" s="504"/>
      <c r="G47" s="504"/>
      <c r="H47" s="504"/>
      <c r="I47" s="504"/>
      <c r="J47" s="505"/>
      <c r="K47" s="129"/>
      <c r="L47" s="129"/>
      <c r="M47" s="540"/>
      <c r="N47" s="541"/>
      <c r="O47" s="542"/>
      <c r="P47" s="543"/>
      <c r="Q47" s="544"/>
      <c r="R47" s="129"/>
      <c r="S47" s="130"/>
      <c r="T47" s="545" t="s">
        <v>78</v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4"/>
      <c r="AO47" s="4"/>
    </row>
    <row r="48" spans="1:41" s="2" customFormat="1" ht="18" customHeight="1" x14ac:dyDescent="0.2">
      <c r="A48" s="539"/>
      <c r="B48" s="512"/>
      <c r="C48" s="512"/>
      <c r="D48" s="512"/>
      <c r="E48" s="512"/>
      <c r="F48" s="512"/>
      <c r="G48" s="512"/>
      <c r="H48" s="512"/>
      <c r="I48" s="512"/>
      <c r="J48" s="513"/>
      <c r="K48" s="132" t="s">
        <v>38</v>
      </c>
      <c r="L48" s="132" t="s">
        <v>93</v>
      </c>
      <c r="M48" s="547" t="s">
        <v>29</v>
      </c>
      <c r="N48" s="548"/>
      <c r="O48" s="547" t="s">
        <v>16</v>
      </c>
      <c r="P48" s="548"/>
      <c r="Q48" s="548"/>
      <c r="R48" s="132" t="s">
        <v>18</v>
      </c>
      <c r="S48" s="133" t="s">
        <v>1</v>
      </c>
      <c r="T48" s="546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4"/>
      <c r="AO48" s="4"/>
    </row>
    <row r="49" spans="1:41" s="2" customFormat="1" ht="36" customHeight="1" x14ac:dyDescent="0.2">
      <c r="A49" s="462" t="s">
        <v>5</v>
      </c>
      <c r="B49" s="463"/>
      <c r="C49" s="463"/>
      <c r="D49" s="549"/>
      <c r="E49" s="549"/>
      <c r="F49" s="549"/>
      <c r="G49" s="549"/>
      <c r="H49" s="549"/>
      <c r="I49" s="549"/>
      <c r="J49" s="550"/>
      <c r="K49" s="48"/>
      <c r="L49" s="85">
        <v>825</v>
      </c>
      <c r="M49" s="551"/>
      <c r="N49" s="552"/>
      <c r="O49" s="551"/>
      <c r="P49" s="552"/>
      <c r="Q49" s="552"/>
      <c r="R49" s="93"/>
      <c r="S49" s="42">
        <f>(K49*L49)-M49-O49-R49</f>
        <v>0</v>
      </c>
      <c r="T49" s="43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4"/>
      <c r="AO49" s="4"/>
    </row>
    <row r="50" spans="1:41" s="2" customFormat="1" ht="36" customHeight="1" x14ac:dyDescent="0.2">
      <c r="A50" s="462" t="s">
        <v>24</v>
      </c>
      <c r="B50" s="463"/>
      <c r="C50" s="463"/>
      <c r="D50" s="549"/>
      <c r="E50" s="549"/>
      <c r="F50" s="549"/>
      <c r="G50" s="549"/>
      <c r="H50" s="549"/>
      <c r="I50" s="549"/>
      <c r="J50" s="550"/>
      <c r="K50" s="48"/>
      <c r="L50" s="93">
        <v>825</v>
      </c>
      <c r="M50" s="551"/>
      <c r="N50" s="552"/>
      <c r="O50" s="551"/>
      <c r="P50" s="552"/>
      <c r="Q50" s="552"/>
      <c r="R50" s="93"/>
      <c r="S50" s="42">
        <f>(K50*L50)-M50-O50-R50</f>
        <v>0</v>
      </c>
      <c r="T50" s="43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4"/>
      <c r="AO50" s="4"/>
    </row>
    <row r="51" spans="1:41" s="2" customFormat="1" ht="36" customHeight="1" x14ac:dyDescent="0.2">
      <c r="A51" s="462" t="s">
        <v>35</v>
      </c>
      <c r="B51" s="463"/>
      <c r="C51" s="463"/>
      <c r="D51" s="549"/>
      <c r="E51" s="549"/>
      <c r="F51" s="549"/>
      <c r="G51" s="549"/>
      <c r="H51" s="549"/>
      <c r="I51" s="549"/>
      <c r="J51" s="550"/>
      <c r="K51" s="48"/>
      <c r="L51" s="93">
        <v>205</v>
      </c>
      <c r="M51" s="551"/>
      <c r="N51" s="552"/>
      <c r="O51" s="551"/>
      <c r="P51" s="552"/>
      <c r="Q51" s="552"/>
      <c r="R51" s="93"/>
      <c r="S51" s="42">
        <f>(K51*L51)-M51-O51-R51</f>
        <v>0</v>
      </c>
      <c r="T51" s="43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4"/>
      <c r="AO51" s="4"/>
    </row>
    <row r="52" spans="1:41" s="2" customFormat="1" ht="36" customHeight="1" x14ac:dyDescent="0.2">
      <c r="A52" s="525"/>
      <c r="B52" s="553"/>
      <c r="C52" s="553"/>
      <c r="D52" s="554"/>
      <c r="E52" s="554"/>
      <c r="F52" s="554"/>
      <c r="G52" s="554"/>
      <c r="H52" s="554"/>
      <c r="I52" s="554"/>
      <c r="J52" s="555"/>
      <c r="K52" s="65"/>
      <c r="L52" s="94"/>
      <c r="M52" s="556"/>
      <c r="N52" s="557"/>
      <c r="O52" s="556"/>
      <c r="P52" s="557"/>
      <c r="Q52" s="557"/>
      <c r="R52" s="94"/>
      <c r="S52" s="45">
        <f>(K52*L52)-M52-O52-R52</f>
        <v>0</v>
      </c>
      <c r="T52" s="46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4"/>
      <c r="AO52" s="4"/>
    </row>
    <row r="53" spans="1:41" s="2" customFormat="1" ht="18" customHeight="1" x14ac:dyDescent="0.2">
      <c r="A53" s="564" t="s">
        <v>90</v>
      </c>
      <c r="B53" s="565"/>
      <c r="C53" s="565"/>
      <c r="D53" s="565"/>
      <c r="E53" s="565"/>
      <c r="F53" s="565"/>
      <c r="G53" s="565"/>
      <c r="H53" s="565"/>
      <c r="I53" s="565"/>
      <c r="J53" s="565"/>
      <c r="K53" s="565"/>
      <c r="L53" s="565"/>
      <c r="M53" s="565"/>
      <c r="N53" s="565"/>
      <c r="O53" s="565"/>
      <c r="P53" s="565"/>
      <c r="Q53" s="565"/>
      <c r="R53" s="565"/>
      <c r="S53" s="565"/>
      <c r="T53" s="566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4"/>
      <c r="AO53" s="4"/>
    </row>
    <row r="54" spans="1:41" s="2" customFormat="1" ht="18" customHeight="1" x14ac:dyDescent="0.2">
      <c r="A54" s="567" t="s">
        <v>94</v>
      </c>
      <c r="B54" s="568"/>
      <c r="C54" s="568"/>
      <c r="D54" s="568"/>
      <c r="E54" s="568"/>
      <c r="F54" s="568"/>
      <c r="G54" s="568"/>
      <c r="H54" s="568"/>
      <c r="I54" s="568"/>
      <c r="J54" s="568"/>
      <c r="K54" s="568"/>
      <c r="L54" s="568"/>
      <c r="M54" s="568"/>
      <c r="N54" s="568"/>
      <c r="O54" s="568"/>
      <c r="P54" s="568"/>
      <c r="Q54" s="568"/>
      <c r="R54" s="568"/>
      <c r="S54" s="568"/>
      <c r="T54" s="569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4"/>
      <c r="AO54" s="4"/>
    </row>
    <row r="55" spans="1:41" s="2" customFormat="1" ht="18" customHeight="1" x14ac:dyDescent="0.2">
      <c r="A55" s="570" t="s">
        <v>103</v>
      </c>
      <c r="B55" s="571"/>
      <c r="C55" s="571"/>
      <c r="D55" s="571"/>
      <c r="E55" s="571"/>
      <c r="F55" s="571"/>
      <c r="G55" s="571"/>
      <c r="H55" s="571"/>
      <c r="I55" s="571"/>
      <c r="J55" s="571"/>
      <c r="K55" s="571"/>
      <c r="L55" s="571"/>
      <c r="M55" s="571"/>
      <c r="N55" s="571"/>
      <c r="O55" s="571"/>
      <c r="P55" s="571"/>
      <c r="Q55" s="571"/>
      <c r="R55" s="571"/>
      <c r="S55" s="571"/>
      <c r="T55" s="572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4"/>
      <c r="AO55" s="4"/>
    </row>
    <row r="56" spans="1:41" ht="12" customHeight="1" x14ac:dyDescent="0.2">
      <c r="A56" s="573"/>
      <c r="B56" s="574"/>
      <c r="C56" s="574"/>
      <c r="D56" s="574"/>
      <c r="E56" s="574"/>
      <c r="F56" s="574"/>
      <c r="G56" s="574"/>
      <c r="H56" s="574"/>
      <c r="I56" s="574"/>
      <c r="J56" s="574"/>
      <c r="K56" s="574"/>
      <c r="L56" s="574"/>
      <c r="M56" s="574"/>
      <c r="N56" s="574"/>
      <c r="O56" s="574"/>
      <c r="P56" s="574"/>
      <c r="Q56" s="574"/>
      <c r="R56" s="574"/>
      <c r="S56" s="574"/>
      <c r="T56" s="574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3"/>
      <c r="AO56" s="3"/>
    </row>
    <row r="57" spans="1:41" s="2" customFormat="1" ht="36" customHeight="1" x14ac:dyDescent="0.2">
      <c r="A57" s="575" t="s">
        <v>96</v>
      </c>
      <c r="B57" s="576"/>
      <c r="C57" s="576"/>
      <c r="D57" s="576"/>
      <c r="E57" s="576"/>
      <c r="F57" s="576"/>
      <c r="G57" s="576"/>
      <c r="H57" s="576"/>
      <c r="I57" s="576"/>
      <c r="J57" s="576"/>
      <c r="K57" s="577"/>
      <c r="L57" s="577"/>
      <c r="M57" s="577"/>
      <c r="N57" s="578"/>
      <c r="O57" s="579" t="s">
        <v>38</v>
      </c>
      <c r="P57" s="580"/>
      <c r="Q57" s="580"/>
      <c r="R57" s="134" t="s">
        <v>41</v>
      </c>
      <c r="S57" s="134" t="s">
        <v>1</v>
      </c>
      <c r="T57" s="119" t="s">
        <v>78</v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4"/>
      <c r="AO57" s="4"/>
    </row>
    <row r="58" spans="1:41" s="2" customFormat="1" ht="36" customHeight="1" x14ac:dyDescent="0.2">
      <c r="A58" s="471" t="s">
        <v>6</v>
      </c>
      <c r="B58" s="472"/>
      <c r="C58" s="472"/>
      <c r="D58" s="472"/>
      <c r="E58" s="472"/>
      <c r="F58" s="472"/>
      <c r="G58" s="472"/>
      <c r="H58" s="472"/>
      <c r="I58" s="472"/>
      <c r="J58" s="472"/>
      <c r="K58" s="473"/>
      <c r="L58" s="473"/>
      <c r="M58" s="473"/>
      <c r="N58" s="474"/>
      <c r="O58" s="558"/>
      <c r="P58" s="559"/>
      <c r="Q58" s="559"/>
      <c r="R58" s="94">
        <v>430</v>
      </c>
      <c r="S58" s="45">
        <f>+O58*R58</f>
        <v>0</v>
      </c>
      <c r="T58" s="46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4"/>
      <c r="AO58" s="4"/>
    </row>
    <row r="59" spans="1:41" s="70" customFormat="1" ht="24" customHeight="1" x14ac:dyDescent="0.2">
      <c r="A59" s="560"/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1"/>
      <c r="P59" s="561"/>
      <c r="Q59" s="561"/>
      <c r="R59" s="561"/>
      <c r="S59" s="561"/>
      <c r="T59" s="561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9"/>
      <c r="AO59" s="69"/>
    </row>
    <row r="60" spans="1:41" s="2" customFormat="1" ht="30.75" customHeight="1" x14ac:dyDescent="0.2">
      <c r="A60" s="414" t="s">
        <v>26</v>
      </c>
      <c r="B60" s="415"/>
      <c r="C60" s="415"/>
      <c r="D60" s="415"/>
      <c r="E60" s="415"/>
      <c r="F60" s="415"/>
      <c r="G60" s="415"/>
      <c r="H60" s="415"/>
      <c r="I60" s="415"/>
      <c r="J60" s="415"/>
      <c r="K60" s="415"/>
      <c r="L60" s="415"/>
      <c r="M60" s="415"/>
      <c r="N60" s="415"/>
      <c r="O60" s="415"/>
      <c r="P60" s="415"/>
      <c r="Q60" s="415"/>
      <c r="R60" s="118" t="s">
        <v>25</v>
      </c>
      <c r="S60" s="118" t="s">
        <v>11</v>
      </c>
      <c r="T60" s="135" t="s">
        <v>4</v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4"/>
      <c r="AO60" s="4"/>
    </row>
    <row r="61" spans="1:41" s="2" customFormat="1" ht="17.25" customHeight="1" x14ac:dyDescent="0.2">
      <c r="A61" s="562" t="s">
        <v>46</v>
      </c>
      <c r="B61" s="490"/>
      <c r="C61" s="490"/>
      <c r="D61" s="490"/>
      <c r="E61" s="490"/>
      <c r="F61" s="490"/>
      <c r="G61" s="490"/>
      <c r="H61" s="490"/>
      <c r="I61" s="490"/>
      <c r="J61" s="490"/>
      <c r="K61" s="490"/>
      <c r="L61" s="490"/>
      <c r="M61" s="490"/>
      <c r="N61" s="490"/>
      <c r="O61" s="490"/>
      <c r="P61" s="490"/>
      <c r="Q61" s="490"/>
      <c r="R61" s="123" t="s">
        <v>22</v>
      </c>
      <c r="S61" s="123" t="s">
        <v>21</v>
      </c>
      <c r="T61" s="125" t="s">
        <v>37</v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4"/>
      <c r="AO61" s="4"/>
    </row>
    <row r="62" spans="1:41" s="2" customFormat="1" ht="36" customHeight="1" x14ac:dyDescent="0.2">
      <c r="A62" s="563"/>
      <c r="B62" s="448"/>
      <c r="C62" s="448"/>
      <c r="D62" s="448"/>
      <c r="E62" s="448"/>
      <c r="F62" s="448"/>
      <c r="G62" s="448"/>
      <c r="H62" s="448"/>
      <c r="I62" s="448"/>
      <c r="J62" s="448"/>
      <c r="K62" s="448"/>
      <c r="L62" s="448"/>
      <c r="M62" s="448"/>
      <c r="N62" s="448"/>
      <c r="O62" s="448"/>
      <c r="P62" s="448"/>
      <c r="Q62" s="448"/>
      <c r="R62" s="55"/>
      <c r="S62" s="93"/>
      <c r="T62" s="43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4"/>
      <c r="AO62" s="4"/>
    </row>
    <row r="63" spans="1:41" s="2" customFormat="1" ht="36" customHeight="1" x14ac:dyDescent="0.2">
      <c r="A63" s="563"/>
      <c r="B63" s="448"/>
      <c r="C63" s="448"/>
      <c r="D63" s="448"/>
      <c r="E63" s="448"/>
      <c r="F63" s="448"/>
      <c r="G63" s="448"/>
      <c r="H63" s="448"/>
      <c r="I63" s="448"/>
      <c r="J63" s="448"/>
      <c r="K63" s="448"/>
      <c r="L63" s="448"/>
      <c r="M63" s="448"/>
      <c r="N63" s="448"/>
      <c r="O63" s="448"/>
      <c r="P63" s="448"/>
      <c r="Q63" s="448"/>
      <c r="R63" s="55"/>
      <c r="S63" s="93"/>
      <c r="T63" s="43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4"/>
      <c r="AO63" s="4"/>
    </row>
    <row r="64" spans="1:41" s="2" customFormat="1" ht="36" customHeight="1" x14ac:dyDescent="0.2">
      <c r="A64" s="563"/>
      <c r="B64" s="448"/>
      <c r="C64" s="448"/>
      <c r="D64" s="448"/>
      <c r="E64" s="448"/>
      <c r="F64" s="448"/>
      <c r="G64" s="448"/>
      <c r="H64" s="448"/>
      <c r="I64" s="448"/>
      <c r="J64" s="448"/>
      <c r="K64" s="448"/>
      <c r="L64" s="448"/>
      <c r="M64" s="448"/>
      <c r="N64" s="448"/>
      <c r="O64" s="448"/>
      <c r="P64" s="448"/>
      <c r="Q64" s="448"/>
      <c r="R64" s="55"/>
      <c r="S64" s="93"/>
      <c r="T64" s="43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4"/>
      <c r="AO64" s="4"/>
    </row>
    <row r="65" spans="1:41" s="2" customFormat="1" ht="36" customHeight="1" x14ac:dyDescent="0.2">
      <c r="A65" s="591"/>
      <c r="B65" s="592"/>
      <c r="C65" s="592"/>
      <c r="D65" s="592"/>
      <c r="E65" s="592"/>
      <c r="F65" s="592"/>
      <c r="G65" s="592"/>
      <c r="H65" s="592"/>
      <c r="I65" s="592"/>
      <c r="J65" s="592"/>
      <c r="K65" s="592"/>
      <c r="L65" s="592"/>
      <c r="M65" s="592"/>
      <c r="N65" s="592"/>
      <c r="O65" s="592"/>
      <c r="P65" s="592"/>
      <c r="Q65" s="592"/>
      <c r="R65" s="57"/>
      <c r="S65" s="94"/>
      <c r="T65" s="46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4"/>
      <c r="AO65" s="4"/>
    </row>
    <row r="66" spans="1:41" s="2" customFormat="1" ht="24" customHeight="1" x14ac:dyDescent="0.2">
      <c r="A66" s="534"/>
      <c r="B66" s="535"/>
      <c r="C66" s="535"/>
      <c r="D66" s="535"/>
      <c r="E66" s="535"/>
      <c r="F66" s="535"/>
      <c r="G66" s="535"/>
      <c r="H66" s="535"/>
      <c r="I66" s="535"/>
      <c r="J66" s="535"/>
      <c r="K66" s="535"/>
      <c r="L66" s="535"/>
      <c r="M66" s="535"/>
      <c r="N66" s="535"/>
      <c r="O66" s="535"/>
      <c r="P66" s="535"/>
      <c r="Q66" s="535"/>
      <c r="R66" s="535"/>
      <c r="S66" s="535"/>
      <c r="T66" s="535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4"/>
      <c r="AO66" s="4"/>
    </row>
    <row r="67" spans="1:41" s="2" customFormat="1" ht="36" customHeight="1" x14ac:dyDescent="0.2">
      <c r="A67" s="593" t="s">
        <v>72</v>
      </c>
      <c r="B67" s="594"/>
      <c r="C67" s="594"/>
      <c r="D67" s="594"/>
      <c r="E67" s="594"/>
      <c r="F67" s="594"/>
      <c r="G67" s="594"/>
      <c r="H67" s="594"/>
      <c r="I67" s="594"/>
      <c r="J67" s="594"/>
      <c r="K67" s="594"/>
      <c r="L67" s="594"/>
      <c r="M67" s="594"/>
      <c r="N67" s="594"/>
      <c r="O67" s="594"/>
      <c r="P67" s="594"/>
      <c r="Q67" s="594"/>
      <c r="R67" s="594"/>
      <c r="S67" s="72">
        <f>+O23+SUM(S27:S30)+SUM(S34:S35)+SUM(S41:S44)+SUM(S49:S52)+SUM(S58)+SUM(S62:S65)</f>
        <v>0</v>
      </c>
      <c r="T67" s="136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4"/>
      <c r="AO67" s="4"/>
    </row>
    <row r="68" spans="1:41" s="2" customFormat="1" ht="24" customHeight="1" x14ac:dyDescent="0.2">
      <c r="A68" s="534"/>
      <c r="B68" s="535"/>
      <c r="C68" s="535"/>
      <c r="D68" s="535"/>
      <c r="E68" s="535"/>
      <c r="F68" s="535"/>
      <c r="G68" s="535"/>
      <c r="H68" s="535"/>
      <c r="I68" s="535"/>
      <c r="J68" s="535"/>
      <c r="K68" s="535"/>
      <c r="L68" s="535"/>
      <c r="M68" s="535"/>
      <c r="N68" s="535"/>
      <c r="O68" s="535"/>
      <c r="P68" s="535"/>
      <c r="Q68" s="535"/>
      <c r="R68" s="535"/>
      <c r="S68" s="535"/>
      <c r="T68" s="535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4"/>
      <c r="AO68" s="4"/>
    </row>
    <row r="69" spans="1:41" s="2" customFormat="1" ht="36" customHeight="1" x14ac:dyDescent="0.2">
      <c r="A69" s="581" t="s">
        <v>42</v>
      </c>
      <c r="B69" s="582"/>
      <c r="C69" s="582"/>
      <c r="D69" s="582"/>
      <c r="E69" s="582"/>
      <c r="F69" s="582"/>
      <c r="G69" s="582"/>
      <c r="H69" s="583"/>
      <c r="I69" s="584"/>
      <c r="J69" s="584"/>
      <c r="K69" s="584"/>
      <c r="L69" s="584"/>
      <c r="M69" s="584"/>
      <c r="N69" s="584"/>
      <c r="O69" s="584"/>
      <c r="P69" s="584"/>
      <c r="Q69" s="584"/>
      <c r="R69" s="584"/>
      <c r="S69" s="74"/>
      <c r="T69" s="75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4"/>
      <c r="AO69" s="4"/>
    </row>
    <row r="70" spans="1:41" s="2" customFormat="1" ht="36" customHeight="1" x14ac:dyDescent="0.2">
      <c r="A70" s="585" t="s">
        <v>20</v>
      </c>
      <c r="B70" s="586"/>
      <c r="C70" s="586"/>
      <c r="D70" s="586"/>
      <c r="E70" s="586"/>
      <c r="F70" s="586"/>
      <c r="G70" s="586"/>
      <c r="H70" s="447"/>
      <c r="I70" s="448"/>
      <c r="J70" s="448"/>
      <c r="K70" s="448"/>
      <c r="L70" s="448"/>
      <c r="M70" s="448"/>
      <c r="N70" s="448"/>
      <c r="O70" s="448"/>
      <c r="P70" s="448"/>
      <c r="Q70" s="448"/>
      <c r="R70" s="448"/>
      <c r="S70" s="93"/>
      <c r="T70" s="43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4"/>
      <c r="AO70" s="4"/>
    </row>
    <row r="71" spans="1:41" s="2" customFormat="1" ht="36" customHeight="1" x14ac:dyDescent="0.2">
      <c r="A71" s="587" t="s">
        <v>33</v>
      </c>
      <c r="B71" s="588"/>
      <c r="C71" s="588"/>
      <c r="D71" s="588"/>
      <c r="E71" s="588"/>
      <c r="F71" s="588"/>
      <c r="G71" s="588"/>
      <c r="H71" s="588"/>
      <c r="I71" s="588"/>
      <c r="J71" s="588"/>
      <c r="K71" s="588"/>
      <c r="L71" s="588"/>
      <c r="M71" s="588"/>
      <c r="N71" s="588"/>
      <c r="O71" s="588"/>
      <c r="P71" s="588"/>
      <c r="Q71" s="588"/>
      <c r="R71" s="588"/>
      <c r="S71" s="83">
        <f>S67-S69-S70</f>
        <v>0</v>
      </c>
      <c r="T71" s="13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4"/>
      <c r="AO71" s="4"/>
    </row>
    <row r="72" spans="1:41" ht="10.7" customHeight="1" x14ac:dyDescent="0.2">
      <c r="A72" s="589"/>
      <c r="B72" s="590"/>
      <c r="C72" s="590"/>
      <c r="D72" s="590"/>
      <c r="E72" s="590"/>
      <c r="F72" s="590"/>
      <c r="G72" s="590"/>
      <c r="H72" s="590"/>
      <c r="I72" s="590"/>
      <c r="J72" s="590"/>
      <c r="K72" s="590"/>
      <c r="L72" s="590"/>
      <c r="M72" s="590"/>
      <c r="N72" s="590"/>
      <c r="O72" s="590"/>
      <c r="P72" s="590"/>
      <c r="Q72" s="590"/>
      <c r="R72" s="590"/>
      <c r="S72" s="590"/>
      <c r="T72" s="590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3"/>
      <c r="AO72" s="3"/>
    </row>
    <row r="73" spans="1:41" ht="16.7" customHeight="1" x14ac:dyDescent="0.25">
      <c r="A73" s="79" t="s">
        <v>107</v>
      </c>
      <c r="B73" s="607" t="s">
        <v>17</v>
      </c>
      <c r="C73" s="608"/>
      <c r="D73" s="608"/>
      <c r="E73" s="608"/>
      <c r="F73" s="608"/>
      <c r="G73" s="608"/>
      <c r="H73" s="608"/>
      <c r="I73" s="608"/>
      <c r="J73" s="608"/>
      <c r="K73" s="608"/>
      <c r="L73" s="608"/>
      <c r="M73" s="77"/>
      <c r="N73" s="80"/>
      <c r="O73" s="607" t="s">
        <v>45</v>
      </c>
      <c r="P73" s="608"/>
      <c r="Q73" s="608"/>
      <c r="R73" s="608"/>
      <c r="S73" s="608"/>
      <c r="T73" s="608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3"/>
      <c r="AO73" s="3"/>
    </row>
    <row r="74" spans="1:41" ht="16.7" customHeight="1" x14ac:dyDescent="0.25">
      <c r="A74" s="79"/>
      <c r="B74" s="607" t="s">
        <v>19</v>
      </c>
      <c r="C74" s="608"/>
      <c r="D74" s="79" t="s">
        <v>107</v>
      </c>
      <c r="E74" s="607" t="s">
        <v>73</v>
      </c>
      <c r="F74" s="608"/>
      <c r="G74" s="608"/>
      <c r="H74" s="609" t="s">
        <v>108</v>
      </c>
      <c r="I74" s="610"/>
      <c r="J74" s="610"/>
      <c r="K74" s="610"/>
      <c r="L74" s="610"/>
      <c r="M74" s="77"/>
      <c r="N74" s="80"/>
      <c r="O74" s="607" t="s">
        <v>27</v>
      </c>
      <c r="P74" s="608"/>
      <c r="Q74" s="608"/>
      <c r="R74" s="608"/>
      <c r="S74" s="608"/>
      <c r="T74" s="608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3"/>
      <c r="AO74" s="3"/>
    </row>
    <row r="75" spans="1:41" ht="9.1999999999999993" customHeight="1" x14ac:dyDescent="0.2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4"/>
      <c r="Q75" s="574"/>
      <c r="R75" s="574"/>
      <c r="S75" s="574"/>
      <c r="T75" s="574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3"/>
      <c r="AO75" s="3"/>
    </row>
    <row r="76" spans="1:41" ht="15.2" customHeight="1" x14ac:dyDescent="0.2">
      <c r="A76" s="597" t="s">
        <v>32</v>
      </c>
      <c r="B76" s="598"/>
      <c r="C76" s="598"/>
      <c r="D76" s="598"/>
      <c r="E76" s="597" t="s">
        <v>74</v>
      </c>
      <c r="F76" s="598"/>
      <c r="G76" s="598"/>
      <c r="H76" s="598"/>
      <c r="I76" s="598"/>
      <c r="J76" s="598"/>
      <c r="K76" s="598"/>
      <c r="L76" s="599" t="s">
        <v>75</v>
      </c>
      <c r="M76" s="600"/>
      <c r="N76" s="600"/>
      <c r="O76" s="600"/>
      <c r="P76" s="600"/>
      <c r="Q76" s="600"/>
      <c r="R76" s="600"/>
      <c r="S76" s="600"/>
      <c r="T76" s="600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3"/>
      <c r="AO76" s="3"/>
    </row>
    <row r="77" spans="1:41" ht="39.950000000000003" customHeight="1" x14ac:dyDescent="0.2">
      <c r="A77" s="601"/>
      <c r="B77" s="602"/>
      <c r="C77" s="602"/>
      <c r="D77" s="602"/>
      <c r="E77" s="603"/>
      <c r="F77" s="604"/>
      <c r="G77" s="604"/>
      <c r="H77" s="604"/>
      <c r="I77" s="604"/>
      <c r="J77" s="604"/>
      <c r="K77" s="604"/>
      <c r="L77" s="605"/>
      <c r="M77" s="606"/>
      <c r="N77" s="606"/>
      <c r="O77" s="606"/>
      <c r="P77" s="606"/>
      <c r="Q77" s="606"/>
      <c r="R77" s="606"/>
      <c r="S77" s="606"/>
      <c r="T77" s="606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3"/>
      <c r="AO77" s="3"/>
    </row>
    <row r="78" spans="1:41" s="2" customFormat="1" ht="30" customHeight="1" x14ac:dyDescent="0.2">
      <c r="A78" s="595"/>
      <c r="B78" s="596"/>
      <c r="C78" s="596"/>
      <c r="D78" s="596"/>
      <c r="E78" s="596"/>
      <c r="F78" s="596"/>
      <c r="G78" s="596"/>
      <c r="H78" s="596"/>
      <c r="I78" s="596"/>
      <c r="J78" s="596"/>
      <c r="K78" s="596"/>
      <c r="L78" s="596"/>
      <c r="M78" s="596"/>
      <c r="N78" s="596"/>
      <c r="O78" s="596"/>
      <c r="P78" s="596"/>
      <c r="Q78" s="596"/>
      <c r="R78" s="596"/>
      <c r="S78" s="596"/>
      <c r="T78" s="596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4"/>
      <c r="AO78" s="4"/>
    </row>
    <row r="79" spans="1:41" x14ac:dyDescent="0.2"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3"/>
      <c r="AO79" s="3"/>
    </row>
    <row r="80" spans="1:41" x14ac:dyDescent="0.2"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3"/>
      <c r="AO80" s="3"/>
    </row>
    <row r="81" spans="21:41" x14ac:dyDescent="0.2"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3"/>
      <c r="AO81" s="3"/>
    </row>
    <row r="82" spans="21:41" x14ac:dyDescent="0.2"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3"/>
      <c r="AO82" s="3"/>
    </row>
    <row r="83" spans="21:41" x14ac:dyDescent="0.2"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3"/>
      <c r="AO83" s="3"/>
    </row>
    <row r="84" spans="21:41" x14ac:dyDescent="0.2"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3"/>
      <c r="AO84" s="3"/>
    </row>
    <row r="85" spans="21:41" x14ac:dyDescent="0.2"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3"/>
      <c r="AO85" s="3"/>
    </row>
    <row r="86" spans="21:41" x14ac:dyDescent="0.2"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3"/>
      <c r="AO86" s="3"/>
    </row>
    <row r="87" spans="21:41" x14ac:dyDescent="0.2"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3"/>
      <c r="AO87" s="3"/>
    </row>
    <row r="88" spans="21:41" x14ac:dyDescent="0.2"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3"/>
      <c r="AO88" s="3"/>
    </row>
    <row r="89" spans="21:41" x14ac:dyDescent="0.2"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3"/>
      <c r="AO89" s="3"/>
    </row>
    <row r="90" spans="21:41" x14ac:dyDescent="0.2"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3"/>
      <c r="AO90" s="3"/>
    </row>
    <row r="91" spans="21:41" x14ac:dyDescent="0.2"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3"/>
      <c r="AO91" s="3"/>
    </row>
    <row r="92" spans="21:41" x14ac:dyDescent="0.2"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3"/>
      <c r="AO92" s="3"/>
    </row>
    <row r="93" spans="21:41" x14ac:dyDescent="0.2"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3"/>
      <c r="AO93" s="3"/>
    </row>
    <row r="94" spans="21:41" x14ac:dyDescent="0.2"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3"/>
      <c r="AO94" s="3"/>
    </row>
    <row r="95" spans="21:41" x14ac:dyDescent="0.2"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3"/>
      <c r="AO95" s="3"/>
    </row>
    <row r="96" spans="21:41" x14ac:dyDescent="0.2"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3"/>
      <c r="AO96" s="3"/>
    </row>
    <row r="97" spans="21:41" x14ac:dyDescent="0.2"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3"/>
      <c r="AO97" s="3"/>
    </row>
    <row r="98" spans="21:41" x14ac:dyDescent="0.2"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3"/>
      <c r="AO98" s="3"/>
    </row>
    <row r="99" spans="21:41" x14ac:dyDescent="0.2"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3"/>
      <c r="AO99" s="3"/>
    </row>
    <row r="100" spans="21:41" x14ac:dyDescent="0.2"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3"/>
      <c r="AO100" s="3"/>
    </row>
    <row r="101" spans="21:41" x14ac:dyDescent="0.2"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3"/>
      <c r="AO101" s="3"/>
    </row>
    <row r="102" spans="21:41" x14ac:dyDescent="0.2"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3"/>
      <c r="AO102" s="3"/>
    </row>
    <row r="103" spans="21:41" x14ac:dyDescent="0.2"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3"/>
      <c r="AO103" s="3"/>
    </row>
    <row r="104" spans="21:41" x14ac:dyDescent="0.2"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3"/>
      <c r="AO104" s="3"/>
    </row>
    <row r="105" spans="21:41" x14ac:dyDescent="0.2"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3"/>
      <c r="AO105" s="3"/>
    </row>
    <row r="106" spans="21:41" x14ac:dyDescent="0.2"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3"/>
      <c r="AO106" s="3"/>
    </row>
    <row r="107" spans="21:41" x14ac:dyDescent="0.2"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3"/>
      <c r="AO107" s="3"/>
    </row>
    <row r="108" spans="21:41" x14ac:dyDescent="0.2"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3"/>
      <c r="AO108" s="3"/>
    </row>
    <row r="109" spans="21:41" x14ac:dyDescent="0.2"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3"/>
      <c r="AO109" s="3"/>
    </row>
    <row r="110" spans="21:41" x14ac:dyDescent="0.2"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3"/>
      <c r="AO110" s="3"/>
    </row>
    <row r="111" spans="21:41" x14ac:dyDescent="0.2"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3"/>
      <c r="AO111" s="3"/>
    </row>
    <row r="112" spans="21:41" x14ac:dyDescent="0.2"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3"/>
      <c r="AO112" s="3"/>
    </row>
    <row r="113" spans="21:41" x14ac:dyDescent="0.2"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3"/>
      <c r="AO113" s="3"/>
    </row>
    <row r="114" spans="21:41" x14ac:dyDescent="0.2"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3"/>
      <c r="AO114" s="3"/>
    </row>
    <row r="115" spans="21:41" x14ac:dyDescent="0.2"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3"/>
      <c r="AO115" s="3"/>
    </row>
    <row r="116" spans="21:41" x14ac:dyDescent="0.2"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3"/>
      <c r="AO116" s="3"/>
    </row>
    <row r="117" spans="21:41" x14ac:dyDescent="0.2"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3"/>
      <c r="AO117" s="3"/>
    </row>
    <row r="118" spans="21:41" x14ac:dyDescent="0.2"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3"/>
      <c r="AO118" s="3"/>
    </row>
    <row r="119" spans="21:41" x14ac:dyDescent="0.2"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3"/>
      <c r="AO119" s="3"/>
    </row>
    <row r="120" spans="21:41" x14ac:dyDescent="0.2"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3"/>
      <c r="AO120" s="3"/>
    </row>
    <row r="121" spans="21:41" x14ac:dyDescent="0.2"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3"/>
      <c r="AO121" s="3"/>
    </row>
    <row r="122" spans="21:41" x14ac:dyDescent="0.2"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3"/>
      <c r="AO122" s="3"/>
    </row>
    <row r="123" spans="21:41" x14ac:dyDescent="0.2"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3"/>
      <c r="AO123" s="3"/>
    </row>
    <row r="124" spans="21:41" x14ac:dyDescent="0.2"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3"/>
      <c r="AO124" s="3"/>
    </row>
    <row r="125" spans="21:41" x14ac:dyDescent="0.2"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3"/>
      <c r="AO125" s="3"/>
    </row>
    <row r="126" spans="21:41" x14ac:dyDescent="0.2"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3"/>
      <c r="AO126" s="3"/>
    </row>
    <row r="127" spans="21:41" x14ac:dyDescent="0.2"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3"/>
      <c r="AO127" s="3"/>
    </row>
    <row r="128" spans="21:41" x14ac:dyDescent="0.2"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3"/>
      <c r="AO128" s="3"/>
    </row>
    <row r="129" spans="21:41" x14ac:dyDescent="0.2"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3"/>
      <c r="AO129" s="3"/>
    </row>
    <row r="130" spans="21:41" x14ac:dyDescent="0.2"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3"/>
      <c r="AO130" s="3"/>
    </row>
    <row r="131" spans="21:41" x14ac:dyDescent="0.2"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3"/>
      <c r="AO131" s="3"/>
    </row>
    <row r="132" spans="21:41" x14ac:dyDescent="0.2"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3"/>
      <c r="AO132" s="3"/>
    </row>
    <row r="133" spans="21:41" x14ac:dyDescent="0.2"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3"/>
      <c r="AO133" s="3"/>
    </row>
    <row r="134" spans="21:41" x14ac:dyDescent="0.2"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3"/>
      <c r="AO134" s="3"/>
    </row>
    <row r="135" spans="21:41" x14ac:dyDescent="0.2"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3"/>
      <c r="AO135" s="3"/>
    </row>
    <row r="136" spans="21:41" x14ac:dyDescent="0.2"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3"/>
      <c r="AO136" s="3"/>
    </row>
    <row r="137" spans="21:41" x14ac:dyDescent="0.2"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3"/>
      <c r="AO137" s="3"/>
    </row>
    <row r="138" spans="21:41" x14ac:dyDescent="0.2"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3"/>
      <c r="AO138" s="3"/>
    </row>
    <row r="139" spans="21:41" x14ac:dyDescent="0.2"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3"/>
      <c r="AO139" s="3"/>
    </row>
    <row r="140" spans="21:41" x14ac:dyDescent="0.2"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3"/>
      <c r="AO140" s="3"/>
    </row>
    <row r="141" spans="21:41" x14ac:dyDescent="0.2"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3"/>
      <c r="AO141" s="3"/>
    </row>
    <row r="142" spans="21:41" x14ac:dyDescent="0.2"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3"/>
      <c r="AO142" s="3"/>
    </row>
    <row r="143" spans="21:41" x14ac:dyDescent="0.2"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3"/>
      <c r="AO143" s="3"/>
    </row>
    <row r="144" spans="21:41" x14ac:dyDescent="0.2"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3"/>
      <c r="AO144" s="3"/>
    </row>
    <row r="145" spans="21:41" x14ac:dyDescent="0.2"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3"/>
      <c r="AO145" s="3"/>
    </row>
    <row r="146" spans="21:41" x14ac:dyDescent="0.2"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3"/>
      <c r="AO146" s="3"/>
    </row>
    <row r="147" spans="21:41" x14ac:dyDescent="0.2"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3"/>
      <c r="AO147" s="3"/>
    </row>
    <row r="148" spans="21:41" x14ac:dyDescent="0.2"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3"/>
      <c r="AO148" s="3"/>
    </row>
    <row r="149" spans="21:41" x14ac:dyDescent="0.2"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3"/>
      <c r="AO149" s="3"/>
    </row>
    <row r="150" spans="21:41" x14ac:dyDescent="0.2"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3"/>
      <c r="AO150" s="3"/>
    </row>
    <row r="151" spans="21:41" x14ac:dyDescent="0.2"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3"/>
      <c r="AO151" s="3"/>
    </row>
    <row r="152" spans="21:41" x14ac:dyDescent="0.2"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3"/>
      <c r="AO152" s="3"/>
    </row>
    <row r="153" spans="21:41" x14ac:dyDescent="0.2"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3"/>
      <c r="AO153" s="3"/>
    </row>
    <row r="154" spans="21:41" x14ac:dyDescent="0.2"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3"/>
      <c r="AO154" s="3"/>
    </row>
    <row r="155" spans="21:41" x14ac:dyDescent="0.2"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3"/>
      <c r="AO155" s="3"/>
    </row>
    <row r="156" spans="21:41" x14ac:dyDescent="0.2"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3"/>
      <c r="AO156" s="3"/>
    </row>
    <row r="157" spans="21:41" x14ac:dyDescent="0.2"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3"/>
      <c r="AO157" s="3"/>
    </row>
    <row r="158" spans="21:41" x14ac:dyDescent="0.2"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3"/>
      <c r="AO158" s="3"/>
    </row>
    <row r="159" spans="21:41" x14ac:dyDescent="0.2"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3"/>
      <c r="AO159" s="3"/>
    </row>
    <row r="160" spans="21:41" x14ac:dyDescent="0.2"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3"/>
      <c r="AO160" s="3"/>
    </row>
    <row r="161" spans="21:41" x14ac:dyDescent="0.2"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3"/>
      <c r="AO161" s="3"/>
    </row>
    <row r="162" spans="21:41" x14ac:dyDescent="0.2"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3"/>
      <c r="AO162" s="3"/>
    </row>
    <row r="163" spans="21:41" x14ac:dyDescent="0.2"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3"/>
      <c r="AO163" s="3"/>
    </row>
    <row r="164" spans="21:41" x14ac:dyDescent="0.2"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3"/>
      <c r="AO164" s="3"/>
    </row>
    <row r="165" spans="21:41" x14ac:dyDescent="0.2"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3"/>
      <c r="AO165" s="3"/>
    </row>
    <row r="166" spans="21:41" x14ac:dyDescent="0.2"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3"/>
      <c r="AO166" s="3"/>
    </row>
    <row r="167" spans="21:41" x14ac:dyDescent="0.2"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3"/>
      <c r="AO167" s="3"/>
    </row>
    <row r="168" spans="21:41" x14ac:dyDescent="0.2"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3"/>
      <c r="AO168" s="3"/>
    </row>
    <row r="169" spans="21:41" x14ac:dyDescent="0.2"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3"/>
    </row>
    <row r="170" spans="21:41" x14ac:dyDescent="0.2"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3"/>
    </row>
    <row r="171" spans="21:41" x14ac:dyDescent="0.2"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3"/>
    </row>
    <row r="172" spans="21:41" x14ac:dyDescent="0.2"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3"/>
    </row>
    <row r="173" spans="21:41" x14ac:dyDescent="0.2"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3"/>
    </row>
    <row r="174" spans="21:41" x14ac:dyDescent="0.2"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3"/>
    </row>
    <row r="175" spans="21:41" x14ac:dyDescent="0.2"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3"/>
    </row>
    <row r="176" spans="21:41" x14ac:dyDescent="0.2"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3"/>
    </row>
    <row r="177" spans="29:41" x14ac:dyDescent="0.2"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3"/>
    </row>
    <row r="178" spans="29:41" x14ac:dyDescent="0.2"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3"/>
    </row>
    <row r="179" spans="29:41" x14ac:dyDescent="0.2"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3"/>
    </row>
    <row r="180" spans="29:41" x14ac:dyDescent="0.2"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3"/>
    </row>
    <row r="181" spans="29:41" x14ac:dyDescent="0.2"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3"/>
    </row>
    <row r="182" spans="29:41" x14ac:dyDescent="0.2"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3"/>
    </row>
    <row r="183" spans="29:41" x14ac:dyDescent="0.2"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3"/>
    </row>
    <row r="184" spans="29:41" x14ac:dyDescent="0.2"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3"/>
    </row>
    <row r="185" spans="29:41" x14ac:dyDescent="0.2"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3"/>
    </row>
    <row r="186" spans="29:41" x14ac:dyDescent="0.2"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3"/>
    </row>
    <row r="187" spans="29:41" x14ac:dyDescent="0.2"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3"/>
    </row>
    <row r="188" spans="29:41" x14ac:dyDescent="0.2"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3"/>
    </row>
    <row r="189" spans="29:41" x14ac:dyDescent="0.2"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3"/>
    </row>
    <row r="190" spans="29:41" x14ac:dyDescent="0.2"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3"/>
    </row>
    <row r="191" spans="29:41" x14ac:dyDescent="0.2"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3"/>
    </row>
    <row r="192" spans="29:41" x14ac:dyDescent="0.2"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3"/>
    </row>
    <row r="193" spans="29:41" x14ac:dyDescent="0.2"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3"/>
    </row>
    <row r="194" spans="29:41" x14ac:dyDescent="0.2"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3"/>
    </row>
    <row r="195" spans="29:41" x14ac:dyDescent="0.2"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3"/>
    </row>
    <row r="196" spans="29:41" x14ac:dyDescent="0.2"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3"/>
    </row>
    <row r="197" spans="29:41" x14ac:dyDescent="0.2"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3"/>
    </row>
    <row r="198" spans="29:41" x14ac:dyDescent="0.2"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3"/>
    </row>
    <row r="199" spans="29:41" x14ac:dyDescent="0.2"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3"/>
    </row>
    <row r="200" spans="29:41" x14ac:dyDescent="0.2"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3"/>
    </row>
    <row r="201" spans="29:41" x14ac:dyDescent="0.2"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3"/>
    </row>
    <row r="202" spans="29:41" x14ac:dyDescent="0.2"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3"/>
    </row>
    <row r="203" spans="29:41" x14ac:dyDescent="0.2"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3"/>
    </row>
    <row r="204" spans="29:41" x14ac:dyDescent="0.2"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3"/>
    </row>
    <row r="205" spans="29:41" x14ac:dyDescent="0.2"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3"/>
    </row>
    <row r="206" spans="29:41" x14ac:dyDescent="0.2"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3"/>
    </row>
    <row r="207" spans="29:41" x14ac:dyDescent="0.2"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3"/>
    </row>
    <row r="208" spans="29:41" x14ac:dyDescent="0.2"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3"/>
    </row>
    <row r="209" spans="29:41" x14ac:dyDescent="0.2"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3"/>
    </row>
    <row r="210" spans="29:41" x14ac:dyDescent="0.2"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3"/>
    </row>
    <row r="211" spans="29:41" x14ac:dyDescent="0.2"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3"/>
    </row>
    <row r="212" spans="29:41" x14ac:dyDescent="0.2"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3"/>
    </row>
    <row r="213" spans="29:41" x14ac:dyDescent="0.2"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3"/>
    </row>
    <row r="214" spans="29:41" x14ac:dyDescent="0.2"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3"/>
    </row>
    <row r="215" spans="29:41" x14ac:dyDescent="0.2"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3"/>
    </row>
    <row r="216" spans="29:41" x14ac:dyDescent="0.2"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3"/>
    </row>
    <row r="217" spans="29:41" x14ac:dyDescent="0.2"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3"/>
    </row>
    <row r="218" spans="29:41" x14ac:dyDescent="0.2"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3"/>
    </row>
    <row r="219" spans="29:41" x14ac:dyDescent="0.2"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3"/>
    </row>
    <row r="220" spans="29:41" x14ac:dyDescent="0.2"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3"/>
    </row>
    <row r="221" spans="29:41" x14ac:dyDescent="0.2"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3"/>
    </row>
    <row r="222" spans="29:41" x14ac:dyDescent="0.2"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3"/>
    </row>
    <row r="223" spans="29:41" x14ac:dyDescent="0.2"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3"/>
    </row>
    <row r="224" spans="29:41" x14ac:dyDescent="0.2"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3"/>
    </row>
    <row r="225" spans="29:41" x14ac:dyDescent="0.2"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3"/>
    </row>
    <row r="226" spans="29:41" x14ac:dyDescent="0.2"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3"/>
    </row>
    <row r="227" spans="29:41" x14ac:dyDescent="0.2"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3"/>
    </row>
    <row r="228" spans="29:41" x14ac:dyDescent="0.2"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3"/>
    </row>
    <row r="229" spans="29:41" x14ac:dyDescent="0.2"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3"/>
    </row>
    <row r="230" spans="29:41" x14ac:dyDescent="0.2"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3"/>
    </row>
    <row r="231" spans="29:41" x14ac:dyDescent="0.2"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3"/>
    </row>
    <row r="232" spans="29:41" x14ac:dyDescent="0.2"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3"/>
    </row>
    <row r="233" spans="29:41" x14ac:dyDescent="0.2"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3"/>
    </row>
    <row r="234" spans="29:41" x14ac:dyDescent="0.2"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3"/>
    </row>
    <row r="235" spans="29:41" x14ac:dyDescent="0.2"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3"/>
    </row>
    <row r="236" spans="29:41" x14ac:dyDescent="0.2"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3"/>
    </row>
    <row r="237" spans="29:41" x14ac:dyDescent="0.2"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3"/>
    </row>
    <row r="238" spans="29:41" x14ac:dyDescent="0.2"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3"/>
    </row>
    <row r="239" spans="29:41" x14ac:dyDescent="0.2"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3"/>
    </row>
    <row r="240" spans="29:41" x14ac:dyDescent="0.2"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3"/>
    </row>
    <row r="241" spans="1:41" x14ac:dyDescent="0.2"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3"/>
    </row>
    <row r="242" spans="1:41" x14ac:dyDescent="0.2"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3"/>
    </row>
    <row r="243" spans="1:41" x14ac:dyDescent="0.2"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3"/>
    </row>
    <row r="244" spans="1:41" x14ac:dyDescent="0.2"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3"/>
    </row>
    <row r="245" spans="1:41" x14ac:dyDescent="0.2"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3"/>
    </row>
    <row r="246" spans="1:41" x14ac:dyDescent="0.2"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3"/>
    </row>
    <row r="247" spans="1:41" x14ac:dyDescent="0.2"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3"/>
    </row>
    <row r="248" spans="1:41" x14ac:dyDescent="0.2"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3"/>
    </row>
    <row r="249" spans="1:41" x14ac:dyDescent="0.2"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3"/>
    </row>
    <row r="250" spans="1:41" x14ac:dyDescent="0.2"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3"/>
    </row>
    <row r="251" spans="1:41" x14ac:dyDescent="0.2"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3"/>
    </row>
    <row r="252" spans="1:4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</row>
    <row r="253" spans="1:4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</row>
    <row r="254" spans="1:4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</row>
    <row r="255" spans="1:4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</row>
    <row r="256" spans="1:4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</row>
    <row r="257" spans="1:38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</row>
    <row r="258" spans="1:38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</row>
    <row r="259" spans="1:38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</row>
    <row r="260" spans="1:38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</row>
    <row r="261" spans="1:38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</row>
    <row r="262" spans="1:38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</row>
    <row r="263" spans="1:38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</row>
    <row r="264" spans="1:38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</row>
    <row r="265" spans="1:38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</row>
    <row r="266" spans="1:38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</row>
    <row r="267" spans="1:38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</row>
    <row r="268" spans="1:38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</row>
    <row r="269" spans="1:38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</row>
    <row r="270" spans="1:38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</row>
    <row r="271" spans="1:38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</row>
    <row r="272" spans="1:38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</row>
    <row r="273" spans="1:38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</row>
    <row r="274" spans="1:38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</row>
    <row r="275" spans="1:38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</row>
    <row r="276" spans="1:38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</row>
    <row r="277" spans="1:38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</row>
    <row r="278" spans="1:38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</row>
    <row r="279" spans="1:38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</row>
    <row r="280" spans="1:38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</row>
    <row r="281" spans="1:38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</row>
    <row r="282" spans="1:38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</row>
    <row r="283" spans="1:38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</row>
    <row r="284" spans="1:38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</row>
    <row r="285" spans="1:38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</row>
    <row r="286" spans="1:38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</row>
    <row r="287" spans="1:38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</row>
    <row r="288" spans="1:38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</row>
    <row r="289" spans="1:38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</row>
    <row r="290" spans="1:38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</row>
    <row r="291" spans="1:38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</row>
    <row r="292" spans="1:38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</row>
    <row r="293" spans="1:38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</row>
    <row r="294" spans="1:38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</row>
    <row r="295" spans="1:38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</row>
    <row r="296" spans="1:38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</row>
    <row r="297" spans="1:38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</row>
    <row r="298" spans="1:38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</row>
    <row r="299" spans="1:38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</row>
    <row r="300" spans="1:38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</row>
    <row r="301" spans="1:38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</row>
    <row r="302" spans="1:38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</row>
    <row r="303" spans="1:38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</row>
    <row r="304" spans="1:38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</row>
    <row r="305" spans="1:38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</row>
    <row r="306" spans="1:38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</row>
    <row r="307" spans="1:38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</row>
    <row r="308" spans="1:38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</row>
    <row r="309" spans="1:38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</row>
    <row r="310" spans="1:38" x14ac:dyDescent="0.2"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</row>
    <row r="311" spans="1:38" x14ac:dyDescent="0.2"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</row>
    <row r="312" spans="1:38" x14ac:dyDescent="0.2"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</row>
    <row r="313" spans="1:38" x14ac:dyDescent="0.2"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</row>
    <row r="314" spans="1:38" x14ac:dyDescent="0.2"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</row>
    <row r="315" spans="1:38" x14ac:dyDescent="0.2"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</row>
    <row r="316" spans="1:38" x14ac:dyDescent="0.2"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</row>
    <row r="317" spans="1:38" x14ac:dyDescent="0.2"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</row>
    <row r="318" spans="1:38" x14ac:dyDescent="0.2"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</row>
    <row r="319" spans="1:38" x14ac:dyDescent="0.2"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</row>
    <row r="320" spans="1:38" x14ac:dyDescent="0.2"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</row>
    <row r="321" spans="21:38" x14ac:dyDescent="0.2"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</row>
    <row r="322" spans="21:38" x14ac:dyDescent="0.2"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</row>
    <row r="323" spans="21:38" x14ac:dyDescent="0.2"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</row>
    <row r="324" spans="21:38" x14ac:dyDescent="0.2"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</row>
    <row r="325" spans="21:38" x14ac:dyDescent="0.2"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</row>
    <row r="326" spans="21:38" x14ac:dyDescent="0.2"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</row>
    <row r="327" spans="21:38" x14ac:dyDescent="0.2"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</row>
    <row r="328" spans="21:38" x14ac:dyDescent="0.2"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</row>
    <row r="329" spans="21:38" x14ac:dyDescent="0.2"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</row>
    <row r="330" spans="21:38" x14ac:dyDescent="0.2"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</row>
    <row r="331" spans="21:38" x14ac:dyDescent="0.2"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</row>
    <row r="332" spans="21:38" x14ac:dyDescent="0.2"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</row>
    <row r="333" spans="21:38" x14ac:dyDescent="0.2"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</row>
  </sheetData>
  <sheetProtection password="DED9" sheet="1" objects="1" scenarios="1" selectLockedCells="1"/>
  <mergeCells count="214">
    <mergeCell ref="A78:T78"/>
    <mergeCell ref="A75:T75"/>
    <mergeCell ref="A76:D76"/>
    <mergeCell ref="E76:K76"/>
    <mergeCell ref="L76:T76"/>
    <mergeCell ref="A77:D77"/>
    <mergeCell ref="E77:K77"/>
    <mergeCell ref="L77:T77"/>
    <mergeCell ref="B73:L73"/>
    <mergeCell ref="O73:T73"/>
    <mergeCell ref="B74:C74"/>
    <mergeCell ref="E74:G74"/>
    <mergeCell ref="H74:L74"/>
    <mergeCell ref="O74:T74"/>
    <mergeCell ref="A69:G69"/>
    <mergeCell ref="H69:R69"/>
    <mergeCell ref="A70:G70"/>
    <mergeCell ref="H70:R70"/>
    <mergeCell ref="A71:R71"/>
    <mergeCell ref="A72:T72"/>
    <mergeCell ref="A63:Q63"/>
    <mergeCell ref="A64:Q64"/>
    <mergeCell ref="A65:Q65"/>
    <mergeCell ref="A66:T66"/>
    <mergeCell ref="A67:R67"/>
    <mergeCell ref="A68:T68"/>
    <mergeCell ref="A58:N58"/>
    <mergeCell ref="O58:Q58"/>
    <mergeCell ref="A59:T59"/>
    <mergeCell ref="A60:Q60"/>
    <mergeCell ref="A61:Q61"/>
    <mergeCell ref="A62:Q62"/>
    <mergeCell ref="A53:T53"/>
    <mergeCell ref="A54:T54"/>
    <mergeCell ref="A55:T55"/>
    <mergeCell ref="A56:T56"/>
    <mergeCell ref="A57:N57"/>
    <mergeCell ref="O57:Q57"/>
    <mergeCell ref="A51:J51"/>
    <mergeCell ref="M51:N51"/>
    <mergeCell ref="O51:Q51"/>
    <mergeCell ref="A52:J52"/>
    <mergeCell ref="M52:N52"/>
    <mergeCell ref="O52:Q52"/>
    <mergeCell ref="A49:J49"/>
    <mergeCell ref="M49:N49"/>
    <mergeCell ref="O49:Q49"/>
    <mergeCell ref="A50:J50"/>
    <mergeCell ref="M50:N50"/>
    <mergeCell ref="O50:Q50"/>
    <mergeCell ref="A45:T45"/>
    <mergeCell ref="A46:J46"/>
    <mergeCell ref="M46:R46"/>
    <mergeCell ref="A47:J48"/>
    <mergeCell ref="M47:N47"/>
    <mergeCell ref="O47:Q47"/>
    <mergeCell ref="T47:T48"/>
    <mergeCell ref="M48:N48"/>
    <mergeCell ref="O48:Q48"/>
    <mergeCell ref="A43:J43"/>
    <mergeCell ref="K43:L43"/>
    <mergeCell ref="M43:N43"/>
    <mergeCell ref="P43:Q43"/>
    <mergeCell ref="A44:J44"/>
    <mergeCell ref="K44:L44"/>
    <mergeCell ref="M44:N44"/>
    <mergeCell ref="P44:Q44"/>
    <mergeCell ref="A41:J41"/>
    <mergeCell ref="K41:L41"/>
    <mergeCell ref="M41:N41"/>
    <mergeCell ref="P41:Q41"/>
    <mergeCell ref="A42:J42"/>
    <mergeCell ref="K42:L42"/>
    <mergeCell ref="M42:N42"/>
    <mergeCell ref="P42:Q42"/>
    <mergeCell ref="A36:T36"/>
    <mergeCell ref="A37:T37"/>
    <mergeCell ref="A38:T38"/>
    <mergeCell ref="A39:J39"/>
    <mergeCell ref="K39:L40"/>
    <mergeCell ref="M39:Q39"/>
    <mergeCell ref="A40:J40"/>
    <mergeCell ref="M40:N40"/>
    <mergeCell ref="P40:Q40"/>
    <mergeCell ref="A34:J34"/>
    <mergeCell ref="M34:N34"/>
    <mergeCell ref="O34:Q34"/>
    <mergeCell ref="A35:J35"/>
    <mergeCell ref="M35:N35"/>
    <mergeCell ref="O35:Q35"/>
    <mergeCell ref="A31:T31"/>
    <mergeCell ref="A32:J33"/>
    <mergeCell ref="M32:R32"/>
    <mergeCell ref="S32:S33"/>
    <mergeCell ref="T32:T33"/>
    <mergeCell ref="M33:N33"/>
    <mergeCell ref="O33:Q33"/>
    <mergeCell ref="A29:C29"/>
    <mergeCell ref="D29:G29"/>
    <mergeCell ref="H29:N29"/>
    <mergeCell ref="O29:Q29"/>
    <mergeCell ref="A30:C30"/>
    <mergeCell ref="D30:N30"/>
    <mergeCell ref="O30:Q30"/>
    <mergeCell ref="A26:N26"/>
    <mergeCell ref="O26:Q26"/>
    <mergeCell ref="A27:N27"/>
    <mergeCell ref="O27:Q27"/>
    <mergeCell ref="A28:N28"/>
    <mergeCell ref="O28:Q28"/>
    <mergeCell ref="A23:K23"/>
    <mergeCell ref="L23:N23"/>
    <mergeCell ref="O23:Q23"/>
    <mergeCell ref="A24:N24"/>
    <mergeCell ref="O24:R24"/>
    <mergeCell ref="A25:T25"/>
    <mergeCell ref="A22:B22"/>
    <mergeCell ref="C22:D22"/>
    <mergeCell ref="E22:G22"/>
    <mergeCell ref="H22:J22"/>
    <mergeCell ref="L22:N22"/>
    <mergeCell ref="O22:Q22"/>
    <mergeCell ref="A21:B21"/>
    <mergeCell ref="C21:D21"/>
    <mergeCell ref="E21:G21"/>
    <mergeCell ref="H21:J21"/>
    <mergeCell ref="L21:N21"/>
    <mergeCell ref="O21:Q21"/>
    <mergeCell ref="A20:B20"/>
    <mergeCell ref="C20:D20"/>
    <mergeCell ref="E20:G20"/>
    <mergeCell ref="H20:J20"/>
    <mergeCell ref="L20:N20"/>
    <mergeCell ref="O20:Q20"/>
    <mergeCell ref="A19:B19"/>
    <mergeCell ref="C19:D19"/>
    <mergeCell ref="E19:G19"/>
    <mergeCell ref="H19:J19"/>
    <mergeCell ref="L19:N19"/>
    <mergeCell ref="O19:Q19"/>
    <mergeCell ref="A18:B18"/>
    <mergeCell ref="C18:D18"/>
    <mergeCell ref="E18:G18"/>
    <mergeCell ref="H18:J18"/>
    <mergeCell ref="L18:N18"/>
    <mergeCell ref="O18:Q18"/>
    <mergeCell ref="A17:B17"/>
    <mergeCell ref="C17:D17"/>
    <mergeCell ref="E17:G17"/>
    <mergeCell ref="H17:J17"/>
    <mergeCell ref="L17:N17"/>
    <mergeCell ref="O17:Q17"/>
    <mergeCell ref="A16:B16"/>
    <mergeCell ref="C16:D16"/>
    <mergeCell ref="E16:G16"/>
    <mergeCell ref="H16:J16"/>
    <mergeCell ref="L16:N16"/>
    <mergeCell ref="O16:Q16"/>
    <mergeCell ref="A15:B15"/>
    <mergeCell ref="C15:D15"/>
    <mergeCell ref="E15:G15"/>
    <mergeCell ref="H15:J15"/>
    <mergeCell ref="L15:N15"/>
    <mergeCell ref="O15:Q15"/>
    <mergeCell ref="A14:B14"/>
    <mergeCell ref="C14:D14"/>
    <mergeCell ref="E14:G14"/>
    <mergeCell ref="H14:J14"/>
    <mergeCell ref="L14:N14"/>
    <mergeCell ref="O14:Q14"/>
    <mergeCell ref="A13:B13"/>
    <mergeCell ref="C13:D13"/>
    <mergeCell ref="E13:G13"/>
    <mergeCell ref="H13:J13"/>
    <mergeCell ref="L13:N13"/>
    <mergeCell ref="O13:Q13"/>
    <mergeCell ref="A12:B12"/>
    <mergeCell ref="C12:D12"/>
    <mergeCell ref="E12:G12"/>
    <mergeCell ref="H12:J12"/>
    <mergeCell ref="L12:N12"/>
    <mergeCell ref="O12:Q12"/>
    <mergeCell ref="A11:B11"/>
    <mergeCell ref="C11:D11"/>
    <mergeCell ref="E11:G11"/>
    <mergeCell ref="H11:J11"/>
    <mergeCell ref="L11:N11"/>
    <mergeCell ref="O11:Q11"/>
    <mergeCell ref="A6:T6"/>
    <mergeCell ref="A7:T7"/>
    <mergeCell ref="A8:T8"/>
    <mergeCell ref="A9:T9"/>
    <mergeCell ref="A10:B10"/>
    <mergeCell ref="C10:D10"/>
    <mergeCell ref="E10:G10"/>
    <mergeCell ref="H10:J10"/>
    <mergeCell ref="L10:N10"/>
    <mergeCell ref="O10:Q10"/>
    <mergeCell ref="A4:F4"/>
    <mergeCell ref="H4:J4"/>
    <mergeCell ref="K4:P4"/>
    <mergeCell ref="Q4:T4"/>
    <mergeCell ref="A5:F5"/>
    <mergeCell ref="H5:J5"/>
    <mergeCell ref="K5:P5"/>
    <mergeCell ref="Q5:T5"/>
    <mergeCell ref="A1:T1"/>
    <mergeCell ref="A2:J2"/>
    <mergeCell ref="K2:M2"/>
    <mergeCell ref="N2:P2"/>
    <mergeCell ref="A3:J3"/>
    <mergeCell ref="K3:M3"/>
    <mergeCell ref="N3:P3"/>
    <mergeCell ref="Q3:S3"/>
  </mergeCells>
  <pageMargins left="0.59055118110236227" right="0.39370078740157483" top="0.39370078740157483" bottom="0.39370078740157483" header="0.51181102362204722" footer="0.39370078740157483"/>
  <pageSetup paperSize="9" scale="57" fitToHeight="2" orientation="portrait" r:id="rId1"/>
  <headerFooter alignWithMargins="0">
    <oddFooter>Side &amp;P av &amp;N</oddFooter>
  </headerFooter>
  <rowBreaks count="1" manualBreakCount="1">
    <brk id="36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1"/>
  <dimension ref="A1:CY333"/>
  <sheetViews>
    <sheetView showGridLines="0" zoomScale="70" zoomScaleNormal="70" workbookViewId="0">
      <selection activeCell="A3" sqref="A3:J3"/>
    </sheetView>
  </sheetViews>
  <sheetFormatPr baseColWidth="10" defaultColWidth="9.140625" defaultRowHeight="12.75" x14ac:dyDescent="0.2"/>
  <cols>
    <col min="1" max="1" width="3.42578125" customWidth="1"/>
    <col min="2" max="2" width="12" customWidth="1"/>
    <col min="3" max="3" width="7.28515625" customWidth="1"/>
    <col min="4" max="4" width="5" customWidth="1"/>
    <col min="5" max="5" width="11" customWidth="1"/>
    <col min="6" max="6" width="4.7109375" customWidth="1"/>
    <col min="7" max="7" width="12" customWidth="1"/>
    <col min="8" max="8" width="12.5703125" customWidth="1"/>
    <col min="9" max="9" width="6.140625" customWidth="1"/>
    <col min="10" max="10" width="6.42578125" customWidth="1"/>
    <col min="11" max="12" width="10.28515625" customWidth="1"/>
    <col min="13" max="14" width="5.28515625" customWidth="1"/>
    <col min="15" max="15" width="2.7109375" customWidth="1"/>
    <col min="16" max="16" width="3.85546875" customWidth="1"/>
    <col min="17" max="17" width="5.85546875" customWidth="1"/>
    <col min="18" max="18" width="11" customWidth="1"/>
    <col min="19" max="19" width="12.5703125" customWidth="1"/>
    <col min="20" max="20" width="12.140625" customWidth="1"/>
  </cols>
  <sheetData>
    <row r="1" spans="1:103" ht="99.95" customHeight="1" x14ac:dyDescent="0.2">
      <c r="A1" s="380" t="s">
        <v>56</v>
      </c>
      <c r="B1" s="380"/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0"/>
      <c r="O1" s="380"/>
      <c r="P1" s="380"/>
      <c r="Q1" s="380"/>
      <c r="R1" s="380"/>
      <c r="S1" s="380"/>
      <c r="T1" s="380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3"/>
      <c r="AO1" s="3"/>
    </row>
    <row r="2" spans="1:103" s="14" customFormat="1" ht="18" customHeight="1" x14ac:dyDescent="0.25">
      <c r="A2" s="381" t="s">
        <v>48</v>
      </c>
      <c r="B2" s="382"/>
      <c r="C2" s="382"/>
      <c r="D2" s="382"/>
      <c r="E2" s="382"/>
      <c r="F2" s="382"/>
      <c r="G2" s="382"/>
      <c r="H2" s="382"/>
      <c r="I2" s="382"/>
      <c r="J2" s="383"/>
      <c r="K2" s="384" t="s">
        <v>49</v>
      </c>
      <c r="L2" s="385"/>
      <c r="M2" s="386"/>
      <c r="N2" s="387" t="s">
        <v>50</v>
      </c>
      <c r="O2" s="388"/>
      <c r="P2" s="389"/>
      <c r="Q2" s="103" t="s">
        <v>51</v>
      </c>
      <c r="R2" s="104"/>
      <c r="S2" s="105"/>
      <c r="T2" s="106" t="s">
        <v>50</v>
      </c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3"/>
      <c r="AO2" s="13"/>
    </row>
    <row r="3" spans="1:103" s="1" customFormat="1" ht="36" customHeight="1" x14ac:dyDescent="0.2">
      <c r="A3" s="374"/>
      <c r="B3" s="390"/>
      <c r="C3" s="390"/>
      <c r="D3" s="390"/>
      <c r="E3" s="390"/>
      <c r="F3" s="390"/>
      <c r="G3" s="390"/>
      <c r="H3" s="390"/>
      <c r="I3" s="390"/>
      <c r="J3" s="391"/>
      <c r="K3" s="392"/>
      <c r="L3" s="393"/>
      <c r="M3" s="394"/>
      <c r="N3" s="395"/>
      <c r="O3" s="396"/>
      <c r="P3" s="397"/>
      <c r="Q3" s="398"/>
      <c r="R3" s="393"/>
      <c r="S3" s="394"/>
      <c r="T3" s="15"/>
      <c r="U3" s="16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8"/>
      <c r="AO3" s="18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</row>
    <row r="4" spans="1:103" s="22" customFormat="1" ht="18" customHeight="1" x14ac:dyDescent="0.2">
      <c r="A4" s="368" t="s">
        <v>52</v>
      </c>
      <c r="B4" s="369"/>
      <c r="C4" s="369"/>
      <c r="D4" s="369"/>
      <c r="E4" s="369"/>
      <c r="F4" s="370"/>
      <c r="G4" s="107" t="s">
        <v>53</v>
      </c>
      <c r="H4" s="371" t="s">
        <v>54</v>
      </c>
      <c r="I4" s="371"/>
      <c r="J4" s="371"/>
      <c r="K4" s="371" t="s">
        <v>55</v>
      </c>
      <c r="L4" s="372"/>
      <c r="M4" s="372"/>
      <c r="N4" s="372"/>
      <c r="O4" s="372"/>
      <c r="P4" s="372"/>
      <c r="Q4" s="371" t="s">
        <v>57</v>
      </c>
      <c r="R4" s="372"/>
      <c r="S4" s="372"/>
      <c r="T4" s="373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1"/>
      <c r="AO4" s="21"/>
    </row>
    <row r="5" spans="1:103" ht="36" customHeight="1" x14ac:dyDescent="0.2">
      <c r="A5" s="374"/>
      <c r="B5" s="375"/>
      <c r="C5" s="375"/>
      <c r="D5" s="375"/>
      <c r="E5" s="375"/>
      <c r="F5" s="376"/>
      <c r="G5" s="23"/>
      <c r="H5" s="377"/>
      <c r="I5" s="377"/>
      <c r="J5" s="377"/>
      <c r="K5" s="377"/>
      <c r="L5" s="378"/>
      <c r="M5" s="378"/>
      <c r="N5" s="378"/>
      <c r="O5" s="378"/>
      <c r="P5" s="378"/>
      <c r="Q5" s="377"/>
      <c r="R5" s="378"/>
      <c r="S5" s="378"/>
      <c r="T5" s="379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3"/>
      <c r="AO5" s="3"/>
    </row>
    <row r="6" spans="1:103" s="22" customFormat="1" ht="18" customHeight="1" x14ac:dyDescent="0.2">
      <c r="A6" s="407" t="s">
        <v>82</v>
      </c>
      <c r="B6" s="408"/>
      <c r="C6" s="408"/>
      <c r="D6" s="408"/>
      <c r="E6" s="372"/>
      <c r="F6" s="372"/>
      <c r="G6" s="372"/>
      <c r="H6" s="372"/>
      <c r="I6" s="372"/>
      <c r="J6" s="372"/>
      <c r="K6" s="372"/>
      <c r="L6" s="372"/>
      <c r="M6" s="372"/>
      <c r="N6" s="372"/>
      <c r="O6" s="372"/>
      <c r="P6" s="372"/>
      <c r="Q6" s="372"/>
      <c r="R6" s="372"/>
      <c r="S6" s="372"/>
      <c r="T6" s="373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1"/>
      <c r="AO6" s="21"/>
    </row>
    <row r="7" spans="1:103" ht="36" customHeight="1" x14ac:dyDescent="0.2">
      <c r="A7" s="409"/>
      <c r="B7" s="410"/>
      <c r="C7" s="410"/>
      <c r="D7" s="410"/>
      <c r="E7" s="410"/>
      <c r="F7" s="410"/>
      <c r="G7" s="410"/>
      <c r="H7" s="410"/>
      <c r="I7" s="410"/>
      <c r="J7" s="410"/>
      <c r="K7" s="410"/>
      <c r="L7" s="410"/>
      <c r="M7" s="410"/>
      <c r="N7" s="410"/>
      <c r="O7" s="410"/>
      <c r="P7" s="410"/>
      <c r="Q7" s="410"/>
      <c r="R7" s="410"/>
      <c r="S7" s="410"/>
      <c r="T7" s="411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3"/>
      <c r="AO7" s="3"/>
    </row>
    <row r="8" spans="1:103" ht="24" customHeight="1" x14ac:dyDescent="0.2">
      <c r="A8" s="412"/>
      <c r="B8" s="413"/>
      <c r="C8" s="413"/>
      <c r="D8" s="413"/>
      <c r="E8" s="413"/>
      <c r="F8" s="413"/>
      <c r="G8" s="413"/>
      <c r="H8" s="413"/>
      <c r="I8" s="413"/>
      <c r="J8" s="413"/>
      <c r="K8" s="413"/>
      <c r="L8" s="413"/>
      <c r="M8" s="413"/>
      <c r="N8" s="413"/>
      <c r="O8" s="413"/>
      <c r="P8" s="413"/>
      <c r="Q8" s="413"/>
      <c r="R8" s="413"/>
      <c r="S8" s="413"/>
      <c r="T8" s="413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3"/>
      <c r="AO8" s="3"/>
    </row>
    <row r="9" spans="1:103" ht="24" customHeight="1" x14ac:dyDescent="0.2">
      <c r="A9" s="414" t="s">
        <v>58</v>
      </c>
      <c r="B9" s="415"/>
      <c r="C9" s="415"/>
      <c r="D9" s="415"/>
      <c r="E9" s="415"/>
      <c r="F9" s="415"/>
      <c r="G9" s="415"/>
      <c r="H9" s="415"/>
      <c r="I9" s="415"/>
      <c r="J9" s="415"/>
      <c r="K9" s="415"/>
      <c r="L9" s="415"/>
      <c r="M9" s="415"/>
      <c r="N9" s="415"/>
      <c r="O9" s="415"/>
      <c r="P9" s="415"/>
      <c r="Q9" s="415"/>
      <c r="R9" s="415"/>
      <c r="S9" s="415"/>
      <c r="T9" s="416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3"/>
      <c r="AO9" s="3"/>
    </row>
    <row r="10" spans="1:103" s="2" customFormat="1" ht="30" customHeight="1" x14ac:dyDescent="0.2">
      <c r="A10" s="417" t="s">
        <v>32</v>
      </c>
      <c r="B10" s="418"/>
      <c r="C10" s="418" t="s">
        <v>59</v>
      </c>
      <c r="D10" s="418"/>
      <c r="E10" s="418" t="s">
        <v>67</v>
      </c>
      <c r="F10" s="418"/>
      <c r="G10" s="418"/>
      <c r="H10" s="418" t="s">
        <v>68</v>
      </c>
      <c r="I10" s="418"/>
      <c r="J10" s="418"/>
      <c r="K10" s="109" t="s">
        <v>60</v>
      </c>
      <c r="L10" s="419" t="s">
        <v>61</v>
      </c>
      <c r="M10" s="419"/>
      <c r="N10" s="419"/>
      <c r="O10" s="419" t="s">
        <v>1</v>
      </c>
      <c r="P10" s="419"/>
      <c r="Q10" s="419"/>
      <c r="R10" s="110" t="s">
        <v>62</v>
      </c>
      <c r="S10" s="110" t="s">
        <v>63</v>
      </c>
      <c r="T10" s="111" t="s">
        <v>64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4"/>
      <c r="AO10" s="4"/>
    </row>
    <row r="11" spans="1:103" ht="36" customHeight="1" x14ac:dyDescent="0.2">
      <c r="A11" s="399"/>
      <c r="B11" s="400"/>
      <c r="C11" s="401"/>
      <c r="D11" s="402"/>
      <c r="E11" s="403"/>
      <c r="F11" s="404"/>
      <c r="G11" s="404"/>
      <c r="H11" s="403"/>
      <c r="I11" s="404"/>
      <c r="J11" s="404"/>
      <c r="K11" s="28"/>
      <c r="L11" s="403"/>
      <c r="M11" s="404"/>
      <c r="N11" s="404"/>
      <c r="O11" s="405"/>
      <c r="P11" s="406"/>
      <c r="Q11" s="406"/>
      <c r="R11" s="30"/>
      <c r="S11" s="29"/>
      <c r="T11" s="31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3"/>
      <c r="AO11" s="3"/>
    </row>
    <row r="12" spans="1:103" ht="36" customHeight="1" x14ac:dyDescent="0.2">
      <c r="A12" s="420"/>
      <c r="B12" s="421"/>
      <c r="C12" s="401"/>
      <c r="D12" s="402"/>
      <c r="E12" s="403"/>
      <c r="F12" s="404"/>
      <c r="G12" s="404"/>
      <c r="H12" s="403"/>
      <c r="I12" s="404"/>
      <c r="J12" s="404"/>
      <c r="K12" s="28"/>
      <c r="L12" s="403"/>
      <c r="M12" s="404"/>
      <c r="N12" s="404"/>
      <c r="O12" s="405"/>
      <c r="P12" s="406"/>
      <c r="Q12" s="406"/>
      <c r="R12" s="30"/>
      <c r="S12" s="29"/>
      <c r="T12" s="31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3"/>
      <c r="AO12" s="3"/>
    </row>
    <row r="13" spans="1:103" ht="36" customHeight="1" x14ac:dyDescent="0.2">
      <c r="A13" s="420"/>
      <c r="B13" s="421"/>
      <c r="C13" s="401"/>
      <c r="D13" s="402"/>
      <c r="E13" s="403"/>
      <c r="F13" s="404"/>
      <c r="G13" s="404"/>
      <c r="H13" s="403"/>
      <c r="I13" s="404"/>
      <c r="J13" s="404"/>
      <c r="K13" s="28"/>
      <c r="L13" s="403"/>
      <c r="M13" s="404"/>
      <c r="N13" s="404"/>
      <c r="O13" s="405"/>
      <c r="P13" s="406"/>
      <c r="Q13" s="406"/>
      <c r="R13" s="30"/>
      <c r="S13" s="29"/>
      <c r="T13" s="31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3"/>
      <c r="AO13" s="3"/>
    </row>
    <row r="14" spans="1:103" ht="36" customHeight="1" x14ac:dyDescent="0.2">
      <c r="A14" s="611"/>
      <c r="B14" s="423"/>
      <c r="C14" s="424"/>
      <c r="D14" s="425"/>
      <c r="E14" s="426"/>
      <c r="F14" s="427"/>
      <c r="G14" s="427"/>
      <c r="H14" s="426"/>
      <c r="I14" s="427"/>
      <c r="J14" s="427"/>
      <c r="K14" s="32"/>
      <c r="L14" s="426"/>
      <c r="M14" s="427"/>
      <c r="N14" s="427"/>
      <c r="O14" s="428"/>
      <c r="P14" s="429"/>
      <c r="Q14" s="429"/>
      <c r="R14" s="34"/>
      <c r="S14" s="33"/>
      <c r="T14" s="35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3"/>
      <c r="AO14" s="3"/>
    </row>
    <row r="15" spans="1:103" ht="36" customHeight="1" x14ac:dyDescent="0.2">
      <c r="A15" s="420"/>
      <c r="B15" s="421"/>
      <c r="C15" s="401"/>
      <c r="D15" s="402"/>
      <c r="E15" s="403"/>
      <c r="F15" s="404"/>
      <c r="G15" s="404"/>
      <c r="H15" s="403"/>
      <c r="I15" s="404"/>
      <c r="J15" s="404"/>
      <c r="K15" s="28"/>
      <c r="L15" s="403"/>
      <c r="M15" s="404"/>
      <c r="N15" s="404"/>
      <c r="O15" s="405"/>
      <c r="P15" s="406"/>
      <c r="Q15" s="406"/>
      <c r="R15" s="30"/>
      <c r="S15" s="29"/>
      <c r="T15" s="31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3"/>
      <c r="AO15" s="3"/>
    </row>
    <row r="16" spans="1:103" ht="36" customHeight="1" x14ac:dyDescent="0.2">
      <c r="A16" s="420"/>
      <c r="B16" s="421"/>
      <c r="C16" s="401"/>
      <c r="D16" s="402"/>
      <c r="E16" s="403"/>
      <c r="F16" s="404"/>
      <c r="G16" s="404"/>
      <c r="H16" s="403"/>
      <c r="I16" s="404"/>
      <c r="J16" s="404"/>
      <c r="K16" s="28"/>
      <c r="L16" s="403"/>
      <c r="M16" s="404"/>
      <c r="N16" s="404"/>
      <c r="O16" s="405"/>
      <c r="P16" s="406"/>
      <c r="Q16" s="406"/>
      <c r="R16" s="30"/>
      <c r="S16" s="29"/>
      <c r="T16" s="31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3"/>
      <c r="AO16" s="3"/>
    </row>
    <row r="17" spans="1:41" ht="36" customHeight="1" x14ac:dyDescent="0.2">
      <c r="A17" s="420"/>
      <c r="B17" s="421"/>
      <c r="C17" s="401"/>
      <c r="D17" s="402"/>
      <c r="E17" s="403"/>
      <c r="F17" s="404"/>
      <c r="G17" s="404"/>
      <c r="H17" s="403"/>
      <c r="I17" s="404"/>
      <c r="J17" s="404"/>
      <c r="K17" s="28"/>
      <c r="L17" s="403"/>
      <c r="M17" s="404"/>
      <c r="N17" s="404"/>
      <c r="O17" s="405"/>
      <c r="P17" s="406"/>
      <c r="Q17" s="406"/>
      <c r="R17" s="30"/>
      <c r="S17" s="29"/>
      <c r="T17" s="31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3"/>
      <c r="AO17" s="3"/>
    </row>
    <row r="18" spans="1:41" ht="36" customHeight="1" x14ac:dyDescent="0.2">
      <c r="A18" s="420"/>
      <c r="B18" s="421"/>
      <c r="C18" s="401"/>
      <c r="D18" s="402"/>
      <c r="E18" s="403"/>
      <c r="F18" s="404"/>
      <c r="G18" s="404"/>
      <c r="H18" s="403"/>
      <c r="I18" s="404"/>
      <c r="J18" s="404"/>
      <c r="K18" s="28"/>
      <c r="L18" s="403"/>
      <c r="M18" s="404"/>
      <c r="N18" s="404"/>
      <c r="O18" s="405"/>
      <c r="P18" s="406"/>
      <c r="Q18" s="406"/>
      <c r="R18" s="30"/>
      <c r="S18" s="29"/>
      <c r="T18" s="31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3"/>
      <c r="AO18" s="3"/>
    </row>
    <row r="19" spans="1:41" ht="36" customHeight="1" x14ac:dyDescent="0.2">
      <c r="A19" s="420"/>
      <c r="B19" s="421"/>
      <c r="C19" s="401"/>
      <c r="D19" s="402"/>
      <c r="E19" s="403"/>
      <c r="F19" s="404"/>
      <c r="G19" s="404"/>
      <c r="H19" s="403"/>
      <c r="I19" s="404"/>
      <c r="J19" s="404"/>
      <c r="K19" s="28"/>
      <c r="L19" s="403"/>
      <c r="M19" s="404"/>
      <c r="N19" s="404"/>
      <c r="O19" s="405"/>
      <c r="P19" s="406"/>
      <c r="Q19" s="406"/>
      <c r="R19" s="30"/>
      <c r="S19" s="29"/>
      <c r="T19" s="31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3"/>
      <c r="AO19" s="3"/>
    </row>
    <row r="20" spans="1:41" ht="36" customHeight="1" x14ac:dyDescent="0.2">
      <c r="A20" s="420"/>
      <c r="B20" s="421"/>
      <c r="C20" s="401"/>
      <c r="D20" s="402"/>
      <c r="E20" s="403"/>
      <c r="F20" s="404"/>
      <c r="G20" s="404"/>
      <c r="H20" s="403"/>
      <c r="I20" s="404"/>
      <c r="J20" s="404"/>
      <c r="K20" s="28"/>
      <c r="L20" s="403"/>
      <c r="M20" s="404"/>
      <c r="N20" s="404"/>
      <c r="O20" s="405"/>
      <c r="P20" s="406"/>
      <c r="Q20" s="406"/>
      <c r="R20" s="30"/>
      <c r="S20" s="29"/>
      <c r="T20" s="31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3"/>
      <c r="AO20" s="3"/>
    </row>
    <row r="21" spans="1:41" ht="36" customHeight="1" x14ac:dyDescent="0.2">
      <c r="A21" s="420"/>
      <c r="B21" s="421"/>
      <c r="C21" s="401"/>
      <c r="D21" s="402"/>
      <c r="E21" s="403"/>
      <c r="F21" s="404"/>
      <c r="G21" s="404"/>
      <c r="H21" s="403"/>
      <c r="I21" s="404"/>
      <c r="J21" s="404"/>
      <c r="K21" s="28"/>
      <c r="L21" s="403"/>
      <c r="M21" s="404"/>
      <c r="N21" s="404"/>
      <c r="O21" s="405"/>
      <c r="P21" s="406"/>
      <c r="Q21" s="406"/>
      <c r="R21" s="30"/>
      <c r="S21" s="29"/>
      <c r="T21" s="31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3"/>
      <c r="AO21" s="3"/>
    </row>
    <row r="22" spans="1:41" ht="36" customHeight="1" x14ac:dyDescent="0.2">
      <c r="A22" s="420"/>
      <c r="B22" s="421"/>
      <c r="C22" s="401"/>
      <c r="D22" s="402"/>
      <c r="E22" s="403"/>
      <c r="F22" s="404"/>
      <c r="G22" s="404"/>
      <c r="H22" s="403"/>
      <c r="I22" s="404"/>
      <c r="J22" s="404"/>
      <c r="K22" s="28"/>
      <c r="L22" s="403"/>
      <c r="M22" s="404"/>
      <c r="N22" s="404"/>
      <c r="O22" s="405"/>
      <c r="P22" s="406"/>
      <c r="Q22" s="406"/>
      <c r="R22" s="30"/>
      <c r="S22" s="29"/>
      <c r="T22" s="31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3"/>
      <c r="AO22" s="3"/>
    </row>
    <row r="23" spans="1:41" ht="36" customHeight="1" x14ac:dyDescent="0.2">
      <c r="A23" s="431"/>
      <c r="B23" s="432"/>
      <c r="C23" s="432"/>
      <c r="D23" s="432"/>
      <c r="E23" s="432"/>
      <c r="F23" s="432"/>
      <c r="G23" s="432"/>
      <c r="H23" s="432"/>
      <c r="I23" s="432"/>
      <c r="J23" s="432"/>
      <c r="K23" s="432"/>
      <c r="L23" s="433" t="s">
        <v>65</v>
      </c>
      <c r="M23" s="434"/>
      <c r="N23" s="434"/>
      <c r="O23" s="435">
        <f>SUM(O11:Q22)</f>
        <v>0</v>
      </c>
      <c r="P23" s="436"/>
      <c r="Q23" s="436"/>
      <c r="R23" s="112" t="s">
        <v>3</v>
      </c>
      <c r="S23" s="37">
        <f>SUM(S11:S22)</f>
        <v>0</v>
      </c>
      <c r="T23" s="113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3"/>
      <c r="AO23" s="3"/>
    </row>
    <row r="24" spans="1:41" ht="36" customHeight="1" x14ac:dyDescent="0.25">
      <c r="A24" s="437"/>
      <c r="B24" s="438"/>
      <c r="C24" s="438"/>
      <c r="D24" s="438"/>
      <c r="E24" s="438"/>
      <c r="F24" s="438"/>
      <c r="G24" s="438"/>
      <c r="H24" s="438"/>
      <c r="I24" s="438"/>
      <c r="J24" s="438"/>
      <c r="K24" s="438"/>
      <c r="L24" s="439"/>
      <c r="M24" s="439"/>
      <c r="N24" s="440"/>
      <c r="O24" s="441" t="s">
        <v>66</v>
      </c>
      <c r="P24" s="442"/>
      <c r="Q24" s="442"/>
      <c r="R24" s="443"/>
      <c r="S24" s="78"/>
      <c r="T24" s="114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3"/>
      <c r="AO24" s="3"/>
    </row>
    <row r="25" spans="1:41" ht="24" customHeight="1" x14ac:dyDescent="0.2">
      <c r="A25" s="412"/>
      <c r="B25" s="413"/>
      <c r="C25" s="413"/>
      <c r="D25" s="413"/>
      <c r="E25" s="413"/>
      <c r="F25" s="413"/>
      <c r="G25" s="413"/>
      <c r="H25" s="413"/>
      <c r="I25" s="413"/>
      <c r="J25" s="413"/>
      <c r="K25" s="413"/>
      <c r="L25" s="413"/>
      <c r="M25" s="413"/>
      <c r="N25" s="413"/>
      <c r="O25" s="413"/>
      <c r="P25" s="413"/>
      <c r="Q25" s="413"/>
      <c r="R25" s="413"/>
      <c r="S25" s="413"/>
      <c r="T25" s="413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3"/>
      <c r="AO25" s="3"/>
    </row>
    <row r="26" spans="1:41" s="2" customFormat="1" ht="36" customHeight="1" x14ac:dyDescent="0.2">
      <c r="A26" s="414" t="s">
        <v>44</v>
      </c>
      <c r="B26" s="415"/>
      <c r="C26" s="415"/>
      <c r="D26" s="415"/>
      <c r="E26" s="415"/>
      <c r="F26" s="415"/>
      <c r="G26" s="415"/>
      <c r="H26" s="415"/>
      <c r="I26" s="415"/>
      <c r="J26" s="415"/>
      <c r="K26" s="415"/>
      <c r="L26" s="415"/>
      <c r="M26" s="415"/>
      <c r="N26" s="415"/>
      <c r="O26" s="460" t="s">
        <v>3</v>
      </c>
      <c r="P26" s="461"/>
      <c r="Q26" s="461"/>
      <c r="R26" s="115" t="s">
        <v>41</v>
      </c>
      <c r="S26" s="115" t="s">
        <v>1</v>
      </c>
      <c r="T26" s="116" t="s">
        <v>78</v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4"/>
      <c r="AO26" s="4"/>
    </row>
    <row r="27" spans="1:41" s="2" customFormat="1" ht="36" customHeight="1" x14ac:dyDescent="0.2">
      <c r="A27" s="444" t="s">
        <v>97</v>
      </c>
      <c r="B27" s="445"/>
      <c r="C27" s="445"/>
      <c r="D27" s="445"/>
      <c r="E27" s="445"/>
      <c r="F27" s="445"/>
      <c r="G27" s="445"/>
      <c r="H27" s="445"/>
      <c r="I27" s="445"/>
      <c r="J27" s="445"/>
      <c r="K27" s="445"/>
      <c r="L27" s="445"/>
      <c r="M27" s="445"/>
      <c r="N27" s="445"/>
      <c r="O27" s="449"/>
      <c r="P27" s="450"/>
      <c r="Q27" s="450"/>
      <c r="R27" s="41"/>
      <c r="S27" s="42">
        <f>+O27*R27</f>
        <v>0</v>
      </c>
      <c r="T27" s="43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4"/>
      <c r="AO27" s="4"/>
    </row>
    <row r="28" spans="1:41" s="2" customFormat="1" ht="36" customHeight="1" x14ac:dyDescent="0.2">
      <c r="A28" s="444" t="s">
        <v>98</v>
      </c>
      <c r="B28" s="445"/>
      <c r="C28" s="445"/>
      <c r="D28" s="445"/>
      <c r="E28" s="445"/>
      <c r="F28" s="445"/>
      <c r="G28" s="445"/>
      <c r="H28" s="445"/>
      <c r="I28" s="445"/>
      <c r="J28" s="445"/>
      <c r="K28" s="445"/>
      <c r="L28" s="445"/>
      <c r="M28" s="445"/>
      <c r="N28" s="445"/>
      <c r="O28" s="449"/>
      <c r="P28" s="450"/>
      <c r="Q28" s="450"/>
      <c r="R28" s="41"/>
      <c r="S28" s="42">
        <f>+O28*R28</f>
        <v>0</v>
      </c>
      <c r="T28" s="43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4"/>
      <c r="AO28" s="4"/>
    </row>
    <row r="29" spans="1:41" s="2" customFormat="1" ht="36" customHeight="1" x14ac:dyDescent="0.2">
      <c r="A29" s="444" t="s">
        <v>10</v>
      </c>
      <c r="B29" s="445"/>
      <c r="C29" s="445"/>
      <c r="D29" s="446" t="s">
        <v>12</v>
      </c>
      <c r="E29" s="445"/>
      <c r="F29" s="445"/>
      <c r="G29" s="445"/>
      <c r="H29" s="447"/>
      <c r="I29" s="448"/>
      <c r="J29" s="448"/>
      <c r="K29" s="448"/>
      <c r="L29" s="448"/>
      <c r="M29" s="448"/>
      <c r="N29" s="448"/>
      <c r="O29" s="449"/>
      <c r="P29" s="450"/>
      <c r="Q29" s="450"/>
      <c r="R29" s="41">
        <v>1</v>
      </c>
      <c r="S29" s="42">
        <f>+O29*R29</f>
        <v>0</v>
      </c>
      <c r="T29" s="43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4"/>
      <c r="AO29" s="4"/>
    </row>
    <row r="30" spans="1:41" ht="36" customHeight="1" x14ac:dyDescent="0.2">
      <c r="A30" s="451" t="s">
        <v>40</v>
      </c>
      <c r="B30" s="452"/>
      <c r="C30" s="453"/>
      <c r="D30" s="454"/>
      <c r="E30" s="455"/>
      <c r="F30" s="455"/>
      <c r="G30" s="455"/>
      <c r="H30" s="455"/>
      <c r="I30" s="455"/>
      <c r="J30" s="455"/>
      <c r="K30" s="455"/>
      <c r="L30" s="455"/>
      <c r="M30" s="455"/>
      <c r="N30" s="456"/>
      <c r="O30" s="457"/>
      <c r="P30" s="458"/>
      <c r="Q30" s="459"/>
      <c r="R30" s="90"/>
      <c r="S30" s="82">
        <f>+O30*R30</f>
        <v>0</v>
      </c>
      <c r="T30" s="46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3"/>
      <c r="AO30" s="3"/>
    </row>
    <row r="31" spans="1:41" ht="24" customHeight="1" x14ac:dyDescent="0.2">
      <c r="A31" s="412"/>
      <c r="B31" s="413"/>
      <c r="C31" s="413"/>
      <c r="D31" s="413"/>
      <c r="E31" s="413"/>
      <c r="F31" s="413"/>
      <c r="G31" s="413"/>
      <c r="H31" s="413"/>
      <c r="I31" s="413"/>
      <c r="J31" s="413"/>
      <c r="K31" s="413"/>
      <c r="L31" s="413"/>
      <c r="M31" s="413"/>
      <c r="N31" s="413"/>
      <c r="O31" s="413"/>
      <c r="P31" s="413"/>
      <c r="Q31" s="413"/>
      <c r="R31" s="413"/>
      <c r="S31" s="413"/>
      <c r="T31" s="413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3"/>
      <c r="AO31" s="3"/>
    </row>
    <row r="32" spans="1:41" s="2" customFormat="1" ht="20.100000000000001" customHeight="1" x14ac:dyDescent="0.2">
      <c r="A32" s="480" t="s">
        <v>39</v>
      </c>
      <c r="B32" s="481"/>
      <c r="C32" s="481"/>
      <c r="D32" s="481"/>
      <c r="E32" s="481"/>
      <c r="F32" s="481"/>
      <c r="G32" s="481"/>
      <c r="H32" s="482"/>
      <c r="I32" s="482"/>
      <c r="J32" s="483"/>
      <c r="K32" s="117"/>
      <c r="L32" s="117"/>
      <c r="M32" s="488" t="s">
        <v>36</v>
      </c>
      <c r="N32" s="489"/>
      <c r="O32" s="489"/>
      <c r="P32" s="489"/>
      <c r="Q32" s="489"/>
      <c r="R32" s="489"/>
      <c r="S32" s="460" t="s">
        <v>1</v>
      </c>
      <c r="T32" s="491" t="s">
        <v>78</v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4"/>
      <c r="AO32" s="4"/>
    </row>
    <row r="33" spans="1:41" s="2" customFormat="1" ht="20.100000000000001" customHeight="1" x14ac:dyDescent="0.2">
      <c r="A33" s="484"/>
      <c r="B33" s="485"/>
      <c r="C33" s="485"/>
      <c r="D33" s="485"/>
      <c r="E33" s="485"/>
      <c r="F33" s="485"/>
      <c r="G33" s="485"/>
      <c r="H33" s="486"/>
      <c r="I33" s="486"/>
      <c r="J33" s="487"/>
      <c r="K33" s="109" t="s">
        <v>38</v>
      </c>
      <c r="L33" s="109" t="s">
        <v>41</v>
      </c>
      <c r="M33" s="493" t="s">
        <v>29</v>
      </c>
      <c r="N33" s="494"/>
      <c r="O33" s="495" t="s">
        <v>16</v>
      </c>
      <c r="P33" s="494"/>
      <c r="Q33" s="496"/>
      <c r="R33" s="120" t="s">
        <v>18</v>
      </c>
      <c r="S33" s="490"/>
      <c r="T33" s="492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4"/>
      <c r="AO33" s="4"/>
    </row>
    <row r="34" spans="1:41" s="2" customFormat="1" ht="36" customHeight="1" x14ac:dyDescent="0.2">
      <c r="A34" s="462" t="s">
        <v>86</v>
      </c>
      <c r="B34" s="463"/>
      <c r="C34" s="463"/>
      <c r="D34" s="463"/>
      <c r="E34" s="463"/>
      <c r="F34" s="463"/>
      <c r="G34" s="463"/>
      <c r="H34" s="464"/>
      <c r="I34" s="464"/>
      <c r="J34" s="465"/>
      <c r="K34" s="48"/>
      <c r="L34" s="41">
        <v>280</v>
      </c>
      <c r="M34" s="466"/>
      <c r="N34" s="467"/>
      <c r="O34" s="468"/>
      <c r="P34" s="469"/>
      <c r="Q34" s="470"/>
      <c r="R34" s="91"/>
      <c r="S34" s="42">
        <f>+K34*L34-M34-O34-R34</f>
        <v>0</v>
      </c>
      <c r="T34" s="43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4"/>
      <c r="AO34" s="4"/>
    </row>
    <row r="35" spans="1:41" s="2" customFormat="1" ht="36" customHeight="1" x14ac:dyDescent="0.2">
      <c r="A35" s="471" t="s">
        <v>87</v>
      </c>
      <c r="B35" s="472"/>
      <c r="C35" s="472"/>
      <c r="D35" s="472"/>
      <c r="E35" s="472"/>
      <c r="F35" s="472"/>
      <c r="G35" s="472"/>
      <c r="H35" s="473"/>
      <c r="I35" s="473"/>
      <c r="J35" s="474"/>
      <c r="K35" s="65"/>
      <c r="L35" s="44">
        <v>520</v>
      </c>
      <c r="M35" s="475"/>
      <c r="N35" s="476"/>
      <c r="O35" s="477"/>
      <c r="P35" s="478"/>
      <c r="Q35" s="479"/>
      <c r="R35" s="92"/>
      <c r="S35" s="81">
        <f>+K35*L35-M35-O35-R35</f>
        <v>0</v>
      </c>
      <c r="T35" s="46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4"/>
      <c r="AO35" s="4"/>
    </row>
    <row r="36" spans="1:41" ht="36" customHeight="1" x14ac:dyDescent="0.2">
      <c r="A36" s="497" t="s">
        <v>88</v>
      </c>
      <c r="B36" s="498"/>
      <c r="C36" s="498"/>
      <c r="D36" s="498"/>
      <c r="E36" s="498"/>
      <c r="F36" s="498"/>
      <c r="G36" s="498"/>
      <c r="H36" s="498"/>
      <c r="I36" s="498"/>
      <c r="J36" s="498"/>
      <c r="K36" s="498"/>
      <c r="L36" s="498"/>
      <c r="M36" s="498"/>
      <c r="N36" s="498"/>
      <c r="O36" s="498"/>
      <c r="P36" s="498"/>
      <c r="Q36" s="498"/>
      <c r="R36" s="498"/>
      <c r="S36" s="498"/>
      <c r="T36" s="498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49"/>
      <c r="AO36" s="3"/>
    </row>
    <row r="37" spans="1:41" ht="20.100000000000001" customHeight="1" x14ac:dyDescent="0.2">
      <c r="A37" s="499"/>
      <c r="B37" s="500"/>
      <c r="C37" s="500"/>
      <c r="D37" s="500"/>
      <c r="E37" s="500"/>
      <c r="F37" s="500"/>
      <c r="G37" s="500"/>
      <c r="H37" s="500"/>
      <c r="I37" s="500"/>
      <c r="J37" s="500"/>
      <c r="K37" s="500"/>
      <c r="L37" s="500"/>
      <c r="M37" s="500"/>
      <c r="N37" s="500"/>
      <c r="O37" s="500"/>
      <c r="P37" s="500"/>
      <c r="Q37" s="500"/>
      <c r="R37" s="500"/>
      <c r="S37" s="500"/>
      <c r="T37" s="500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3"/>
      <c r="AO37" s="3"/>
    </row>
    <row r="38" spans="1:41" s="2" customFormat="1" ht="36" customHeight="1" x14ac:dyDescent="0.2">
      <c r="A38" s="501" t="s">
        <v>89</v>
      </c>
      <c r="B38" s="502"/>
      <c r="C38" s="502"/>
      <c r="D38" s="502"/>
      <c r="E38" s="502"/>
      <c r="F38" s="502"/>
      <c r="G38" s="502"/>
      <c r="H38" s="502"/>
      <c r="I38" s="502"/>
      <c r="J38" s="502"/>
      <c r="K38" s="502"/>
      <c r="L38" s="502"/>
      <c r="M38" s="502"/>
      <c r="N38" s="502"/>
      <c r="O38" s="502"/>
      <c r="P38" s="502"/>
      <c r="Q38" s="502"/>
      <c r="R38" s="502"/>
      <c r="S38" s="502"/>
      <c r="T38" s="502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4"/>
      <c r="AO38" s="4"/>
    </row>
    <row r="39" spans="1:41" ht="19.5" customHeight="1" x14ac:dyDescent="0.2">
      <c r="A39" s="503" t="s">
        <v>15</v>
      </c>
      <c r="B39" s="504"/>
      <c r="C39" s="504"/>
      <c r="D39" s="504"/>
      <c r="E39" s="504"/>
      <c r="F39" s="504"/>
      <c r="G39" s="504"/>
      <c r="H39" s="504"/>
      <c r="I39" s="504"/>
      <c r="J39" s="505"/>
      <c r="K39" s="506" t="s">
        <v>81</v>
      </c>
      <c r="L39" s="507"/>
      <c r="M39" s="510" t="s">
        <v>32</v>
      </c>
      <c r="N39" s="371"/>
      <c r="O39" s="371"/>
      <c r="P39" s="371"/>
      <c r="Q39" s="371"/>
      <c r="R39" s="121" t="s">
        <v>34</v>
      </c>
      <c r="S39" s="121" t="s">
        <v>11</v>
      </c>
      <c r="T39" s="122" t="s">
        <v>4</v>
      </c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3"/>
      <c r="AO39" s="3"/>
    </row>
    <row r="40" spans="1:41" ht="20.100000000000001" customHeight="1" x14ac:dyDescent="0.2">
      <c r="A40" s="511" t="s">
        <v>85</v>
      </c>
      <c r="B40" s="512"/>
      <c r="C40" s="512"/>
      <c r="D40" s="512"/>
      <c r="E40" s="512"/>
      <c r="F40" s="512"/>
      <c r="G40" s="512"/>
      <c r="H40" s="512"/>
      <c r="I40" s="512"/>
      <c r="J40" s="513"/>
      <c r="K40" s="508"/>
      <c r="L40" s="509"/>
      <c r="M40" s="514" t="s">
        <v>8</v>
      </c>
      <c r="N40" s="515"/>
      <c r="O40" s="124" t="s">
        <v>2</v>
      </c>
      <c r="P40" s="496" t="s">
        <v>7</v>
      </c>
      <c r="Q40" s="418"/>
      <c r="R40" s="109" t="s">
        <v>22</v>
      </c>
      <c r="S40" s="109" t="s">
        <v>21</v>
      </c>
      <c r="T40" s="125" t="s">
        <v>37</v>
      </c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3"/>
      <c r="AO40" s="3"/>
    </row>
    <row r="41" spans="1:41" ht="36" customHeight="1" x14ac:dyDescent="0.2">
      <c r="A41" s="516"/>
      <c r="B41" s="517"/>
      <c r="C41" s="517"/>
      <c r="D41" s="517"/>
      <c r="E41" s="517"/>
      <c r="F41" s="517"/>
      <c r="G41" s="517"/>
      <c r="H41" s="517"/>
      <c r="I41" s="517"/>
      <c r="J41" s="518"/>
      <c r="K41" s="519"/>
      <c r="L41" s="520"/>
      <c r="M41" s="521"/>
      <c r="N41" s="522"/>
      <c r="O41" s="54" t="s">
        <v>2</v>
      </c>
      <c r="P41" s="523"/>
      <c r="Q41" s="524"/>
      <c r="R41" s="55"/>
      <c r="S41" s="41"/>
      <c r="T41" s="43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3"/>
      <c r="AO41" s="3"/>
    </row>
    <row r="42" spans="1:41" ht="36" customHeight="1" x14ac:dyDescent="0.2">
      <c r="A42" s="516"/>
      <c r="B42" s="517"/>
      <c r="C42" s="517"/>
      <c r="D42" s="517"/>
      <c r="E42" s="517"/>
      <c r="F42" s="517"/>
      <c r="G42" s="517"/>
      <c r="H42" s="517"/>
      <c r="I42" s="517"/>
      <c r="J42" s="518"/>
      <c r="K42" s="519"/>
      <c r="L42" s="520"/>
      <c r="M42" s="521"/>
      <c r="N42" s="522"/>
      <c r="O42" s="54" t="s">
        <v>2</v>
      </c>
      <c r="P42" s="523"/>
      <c r="Q42" s="524"/>
      <c r="R42" s="56"/>
      <c r="S42" s="41"/>
      <c r="T42" s="43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3"/>
      <c r="AO42" s="3"/>
    </row>
    <row r="43" spans="1:41" s="2" customFormat="1" ht="36" customHeight="1" x14ac:dyDescent="0.2">
      <c r="A43" s="516"/>
      <c r="B43" s="517"/>
      <c r="C43" s="517"/>
      <c r="D43" s="517"/>
      <c r="E43" s="517"/>
      <c r="F43" s="517"/>
      <c r="G43" s="517"/>
      <c r="H43" s="517"/>
      <c r="I43" s="517"/>
      <c r="J43" s="518"/>
      <c r="K43" s="519"/>
      <c r="L43" s="520"/>
      <c r="M43" s="521"/>
      <c r="N43" s="522"/>
      <c r="O43" s="54" t="s">
        <v>2</v>
      </c>
      <c r="P43" s="523"/>
      <c r="Q43" s="524"/>
      <c r="R43" s="55"/>
      <c r="S43" s="41"/>
      <c r="T43" s="43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4"/>
      <c r="AO43" s="4"/>
    </row>
    <row r="44" spans="1:41" s="2" customFormat="1" ht="36" customHeight="1" x14ac:dyDescent="0.2">
      <c r="A44" s="525"/>
      <c r="B44" s="526"/>
      <c r="C44" s="526"/>
      <c r="D44" s="526"/>
      <c r="E44" s="526"/>
      <c r="F44" s="526"/>
      <c r="G44" s="526"/>
      <c r="H44" s="526"/>
      <c r="I44" s="526"/>
      <c r="J44" s="527"/>
      <c r="K44" s="528"/>
      <c r="L44" s="529"/>
      <c r="M44" s="530"/>
      <c r="N44" s="531"/>
      <c r="O44" s="54" t="s">
        <v>2</v>
      </c>
      <c r="P44" s="532"/>
      <c r="Q44" s="533"/>
      <c r="R44" s="57"/>
      <c r="S44" s="44"/>
      <c r="T44" s="46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4"/>
      <c r="AO44" s="4"/>
    </row>
    <row r="45" spans="1:41" s="2" customFormat="1" ht="24" customHeight="1" x14ac:dyDescent="0.2">
      <c r="A45" s="534"/>
      <c r="B45" s="535"/>
      <c r="C45" s="535"/>
      <c r="D45" s="535"/>
      <c r="E45" s="535"/>
      <c r="F45" s="535"/>
      <c r="G45" s="535"/>
      <c r="H45" s="535"/>
      <c r="I45" s="535"/>
      <c r="J45" s="535"/>
      <c r="K45" s="535"/>
      <c r="L45" s="535"/>
      <c r="M45" s="535"/>
      <c r="N45" s="535"/>
      <c r="O45" s="535"/>
      <c r="P45" s="535"/>
      <c r="Q45" s="535"/>
      <c r="R45" s="535"/>
      <c r="S45" s="535"/>
      <c r="T45" s="535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4"/>
      <c r="AO45" s="4"/>
    </row>
    <row r="46" spans="1:41" s="2" customFormat="1" ht="36" customHeight="1" x14ac:dyDescent="0.2">
      <c r="A46" s="414" t="s">
        <v>30</v>
      </c>
      <c r="B46" s="415"/>
      <c r="C46" s="415"/>
      <c r="D46" s="415"/>
      <c r="E46" s="415"/>
      <c r="F46" s="415"/>
      <c r="G46" s="415"/>
      <c r="H46" s="415"/>
      <c r="I46" s="415"/>
      <c r="J46" s="415"/>
      <c r="K46" s="126"/>
      <c r="L46" s="126"/>
      <c r="M46" s="536" t="s">
        <v>91</v>
      </c>
      <c r="N46" s="537"/>
      <c r="O46" s="537"/>
      <c r="P46" s="537"/>
      <c r="Q46" s="537"/>
      <c r="R46" s="537"/>
      <c r="S46" s="127"/>
      <c r="T46" s="128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4"/>
      <c r="AO46" s="4"/>
    </row>
    <row r="47" spans="1:41" s="2" customFormat="1" ht="18" customHeight="1" x14ac:dyDescent="0.2">
      <c r="A47" s="538" t="s">
        <v>92</v>
      </c>
      <c r="B47" s="504"/>
      <c r="C47" s="504"/>
      <c r="D47" s="504"/>
      <c r="E47" s="504"/>
      <c r="F47" s="504"/>
      <c r="G47" s="504"/>
      <c r="H47" s="504"/>
      <c r="I47" s="504"/>
      <c r="J47" s="505"/>
      <c r="K47" s="129"/>
      <c r="L47" s="129"/>
      <c r="M47" s="540"/>
      <c r="N47" s="541"/>
      <c r="O47" s="542"/>
      <c r="P47" s="543"/>
      <c r="Q47" s="544"/>
      <c r="R47" s="129"/>
      <c r="S47" s="130"/>
      <c r="T47" s="545" t="s">
        <v>78</v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4"/>
      <c r="AO47" s="4"/>
    </row>
    <row r="48" spans="1:41" s="2" customFormat="1" ht="18" customHeight="1" x14ac:dyDescent="0.2">
      <c r="A48" s="539"/>
      <c r="B48" s="512"/>
      <c r="C48" s="512"/>
      <c r="D48" s="512"/>
      <c r="E48" s="512"/>
      <c r="F48" s="512"/>
      <c r="G48" s="512"/>
      <c r="H48" s="512"/>
      <c r="I48" s="512"/>
      <c r="J48" s="513"/>
      <c r="K48" s="131" t="s">
        <v>38</v>
      </c>
      <c r="L48" s="131" t="s">
        <v>93</v>
      </c>
      <c r="M48" s="547" t="s">
        <v>29</v>
      </c>
      <c r="N48" s="548"/>
      <c r="O48" s="547" t="s">
        <v>16</v>
      </c>
      <c r="P48" s="548"/>
      <c r="Q48" s="548"/>
      <c r="R48" s="131" t="s">
        <v>18</v>
      </c>
      <c r="S48" s="133" t="s">
        <v>1</v>
      </c>
      <c r="T48" s="546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4"/>
      <c r="AO48" s="4"/>
    </row>
    <row r="49" spans="1:41" s="2" customFormat="1" ht="36" customHeight="1" x14ac:dyDescent="0.2">
      <c r="A49" s="462" t="s">
        <v>5</v>
      </c>
      <c r="B49" s="463"/>
      <c r="C49" s="463"/>
      <c r="D49" s="549"/>
      <c r="E49" s="549"/>
      <c r="F49" s="549"/>
      <c r="G49" s="549"/>
      <c r="H49" s="549"/>
      <c r="I49" s="549"/>
      <c r="J49" s="550"/>
      <c r="K49" s="48"/>
      <c r="L49" s="85">
        <v>710</v>
      </c>
      <c r="M49" s="551"/>
      <c r="N49" s="552"/>
      <c r="O49" s="551"/>
      <c r="P49" s="552"/>
      <c r="Q49" s="552"/>
      <c r="R49" s="41"/>
      <c r="S49" s="42">
        <f>(K49*L49)-M49-O49-R49</f>
        <v>0</v>
      </c>
      <c r="T49" s="43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4"/>
      <c r="AO49" s="4"/>
    </row>
    <row r="50" spans="1:41" s="2" customFormat="1" ht="36" customHeight="1" x14ac:dyDescent="0.2">
      <c r="A50" s="462" t="s">
        <v>24</v>
      </c>
      <c r="B50" s="463"/>
      <c r="C50" s="463"/>
      <c r="D50" s="549"/>
      <c r="E50" s="549"/>
      <c r="F50" s="549"/>
      <c r="G50" s="549"/>
      <c r="H50" s="549"/>
      <c r="I50" s="549"/>
      <c r="J50" s="550"/>
      <c r="K50" s="48"/>
      <c r="L50" s="41">
        <v>307</v>
      </c>
      <c r="M50" s="551"/>
      <c r="N50" s="552"/>
      <c r="O50" s="551"/>
      <c r="P50" s="552"/>
      <c r="Q50" s="552"/>
      <c r="R50" s="41"/>
      <c r="S50" s="42">
        <f>(K50*L50)-M50-O50-R50</f>
        <v>0</v>
      </c>
      <c r="T50" s="43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4"/>
      <c r="AO50" s="4"/>
    </row>
    <row r="51" spans="1:41" s="2" customFormat="1" ht="36" customHeight="1" x14ac:dyDescent="0.2">
      <c r="A51" s="462" t="s">
        <v>35</v>
      </c>
      <c r="B51" s="463"/>
      <c r="C51" s="463"/>
      <c r="D51" s="549"/>
      <c r="E51" s="549"/>
      <c r="F51" s="549"/>
      <c r="G51" s="549"/>
      <c r="H51" s="549"/>
      <c r="I51" s="549"/>
      <c r="J51" s="550"/>
      <c r="K51" s="48"/>
      <c r="L51" s="41">
        <v>200</v>
      </c>
      <c r="M51" s="551"/>
      <c r="N51" s="552"/>
      <c r="O51" s="551"/>
      <c r="P51" s="552"/>
      <c r="Q51" s="552"/>
      <c r="R51" s="41"/>
      <c r="S51" s="42">
        <f>(K51*L51)-M51-O51-R51</f>
        <v>0</v>
      </c>
      <c r="T51" s="43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4"/>
      <c r="AO51" s="4"/>
    </row>
    <row r="52" spans="1:41" s="2" customFormat="1" ht="36" customHeight="1" x14ac:dyDescent="0.2">
      <c r="A52" s="525"/>
      <c r="B52" s="553"/>
      <c r="C52" s="553"/>
      <c r="D52" s="554"/>
      <c r="E52" s="554"/>
      <c r="F52" s="554"/>
      <c r="G52" s="554"/>
      <c r="H52" s="554"/>
      <c r="I52" s="554"/>
      <c r="J52" s="555"/>
      <c r="K52" s="65"/>
      <c r="L52" s="44"/>
      <c r="M52" s="556"/>
      <c r="N52" s="557"/>
      <c r="O52" s="556"/>
      <c r="P52" s="557"/>
      <c r="Q52" s="557"/>
      <c r="R52" s="44"/>
      <c r="S52" s="45">
        <f>(K52*L52)-M52-O52-R52</f>
        <v>0</v>
      </c>
      <c r="T52" s="46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4"/>
      <c r="AO52" s="4"/>
    </row>
    <row r="53" spans="1:41" s="2" customFormat="1" ht="18" customHeight="1" x14ac:dyDescent="0.2">
      <c r="A53" s="564" t="s">
        <v>90</v>
      </c>
      <c r="B53" s="565"/>
      <c r="C53" s="565"/>
      <c r="D53" s="565"/>
      <c r="E53" s="565"/>
      <c r="F53" s="565"/>
      <c r="G53" s="565"/>
      <c r="H53" s="565"/>
      <c r="I53" s="565"/>
      <c r="J53" s="565"/>
      <c r="K53" s="565"/>
      <c r="L53" s="565"/>
      <c r="M53" s="565"/>
      <c r="N53" s="565"/>
      <c r="O53" s="565"/>
      <c r="P53" s="565"/>
      <c r="Q53" s="565"/>
      <c r="R53" s="565"/>
      <c r="S53" s="565"/>
      <c r="T53" s="566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4"/>
      <c r="AO53" s="4"/>
    </row>
    <row r="54" spans="1:41" s="2" customFormat="1" ht="18" customHeight="1" x14ac:dyDescent="0.2">
      <c r="A54" s="567" t="s">
        <v>94</v>
      </c>
      <c r="B54" s="568"/>
      <c r="C54" s="568"/>
      <c r="D54" s="568"/>
      <c r="E54" s="568"/>
      <c r="F54" s="568"/>
      <c r="G54" s="568"/>
      <c r="H54" s="568"/>
      <c r="I54" s="568"/>
      <c r="J54" s="568"/>
      <c r="K54" s="568"/>
      <c r="L54" s="568"/>
      <c r="M54" s="568"/>
      <c r="N54" s="568"/>
      <c r="O54" s="568"/>
      <c r="P54" s="568"/>
      <c r="Q54" s="568"/>
      <c r="R54" s="568"/>
      <c r="S54" s="568"/>
      <c r="T54" s="569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4"/>
      <c r="AO54" s="4"/>
    </row>
    <row r="55" spans="1:41" s="2" customFormat="1" ht="18" customHeight="1" x14ac:dyDescent="0.2">
      <c r="A55" s="570" t="s">
        <v>95</v>
      </c>
      <c r="B55" s="571"/>
      <c r="C55" s="571"/>
      <c r="D55" s="571"/>
      <c r="E55" s="571"/>
      <c r="F55" s="571"/>
      <c r="G55" s="571"/>
      <c r="H55" s="571"/>
      <c r="I55" s="571"/>
      <c r="J55" s="571"/>
      <c r="K55" s="571"/>
      <c r="L55" s="571"/>
      <c r="M55" s="571"/>
      <c r="N55" s="571"/>
      <c r="O55" s="571"/>
      <c r="P55" s="571"/>
      <c r="Q55" s="571"/>
      <c r="R55" s="571"/>
      <c r="S55" s="571"/>
      <c r="T55" s="572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4"/>
      <c r="AO55" s="4"/>
    </row>
    <row r="56" spans="1:41" ht="12" customHeight="1" x14ac:dyDescent="0.2">
      <c r="A56" s="573"/>
      <c r="B56" s="574"/>
      <c r="C56" s="574"/>
      <c r="D56" s="574"/>
      <c r="E56" s="574"/>
      <c r="F56" s="574"/>
      <c r="G56" s="574"/>
      <c r="H56" s="574"/>
      <c r="I56" s="574"/>
      <c r="J56" s="574"/>
      <c r="K56" s="574"/>
      <c r="L56" s="574"/>
      <c r="M56" s="574"/>
      <c r="N56" s="574"/>
      <c r="O56" s="574"/>
      <c r="P56" s="574"/>
      <c r="Q56" s="574"/>
      <c r="R56" s="574"/>
      <c r="S56" s="574"/>
      <c r="T56" s="574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3"/>
      <c r="AO56" s="3"/>
    </row>
    <row r="57" spans="1:41" s="2" customFormat="1" ht="36" customHeight="1" x14ac:dyDescent="0.2">
      <c r="A57" s="575" t="s">
        <v>96</v>
      </c>
      <c r="B57" s="576"/>
      <c r="C57" s="576"/>
      <c r="D57" s="576"/>
      <c r="E57" s="576"/>
      <c r="F57" s="576"/>
      <c r="G57" s="576"/>
      <c r="H57" s="576"/>
      <c r="I57" s="576"/>
      <c r="J57" s="576"/>
      <c r="K57" s="577"/>
      <c r="L57" s="577"/>
      <c r="M57" s="577"/>
      <c r="N57" s="578"/>
      <c r="O57" s="579" t="s">
        <v>38</v>
      </c>
      <c r="P57" s="580"/>
      <c r="Q57" s="580"/>
      <c r="R57" s="134" t="s">
        <v>41</v>
      </c>
      <c r="S57" s="134" t="s">
        <v>1</v>
      </c>
      <c r="T57" s="116" t="s">
        <v>78</v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4"/>
      <c r="AO57" s="4"/>
    </row>
    <row r="58" spans="1:41" s="2" customFormat="1" ht="36" customHeight="1" x14ac:dyDescent="0.2">
      <c r="A58" s="471" t="s">
        <v>6</v>
      </c>
      <c r="B58" s="472"/>
      <c r="C58" s="472"/>
      <c r="D58" s="472"/>
      <c r="E58" s="472"/>
      <c r="F58" s="472"/>
      <c r="G58" s="472"/>
      <c r="H58" s="472"/>
      <c r="I58" s="472"/>
      <c r="J58" s="472"/>
      <c r="K58" s="473"/>
      <c r="L58" s="473"/>
      <c r="M58" s="473"/>
      <c r="N58" s="474"/>
      <c r="O58" s="558"/>
      <c r="P58" s="559"/>
      <c r="Q58" s="559"/>
      <c r="R58" s="44">
        <v>430</v>
      </c>
      <c r="S58" s="45">
        <f>+O58*R58</f>
        <v>0</v>
      </c>
      <c r="T58" s="46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4"/>
      <c r="AO58" s="4"/>
    </row>
    <row r="59" spans="1:41" s="70" customFormat="1" ht="24" customHeight="1" x14ac:dyDescent="0.2">
      <c r="A59" s="560"/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1"/>
      <c r="P59" s="561"/>
      <c r="Q59" s="561"/>
      <c r="R59" s="561"/>
      <c r="S59" s="561"/>
      <c r="T59" s="561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9"/>
      <c r="AO59" s="69"/>
    </row>
    <row r="60" spans="1:41" s="2" customFormat="1" ht="30.75" customHeight="1" x14ac:dyDescent="0.2">
      <c r="A60" s="414" t="s">
        <v>26</v>
      </c>
      <c r="B60" s="415"/>
      <c r="C60" s="415"/>
      <c r="D60" s="415"/>
      <c r="E60" s="415"/>
      <c r="F60" s="415"/>
      <c r="G60" s="415"/>
      <c r="H60" s="415"/>
      <c r="I60" s="415"/>
      <c r="J60" s="415"/>
      <c r="K60" s="415"/>
      <c r="L60" s="415"/>
      <c r="M60" s="415"/>
      <c r="N60" s="415"/>
      <c r="O60" s="415"/>
      <c r="P60" s="415"/>
      <c r="Q60" s="415"/>
      <c r="R60" s="117" t="s">
        <v>25</v>
      </c>
      <c r="S60" s="117" t="s">
        <v>11</v>
      </c>
      <c r="T60" s="135" t="s">
        <v>4</v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4"/>
      <c r="AO60" s="4"/>
    </row>
    <row r="61" spans="1:41" s="2" customFormat="1" ht="17.25" customHeight="1" x14ac:dyDescent="0.2">
      <c r="A61" s="562" t="s">
        <v>46</v>
      </c>
      <c r="B61" s="490"/>
      <c r="C61" s="490"/>
      <c r="D61" s="490"/>
      <c r="E61" s="490"/>
      <c r="F61" s="490"/>
      <c r="G61" s="490"/>
      <c r="H61" s="490"/>
      <c r="I61" s="490"/>
      <c r="J61" s="490"/>
      <c r="K61" s="490"/>
      <c r="L61" s="490"/>
      <c r="M61" s="490"/>
      <c r="N61" s="490"/>
      <c r="O61" s="490"/>
      <c r="P61" s="490"/>
      <c r="Q61" s="490"/>
      <c r="R61" s="109" t="s">
        <v>22</v>
      </c>
      <c r="S61" s="109" t="s">
        <v>21</v>
      </c>
      <c r="T61" s="125" t="s">
        <v>37</v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4"/>
      <c r="AO61" s="4"/>
    </row>
    <row r="62" spans="1:41" s="2" customFormat="1" ht="36" customHeight="1" x14ac:dyDescent="0.2">
      <c r="A62" s="563"/>
      <c r="B62" s="448"/>
      <c r="C62" s="448"/>
      <c r="D62" s="448"/>
      <c r="E62" s="448"/>
      <c r="F62" s="448"/>
      <c r="G62" s="448"/>
      <c r="H62" s="448"/>
      <c r="I62" s="448"/>
      <c r="J62" s="448"/>
      <c r="K62" s="448"/>
      <c r="L62" s="448"/>
      <c r="M62" s="448"/>
      <c r="N62" s="448"/>
      <c r="O62" s="448"/>
      <c r="P62" s="448"/>
      <c r="Q62" s="448"/>
      <c r="R62" s="55"/>
      <c r="S62" s="41"/>
      <c r="T62" s="43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4"/>
      <c r="AO62" s="4"/>
    </row>
    <row r="63" spans="1:41" s="2" customFormat="1" ht="36" customHeight="1" x14ac:dyDescent="0.2">
      <c r="A63" s="563"/>
      <c r="B63" s="448"/>
      <c r="C63" s="448"/>
      <c r="D63" s="448"/>
      <c r="E63" s="448"/>
      <c r="F63" s="448"/>
      <c r="G63" s="448"/>
      <c r="H63" s="448"/>
      <c r="I63" s="448"/>
      <c r="J63" s="448"/>
      <c r="K63" s="448"/>
      <c r="L63" s="448"/>
      <c r="M63" s="448"/>
      <c r="N63" s="448"/>
      <c r="O63" s="448"/>
      <c r="P63" s="448"/>
      <c r="Q63" s="448"/>
      <c r="R63" s="55"/>
      <c r="S63" s="41"/>
      <c r="T63" s="43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4"/>
      <c r="AO63" s="4"/>
    </row>
    <row r="64" spans="1:41" s="2" customFormat="1" ht="36" customHeight="1" x14ac:dyDescent="0.2">
      <c r="A64" s="563"/>
      <c r="B64" s="448"/>
      <c r="C64" s="448"/>
      <c r="D64" s="448"/>
      <c r="E64" s="448"/>
      <c r="F64" s="448"/>
      <c r="G64" s="448"/>
      <c r="H64" s="448"/>
      <c r="I64" s="448"/>
      <c r="J64" s="448"/>
      <c r="K64" s="448"/>
      <c r="L64" s="448"/>
      <c r="M64" s="448"/>
      <c r="N64" s="448"/>
      <c r="O64" s="448"/>
      <c r="P64" s="448"/>
      <c r="Q64" s="448"/>
      <c r="R64" s="55"/>
      <c r="S64" s="41"/>
      <c r="T64" s="43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4"/>
      <c r="AO64" s="4"/>
    </row>
    <row r="65" spans="1:41" s="2" customFormat="1" ht="36" customHeight="1" x14ac:dyDescent="0.2">
      <c r="A65" s="591"/>
      <c r="B65" s="592"/>
      <c r="C65" s="592"/>
      <c r="D65" s="592"/>
      <c r="E65" s="592"/>
      <c r="F65" s="592"/>
      <c r="G65" s="592"/>
      <c r="H65" s="592"/>
      <c r="I65" s="592"/>
      <c r="J65" s="592"/>
      <c r="K65" s="592"/>
      <c r="L65" s="592"/>
      <c r="M65" s="592"/>
      <c r="N65" s="592"/>
      <c r="O65" s="592"/>
      <c r="P65" s="592"/>
      <c r="Q65" s="592"/>
      <c r="R65" s="57"/>
      <c r="S65" s="44"/>
      <c r="T65" s="46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4"/>
      <c r="AO65" s="4"/>
    </row>
    <row r="66" spans="1:41" s="2" customFormat="1" ht="24" customHeight="1" x14ac:dyDescent="0.2">
      <c r="A66" s="534"/>
      <c r="B66" s="535"/>
      <c r="C66" s="535"/>
      <c r="D66" s="535"/>
      <c r="E66" s="535"/>
      <c r="F66" s="535"/>
      <c r="G66" s="535"/>
      <c r="H66" s="535"/>
      <c r="I66" s="535"/>
      <c r="J66" s="535"/>
      <c r="K66" s="535"/>
      <c r="L66" s="535"/>
      <c r="M66" s="535"/>
      <c r="N66" s="535"/>
      <c r="O66" s="535"/>
      <c r="P66" s="535"/>
      <c r="Q66" s="535"/>
      <c r="R66" s="535"/>
      <c r="S66" s="535"/>
      <c r="T66" s="535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4"/>
      <c r="AO66" s="4"/>
    </row>
    <row r="67" spans="1:41" s="2" customFormat="1" ht="36" customHeight="1" x14ac:dyDescent="0.2">
      <c r="A67" s="593" t="s">
        <v>72</v>
      </c>
      <c r="B67" s="594"/>
      <c r="C67" s="594"/>
      <c r="D67" s="594"/>
      <c r="E67" s="594"/>
      <c r="F67" s="594"/>
      <c r="G67" s="594"/>
      <c r="H67" s="594"/>
      <c r="I67" s="594"/>
      <c r="J67" s="594"/>
      <c r="K67" s="594"/>
      <c r="L67" s="594"/>
      <c r="M67" s="594"/>
      <c r="N67" s="594"/>
      <c r="O67" s="594"/>
      <c r="P67" s="594"/>
      <c r="Q67" s="594"/>
      <c r="R67" s="594"/>
      <c r="S67" s="72">
        <f>+O23+SUM(S27:S30)+SUM(S34:S35)+SUM(S41:S44)+SUM(S49:S52)+SUM(S58)+SUM(S62:S65)</f>
        <v>0</v>
      </c>
      <c r="T67" s="136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4"/>
      <c r="AO67" s="4"/>
    </row>
    <row r="68" spans="1:41" s="2" customFormat="1" ht="24" customHeight="1" x14ac:dyDescent="0.2">
      <c r="A68" s="534"/>
      <c r="B68" s="535"/>
      <c r="C68" s="535"/>
      <c r="D68" s="535"/>
      <c r="E68" s="535"/>
      <c r="F68" s="535"/>
      <c r="G68" s="535"/>
      <c r="H68" s="535"/>
      <c r="I68" s="535"/>
      <c r="J68" s="535"/>
      <c r="K68" s="535"/>
      <c r="L68" s="535"/>
      <c r="M68" s="535"/>
      <c r="N68" s="535"/>
      <c r="O68" s="535"/>
      <c r="P68" s="535"/>
      <c r="Q68" s="535"/>
      <c r="R68" s="535"/>
      <c r="S68" s="535"/>
      <c r="T68" s="535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4"/>
      <c r="AO68" s="4"/>
    </row>
    <row r="69" spans="1:41" s="2" customFormat="1" ht="36" customHeight="1" x14ac:dyDescent="0.2">
      <c r="A69" s="581" t="s">
        <v>42</v>
      </c>
      <c r="B69" s="582"/>
      <c r="C69" s="582"/>
      <c r="D69" s="582"/>
      <c r="E69" s="582"/>
      <c r="F69" s="582"/>
      <c r="G69" s="582"/>
      <c r="H69" s="583"/>
      <c r="I69" s="584"/>
      <c r="J69" s="584"/>
      <c r="K69" s="584"/>
      <c r="L69" s="584"/>
      <c r="M69" s="584"/>
      <c r="N69" s="584"/>
      <c r="O69" s="584"/>
      <c r="P69" s="584"/>
      <c r="Q69" s="584"/>
      <c r="R69" s="584"/>
      <c r="S69" s="74"/>
      <c r="T69" s="75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4"/>
      <c r="AO69" s="4"/>
    </row>
    <row r="70" spans="1:41" s="2" customFormat="1" ht="36" customHeight="1" x14ac:dyDescent="0.2">
      <c r="A70" s="585" t="s">
        <v>20</v>
      </c>
      <c r="B70" s="586"/>
      <c r="C70" s="586"/>
      <c r="D70" s="586"/>
      <c r="E70" s="586"/>
      <c r="F70" s="586"/>
      <c r="G70" s="586"/>
      <c r="H70" s="447"/>
      <c r="I70" s="448"/>
      <c r="J70" s="448"/>
      <c r="K70" s="448"/>
      <c r="L70" s="448"/>
      <c r="M70" s="448"/>
      <c r="N70" s="448"/>
      <c r="O70" s="448"/>
      <c r="P70" s="448"/>
      <c r="Q70" s="448"/>
      <c r="R70" s="448"/>
      <c r="S70" s="41"/>
      <c r="T70" s="43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4"/>
      <c r="AO70" s="4"/>
    </row>
    <row r="71" spans="1:41" s="2" customFormat="1" ht="36" customHeight="1" x14ac:dyDescent="0.2">
      <c r="A71" s="587" t="s">
        <v>33</v>
      </c>
      <c r="B71" s="588"/>
      <c r="C71" s="588"/>
      <c r="D71" s="588"/>
      <c r="E71" s="588"/>
      <c r="F71" s="588"/>
      <c r="G71" s="588"/>
      <c r="H71" s="588"/>
      <c r="I71" s="588"/>
      <c r="J71" s="588"/>
      <c r="K71" s="588"/>
      <c r="L71" s="588"/>
      <c r="M71" s="588"/>
      <c r="N71" s="588"/>
      <c r="O71" s="588"/>
      <c r="P71" s="588"/>
      <c r="Q71" s="588"/>
      <c r="R71" s="588"/>
      <c r="S71" s="83">
        <f>S67-S69-S70</f>
        <v>0</v>
      </c>
      <c r="T71" s="13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4"/>
      <c r="AO71" s="4"/>
    </row>
    <row r="72" spans="1:41" ht="10.7" customHeight="1" x14ac:dyDescent="0.2">
      <c r="A72" s="589"/>
      <c r="B72" s="590"/>
      <c r="C72" s="590"/>
      <c r="D72" s="590"/>
      <c r="E72" s="590"/>
      <c r="F72" s="590"/>
      <c r="G72" s="590"/>
      <c r="H72" s="590"/>
      <c r="I72" s="590"/>
      <c r="J72" s="590"/>
      <c r="K72" s="590"/>
      <c r="L72" s="590"/>
      <c r="M72" s="590"/>
      <c r="N72" s="590"/>
      <c r="O72" s="590"/>
      <c r="P72" s="590"/>
      <c r="Q72" s="590"/>
      <c r="R72" s="590"/>
      <c r="S72" s="590"/>
      <c r="T72" s="590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3"/>
      <c r="AO72" s="3"/>
    </row>
    <row r="73" spans="1:41" ht="16.7" customHeight="1" x14ac:dyDescent="0.25">
      <c r="A73" s="79"/>
      <c r="B73" s="607" t="s">
        <v>17</v>
      </c>
      <c r="C73" s="608"/>
      <c r="D73" s="608"/>
      <c r="E73" s="608"/>
      <c r="F73" s="608"/>
      <c r="G73" s="608"/>
      <c r="H73" s="608"/>
      <c r="I73" s="608"/>
      <c r="J73" s="608"/>
      <c r="K73" s="608"/>
      <c r="L73" s="608"/>
      <c r="M73" s="77"/>
      <c r="N73" s="80"/>
      <c r="O73" s="607" t="s">
        <v>45</v>
      </c>
      <c r="P73" s="608"/>
      <c r="Q73" s="608"/>
      <c r="R73" s="608"/>
      <c r="S73" s="608"/>
      <c r="T73" s="608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3"/>
      <c r="AO73" s="3"/>
    </row>
    <row r="74" spans="1:41" ht="16.7" customHeight="1" x14ac:dyDescent="0.25">
      <c r="A74" s="79"/>
      <c r="B74" s="607" t="s">
        <v>19</v>
      </c>
      <c r="C74" s="608"/>
      <c r="D74" s="79"/>
      <c r="E74" s="607" t="s">
        <v>73</v>
      </c>
      <c r="F74" s="608"/>
      <c r="G74" s="608"/>
      <c r="H74" s="609"/>
      <c r="I74" s="610"/>
      <c r="J74" s="610"/>
      <c r="K74" s="610"/>
      <c r="L74" s="610"/>
      <c r="M74" s="77"/>
      <c r="N74" s="80"/>
      <c r="O74" s="607" t="s">
        <v>27</v>
      </c>
      <c r="P74" s="608"/>
      <c r="Q74" s="608"/>
      <c r="R74" s="608"/>
      <c r="S74" s="608"/>
      <c r="T74" s="608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3"/>
      <c r="AO74" s="3"/>
    </row>
    <row r="75" spans="1:41" ht="9.1999999999999993" customHeight="1" x14ac:dyDescent="0.2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4"/>
      <c r="Q75" s="574"/>
      <c r="R75" s="574"/>
      <c r="S75" s="574"/>
      <c r="T75" s="574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3"/>
      <c r="AO75" s="3"/>
    </row>
    <row r="76" spans="1:41" ht="15.2" customHeight="1" x14ac:dyDescent="0.2">
      <c r="A76" s="597" t="s">
        <v>32</v>
      </c>
      <c r="B76" s="598"/>
      <c r="C76" s="598"/>
      <c r="D76" s="598"/>
      <c r="E76" s="597" t="s">
        <v>74</v>
      </c>
      <c r="F76" s="598"/>
      <c r="G76" s="598"/>
      <c r="H76" s="598"/>
      <c r="I76" s="598"/>
      <c r="J76" s="598"/>
      <c r="K76" s="598"/>
      <c r="L76" s="599" t="s">
        <v>75</v>
      </c>
      <c r="M76" s="600"/>
      <c r="N76" s="600"/>
      <c r="O76" s="600"/>
      <c r="P76" s="600"/>
      <c r="Q76" s="600"/>
      <c r="R76" s="600"/>
      <c r="S76" s="600"/>
      <c r="T76" s="600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3"/>
      <c r="AO76" s="3"/>
    </row>
    <row r="77" spans="1:41" ht="39.950000000000003" customHeight="1" x14ac:dyDescent="0.2">
      <c r="A77" s="612"/>
      <c r="B77" s="602"/>
      <c r="C77" s="602"/>
      <c r="D77" s="602"/>
      <c r="E77" s="603"/>
      <c r="F77" s="604"/>
      <c r="G77" s="604"/>
      <c r="H77" s="604"/>
      <c r="I77" s="604"/>
      <c r="J77" s="604"/>
      <c r="K77" s="604"/>
      <c r="L77" s="605"/>
      <c r="M77" s="606"/>
      <c r="N77" s="606"/>
      <c r="O77" s="606"/>
      <c r="P77" s="606"/>
      <c r="Q77" s="606"/>
      <c r="R77" s="606"/>
      <c r="S77" s="606"/>
      <c r="T77" s="606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3"/>
      <c r="AO77" s="3"/>
    </row>
    <row r="78" spans="1:41" s="2" customFormat="1" ht="30" customHeight="1" x14ac:dyDescent="0.2">
      <c r="A78" s="595"/>
      <c r="B78" s="596"/>
      <c r="C78" s="596"/>
      <c r="D78" s="596"/>
      <c r="E78" s="596"/>
      <c r="F78" s="596"/>
      <c r="G78" s="596"/>
      <c r="H78" s="596"/>
      <c r="I78" s="596"/>
      <c r="J78" s="596"/>
      <c r="K78" s="596"/>
      <c r="L78" s="596"/>
      <c r="M78" s="596"/>
      <c r="N78" s="596"/>
      <c r="O78" s="596"/>
      <c r="P78" s="596"/>
      <c r="Q78" s="596"/>
      <c r="R78" s="596"/>
      <c r="S78" s="596"/>
      <c r="T78" s="596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4"/>
      <c r="AO78" s="4"/>
    </row>
    <row r="79" spans="1:41" x14ac:dyDescent="0.2"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3"/>
      <c r="AO79" s="3"/>
    </row>
    <row r="80" spans="1:41" x14ac:dyDescent="0.2"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3"/>
      <c r="AO80" s="3"/>
    </row>
    <row r="81" spans="21:41" x14ac:dyDescent="0.2"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3"/>
      <c r="AO81" s="3"/>
    </row>
    <row r="82" spans="21:41" x14ac:dyDescent="0.2"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3"/>
      <c r="AO82" s="3"/>
    </row>
    <row r="83" spans="21:41" x14ac:dyDescent="0.2"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3"/>
      <c r="AO83" s="3"/>
    </row>
    <row r="84" spans="21:41" x14ac:dyDescent="0.2"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3"/>
      <c r="AO84" s="3"/>
    </row>
    <row r="85" spans="21:41" x14ac:dyDescent="0.2"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3"/>
      <c r="AO85" s="3"/>
    </row>
    <row r="86" spans="21:41" x14ac:dyDescent="0.2"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3"/>
      <c r="AO86" s="3"/>
    </row>
    <row r="87" spans="21:41" x14ac:dyDescent="0.2"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3"/>
      <c r="AO87" s="3"/>
    </row>
    <row r="88" spans="21:41" x14ac:dyDescent="0.2"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3"/>
      <c r="AO88" s="3"/>
    </row>
    <row r="89" spans="21:41" x14ac:dyDescent="0.2"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3"/>
      <c r="AO89" s="3"/>
    </row>
    <row r="90" spans="21:41" x14ac:dyDescent="0.2"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3"/>
      <c r="AO90" s="3"/>
    </row>
    <row r="91" spans="21:41" x14ac:dyDescent="0.2"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3"/>
      <c r="AO91" s="3"/>
    </row>
    <row r="92" spans="21:41" x14ac:dyDescent="0.2"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3"/>
      <c r="AO92" s="3"/>
    </row>
    <row r="93" spans="21:41" x14ac:dyDescent="0.2"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3"/>
      <c r="AO93" s="3"/>
    </row>
    <row r="94" spans="21:41" x14ac:dyDescent="0.2"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3"/>
      <c r="AO94" s="3"/>
    </row>
    <row r="95" spans="21:41" x14ac:dyDescent="0.2"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3"/>
      <c r="AO95" s="3"/>
    </row>
    <row r="96" spans="21:41" x14ac:dyDescent="0.2"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3"/>
      <c r="AO96" s="3"/>
    </row>
    <row r="97" spans="21:41" x14ac:dyDescent="0.2"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3"/>
      <c r="AO97" s="3"/>
    </row>
    <row r="98" spans="21:41" x14ac:dyDescent="0.2"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3"/>
      <c r="AO98" s="3"/>
    </row>
    <row r="99" spans="21:41" x14ac:dyDescent="0.2"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3"/>
      <c r="AO99" s="3"/>
    </row>
    <row r="100" spans="21:41" x14ac:dyDescent="0.2"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3"/>
      <c r="AO100" s="3"/>
    </row>
    <row r="101" spans="21:41" x14ac:dyDescent="0.2"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3"/>
      <c r="AO101" s="3"/>
    </row>
    <row r="102" spans="21:41" x14ac:dyDescent="0.2"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3"/>
      <c r="AO102" s="3"/>
    </row>
    <row r="103" spans="21:41" x14ac:dyDescent="0.2"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3"/>
      <c r="AO103" s="3"/>
    </row>
    <row r="104" spans="21:41" x14ac:dyDescent="0.2"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3"/>
      <c r="AO104" s="3"/>
    </row>
    <row r="105" spans="21:41" x14ac:dyDescent="0.2"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3"/>
      <c r="AO105" s="3"/>
    </row>
    <row r="106" spans="21:41" x14ac:dyDescent="0.2"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3"/>
      <c r="AO106" s="3"/>
    </row>
    <row r="107" spans="21:41" x14ac:dyDescent="0.2"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3"/>
      <c r="AO107" s="3"/>
    </row>
    <row r="108" spans="21:41" x14ac:dyDescent="0.2"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3"/>
      <c r="AO108" s="3"/>
    </row>
    <row r="109" spans="21:41" x14ac:dyDescent="0.2"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3"/>
      <c r="AO109" s="3"/>
    </row>
    <row r="110" spans="21:41" x14ac:dyDescent="0.2"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3"/>
      <c r="AO110" s="3"/>
    </row>
    <row r="111" spans="21:41" x14ac:dyDescent="0.2"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3"/>
      <c r="AO111" s="3"/>
    </row>
    <row r="112" spans="21:41" x14ac:dyDescent="0.2"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3"/>
      <c r="AO112" s="3"/>
    </row>
    <row r="113" spans="21:41" x14ac:dyDescent="0.2"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3"/>
      <c r="AO113" s="3"/>
    </row>
    <row r="114" spans="21:41" x14ac:dyDescent="0.2"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3"/>
      <c r="AO114" s="3"/>
    </row>
    <row r="115" spans="21:41" x14ac:dyDescent="0.2"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3"/>
      <c r="AO115" s="3"/>
    </row>
    <row r="116" spans="21:41" x14ac:dyDescent="0.2"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3"/>
      <c r="AO116" s="3"/>
    </row>
    <row r="117" spans="21:41" x14ac:dyDescent="0.2"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3"/>
      <c r="AO117" s="3"/>
    </row>
    <row r="118" spans="21:41" x14ac:dyDescent="0.2"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3"/>
      <c r="AO118" s="3"/>
    </row>
    <row r="119" spans="21:41" x14ac:dyDescent="0.2"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3"/>
      <c r="AO119" s="3"/>
    </row>
    <row r="120" spans="21:41" x14ac:dyDescent="0.2"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3"/>
      <c r="AO120" s="3"/>
    </row>
    <row r="121" spans="21:41" x14ac:dyDescent="0.2"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3"/>
      <c r="AO121" s="3"/>
    </row>
    <row r="122" spans="21:41" x14ac:dyDescent="0.2"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3"/>
      <c r="AO122" s="3"/>
    </row>
    <row r="123" spans="21:41" x14ac:dyDescent="0.2"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3"/>
      <c r="AO123" s="3"/>
    </row>
    <row r="124" spans="21:41" x14ac:dyDescent="0.2"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3"/>
      <c r="AO124" s="3"/>
    </row>
    <row r="125" spans="21:41" x14ac:dyDescent="0.2"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3"/>
      <c r="AO125" s="3"/>
    </row>
    <row r="126" spans="21:41" x14ac:dyDescent="0.2"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3"/>
      <c r="AO126" s="3"/>
    </row>
    <row r="127" spans="21:41" x14ac:dyDescent="0.2"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3"/>
      <c r="AO127" s="3"/>
    </row>
    <row r="128" spans="21:41" x14ac:dyDescent="0.2"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3"/>
      <c r="AO128" s="3"/>
    </row>
    <row r="129" spans="21:41" x14ac:dyDescent="0.2"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3"/>
      <c r="AO129" s="3"/>
    </row>
    <row r="130" spans="21:41" x14ac:dyDescent="0.2"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3"/>
      <c r="AO130" s="3"/>
    </row>
    <row r="131" spans="21:41" x14ac:dyDescent="0.2"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3"/>
      <c r="AO131" s="3"/>
    </row>
    <row r="132" spans="21:41" x14ac:dyDescent="0.2"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3"/>
      <c r="AO132" s="3"/>
    </row>
    <row r="133" spans="21:41" x14ac:dyDescent="0.2"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3"/>
      <c r="AO133" s="3"/>
    </row>
    <row r="134" spans="21:41" x14ac:dyDescent="0.2"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3"/>
      <c r="AO134" s="3"/>
    </row>
    <row r="135" spans="21:41" x14ac:dyDescent="0.2"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3"/>
      <c r="AO135" s="3"/>
    </row>
    <row r="136" spans="21:41" x14ac:dyDescent="0.2"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3"/>
      <c r="AO136" s="3"/>
    </row>
    <row r="137" spans="21:41" x14ac:dyDescent="0.2"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3"/>
      <c r="AO137" s="3"/>
    </row>
    <row r="138" spans="21:41" x14ac:dyDescent="0.2"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3"/>
      <c r="AO138" s="3"/>
    </row>
    <row r="139" spans="21:41" x14ac:dyDescent="0.2"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3"/>
      <c r="AO139" s="3"/>
    </row>
    <row r="140" spans="21:41" x14ac:dyDescent="0.2"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3"/>
      <c r="AO140" s="3"/>
    </row>
    <row r="141" spans="21:41" x14ac:dyDescent="0.2"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3"/>
      <c r="AO141" s="3"/>
    </row>
    <row r="142" spans="21:41" x14ac:dyDescent="0.2"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3"/>
      <c r="AO142" s="3"/>
    </row>
    <row r="143" spans="21:41" x14ac:dyDescent="0.2"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3"/>
      <c r="AO143" s="3"/>
    </row>
    <row r="144" spans="21:41" x14ac:dyDescent="0.2"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3"/>
      <c r="AO144" s="3"/>
    </row>
    <row r="145" spans="21:41" x14ac:dyDescent="0.2"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3"/>
      <c r="AO145" s="3"/>
    </row>
    <row r="146" spans="21:41" x14ac:dyDescent="0.2"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3"/>
      <c r="AO146" s="3"/>
    </row>
    <row r="147" spans="21:41" x14ac:dyDescent="0.2"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3"/>
      <c r="AO147" s="3"/>
    </row>
    <row r="148" spans="21:41" x14ac:dyDescent="0.2"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3"/>
      <c r="AO148" s="3"/>
    </row>
    <row r="149" spans="21:41" x14ac:dyDescent="0.2"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3"/>
      <c r="AO149" s="3"/>
    </row>
    <row r="150" spans="21:41" x14ac:dyDescent="0.2"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3"/>
      <c r="AO150" s="3"/>
    </row>
    <row r="151" spans="21:41" x14ac:dyDescent="0.2"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3"/>
      <c r="AO151" s="3"/>
    </row>
    <row r="152" spans="21:41" x14ac:dyDescent="0.2"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3"/>
      <c r="AO152" s="3"/>
    </row>
    <row r="153" spans="21:41" x14ac:dyDescent="0.2"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3"/>
      <c r="AO153" s="3"/>
    </row>
    <row r="154" spans="21:41" x14ac:dyDescent="0.2"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3"/>
      <c r="AO154" s="3"/>
    </row>
    <row r="155" spans="21:41" x14ac:dyDescent="0.2"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3"/>
      <c r="AO155" s="3"/>
    </row>
    <row r="156" spans="21:41" x14ac:dyDescent="0.2"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3"/>
      <c r="AO156" s="3"/>
    </row>
    <row r="157" spans="21:41" x14ac:dyDescent="0.2"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3"/>
      <c r="AO157" s="3"/>
    </row>
    <row r="158" spans="21:41" x14ac:dyDescent="0.2"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3"/>
      <c r="AO158" s="3"/>
    </row>
    <row r="159" spans="21:41" x14ac:dyDescent="0.2"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3"/>
      <c r="AO159" s="3"/>
    </row>
    <row r="160" spans="21:41" x14ac:dyDescent="0.2"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3"/>
      <c r="AO160" s="3"/>
    </row>
    <row r="161" spans="21:41" x14ac:dyDescent="0.2"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3"/>
      <c r="AO161" s="3"/>
    </row>
    <row r="162" spans="21:41" x14ac:dyDescent="0.2"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3"/>
      <c r="AO162" s="3"/>
    </row>
    <row r="163" spans="21:41" x14ac:dyDescent="0.2"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3"/>
      <c r="AO163" s="3"/>
    </row>
    <row r="164" spans="21:41" x14ac:dyDescent="0.2"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3"/>
      <c r="AO164" s="3"/>
    </row>
    <row r="165" spans="21:41" x14ac:dyDescent="0.2"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3"/>
      <c r="AO165" s="3"/>
    </row>
    <row r="166" spans="21:41" x14ac:dyDescent="0.2"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3"/>
      <c r="AO166" s="3"/>
    </row>
    <row r="167" spans="21:41" x14ac:dyDescent="0.2"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3"/>
      <c r="AO167" s="3"/>
    </row>
    <row r="168" spans="21:41" x14ac:dyDescent="0.2"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3"/>
      <c r="AO168" s="3"/>
    </row>
    <row r="169" spans="21:41" x14ac:dyDescent="0.2"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3"/>
    </row>
    <row r="170" spans="21:41" x14ac:dyDescent="0.2"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3"/>
    </row>
    <row r="171" spans="21:41" x14ac:dyDescent="0.2"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3"/>
    </row>
    <row r="172" spans="21:41" x14ac:dyDescent="0.2"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3"/>
    </row>
    <row r="173" spans="21:41" x14ac:dyDescent="0.2"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3"/>
    </row>
    <row r="174" spans="21:41" x14ac:dyDescent="0.2"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3"/>
    </row>
    <row r="175" spans="21:41" x14ac:dyDescent="0.2"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3"/>
    </row>
    <row r="176" spans="21:41" x14ac:dyDescent="0.2"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3"/>
    </row>
    <row r="177" spans="29:41" x14ac:dyDescent="0.2"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3"/>
    </row>
    <row r="178" spans="29:41" x14ac:dyDescent="0.2"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3"/>
    </row>
    <row r="179" spans="29:41" x14ac:dyDescent="0.2"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3"/>
    </row>
    <row r="180" spans="29:41" x14ac:dyDescent="0.2"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3"/>
    </row>
    <row r="181" spans="29:41" x14ac:dyDescent="0.2"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3"/>
    </row>
    <row r="182" spans="29:41" x14ac:dyDescent="0.2"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3"/>
    </row>
    <row r="183" spans="29:41" x14ac:dyDescent="0.2"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3"/>
    </row>
    <row r="184" spans="29:41" x14ac:dyDescent="0.2"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3"/>
    </row>
    <row r="185" spans="29:41" x14ac:dyDescent="0.2"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3"/>
    </row>
    <row r="186" spans="29:41" x14ac:dyDescent="0.2"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3"/>
    </row>
    <row r="187" spans="29:41" x14ac:dyDescent="0.2"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3"/>
    </row>
    <row r="188" spans="29:41" x14ac:dyDescent="0.2"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3"/>
    </row>
    <row r="189" spans="29:41" x14ac:dyDescent="0.2"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3"/>
    </row>
    <row r="190" spans="29:41" x14ac:dyDescent="0.2"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3"/>
    </row>
    <row r="191" spans="29:41" x14ac:dyDescent="0.2"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3"/>
    </row>
    <row r="192" spans="29:41" x14ac:dyDescent="0.2"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3"/>
    </row>
    <row r="193" spans="29:41" x14ac:dyDescent="0.2"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3"/>
    </row>
    <row r="194" spans="29:41" x14ac:dyDescent="0.2"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3"/>
    </row>
    <row r="195" spans="29:41" x14ac:dyDescent="0.2"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3"/>
    </row>
    <row r="196" spans="29:41" x14ac:dyDescent="0.2"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3"/>
    </row>
    <row r="197" spans="29:41" x14ac:dyDescent="0.2"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3"/>
    </row>
    <row r="198" spans="29:41" x14ac:dyDescent="0.2"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3"/>
    </row>
    <row r="199" spans="29:41" x14ac:dyDescent="0.2"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3"/>
    </row>
    <row r="200" spans="29:41" x14ac:dyDescent="0.2"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3"/>
    </row>
    <row r="201" spans="29:41" x14ac:dyDescent="0.2"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3"/>
    </row>
    <row r="202" spans="29:41" x14ac:dyDescent="0.2"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3"/>
    </row>
    <row r="203" spans="29:41" x14ac:dyDescent="0.2"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3"/>
    </row>
    <row r="204" spans="29:41" x14ac:dyDescent="0.2"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3"/>
    </row>
    <row r="205" spans="29:41" x14ac:dyDescent="0.2"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3"/>
    </row>
    <row r="206" spans="29:41" x14ac:dyDescent="0.2"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3"/>
    </row>
    <row r="207" spans="29:41" x14ac:dyDescent="0.2"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3"/>
    </row>
    <row r="208" spans="29:41" x14ac:dyDescent="0.2"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3"/>
    </row>
    <row r="209" spans="29:41" x14ac:dyDescent="0.2"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3"/>
    </row>
    <row r="210" spans="29:41" x14ac:dyDescent="0.2"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3"/>
    </row>
    <row r="211" spans="29:41" x14ac:dyDescent="0.2"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3"/>
    </row>
    <row r="212" spans="29:41" x14ac:dyDescent="0.2"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3"/>
    </row>
    <row r="213" spans="29:41" x14ac:dyDescent="0.2"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3"/>
    </row>
    <row r="214" spans="29:41" x14ac:dyDescent="0.2"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3"/>
    </row>
    <row r="215" spans="29:41" x14ac:dyDescent="0.2"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3"/>
    </row>
    <row r="216" spans="29:41" x14ac:dyDescent="0.2"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3"/>
    </row>
    <row r="217" spans="29:41" x14ac:dyDescent="0.2"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3"/>
    </row>
    <row r="218" spans="29:41" x14ac:dyDescent="0.2"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3"/>
    </row>
    <row r="219" spans="29:41" x14ac:dyDescent="0.2"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3"/>
    </row>
    <row r="220" spans="29:41" x14ac:dyDescent="0.2"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3"/>
    </row>
    <row r="221" spans="29:41" x14ac:dyDescent="0.2"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3"/>
    </row>
    <row r="222" spans="29:41" x14ac:dyDescent="0.2"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3"/>
    </row>
    <row r="223" spans="29:41" x14ac:dyDescent="0.2"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3"/>
    </row>
    <row r="224" spans="29:41" x14ac:dyDescent="0.2"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3"/>
    </row>
    <row r="225" spans="29:41" x14ac:dyDescent="0.2"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3"/>
    </row>
    <row r="226" spans="29:41" x14ac:dyDescent="0.2"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3"/>
    </row>
    <row r="227" spans="29:41" x14ac:dyDescent="0.2"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3"/>
    </row>
    <row r="228" spans="29:41" x14ac:dyDescent="0.2"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3"/>
    </row>
    <row r="229" spans="29:41" x14ac:dyDescent="0.2"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3"/>
    </row>
    <row r="230" spans="29:41" x14ac:dyDescent="0.2"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3"/>
    </row>
    <row r="231" spans="29:41" x14ac:dyDescent="0.2"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3"/>
    </row>
    <row r="232" spans="29:41" x14ac:dyDescent="0.2"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3"/>
    </row>
    <row r="233" spans="29:41" x14ac:dyDescent="0.2"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3"/>
    </row>
    <row r="234" spans="29:41" x14ac:dyDescent="0.2"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3"/>
    </row>
    <row r="235" spans="29:41" x14ac:dyDescent="0.2"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3"/>
    </row>
    <row r="236" spans="29:41" x14ac:dyDescent="0.2"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3"/>
    </row>
    <row r="237" spans="29:41" x14ac:dyDescent="0.2"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3"/>
    </row>
    <row r="238" spans="29:41" x14ac:dyDescent="0.2"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3"/>
    </row>
    <row r="239" spans="29:41" x14ac:dyDescent="0.2"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3"/>
    </row>
    <row r="240" spans="29:41" x14ac:dyDescent="0.2"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3"/>
    </row>
    <row r="241" spans="1:41" x14ac:dyDescent="0.2"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3"/>
    </row>
    <row r="242" spans="1:41" x14ac:dyDescent="0.2"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3"/>
    </row>
    <row r="243" spans="1:41" x14ac:dyDescent="0.2"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3"/>
    </row>
    <row r="244" spans="1:41" x14ac:dyDescent="0.2"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3"/>
    </row>
    <row r="245" spans="1:41" x14ac:dyDescent="0.2"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3"/>
    </row>
    <row r="246" spans="1:41" x14ac:dyDescent="0.2"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3"/>
    </row>
    <row r="247" spans="1:41" x14ac:dyDescent="0.2"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3"/>
    </row>
    <row r="248" spans="1:41" x14ac:dyDescent="0.2"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3"/>
    </row>
    <row r="249" spans="1:41" x14ac:dyDescent="0.2"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3"/>
    </row>
    <row r="250" spans="1:41" x14ac:dyDescent="0.2"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3"/>
    </row>
    <row r="251" spans="1:41" x14ac:dyDescent="0.2"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3"/>
    </row>
    <row r="252" spans="1:4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</row>
    <row r="253" spans="1:4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</row>
    <row r="254" spans="1:4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</row>
    <row r="255" spans="1:4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</row>
    <row r="256" spans="1:4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</row>
    <row r="257" spans="1:38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</row>
    <row r="258" spans="1:38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</row>
    <row r="259" spans="1:38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</row>
    <row r="260" spans="1:38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</row>
    <row r="261" spans="1:38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</row>
    <row r="262" spans="1:38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</row>
    <row r="263" spans="1:38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</row>
    <row r="264" spans="1:38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</row>
    <row r="265" spans="1:38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</row>
    <row r="266" spans="1:38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</row>
    <row r="267" spans="1:38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</row>
    <row r="268" spans="1:38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</row>
    <row r="269" spans="1:38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</row>
    <row r="270" spans="1:38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</row>
    <row r="271" spans="1:38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</row>
    <row r="272" spans="1:38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</row>
    <row r="273" spans="1:38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</row>
    <row r="274" spans="1:38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</row>
    <row r="275" spans="1:38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</row>
    <row r="276" spans="1:38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</row>
    <row r="277" spans="1:38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</row>
    <row r="278" spans="1:38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</row>
    <row r="279" spans="1:38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</row>
    <row r="280" spans="1:38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</row>
    <row r="281" spans="1:38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</row>
    <row r="282" spans="1:38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</row>
    <row r="283" spans="1:38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</row>
    <row r="284" spans="1:38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</row>
    <row r="285" spans="1:38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</row>
    <row r="286" spans="1:38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</row>
    <row r="287" spans="1:38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</row>
    <row r="288" spans="1:38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</row>
    <row r="289" spans="1:38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</row>
    <row r="290" spans="1:38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</row>
    <row r="291" spans="1:38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</row>
    <row r="292" spans="1:38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</row>
    <row r="293" spans="1:38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</row>
    <row r="294" spans="1:38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</row>
    <row r="295" spans="1:38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</row>
    <row r="296" spans="1:38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</row>
    <row r="297" spans="1:38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</row>
    <row r="298" spans="1:38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</row>
    <row r="299" spans="1:38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</row>
    <row r="300" spans="1:38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</row>
    <row r="301" spans="1:38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</row>
    <row r="302" spans="1:38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</row>
    <row r="303" spans="1:38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</row>
    <row r="304" spans="1:38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</row>
    <row r="305" spans="1:38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</row>
    <row r="306" spans="1:38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</row>
    <row r="307" spans="1:38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</row>
    <row r="308" spans="1:38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</row>
    <row r="309" spans="1:38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</row>
    <row r="310" spans="1:38" x14ac:dyDescent="0.2"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</row>
    <row r="311" spans="1:38" x14ac:dyDescent="0.2"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</row>
    <row r="312" spans="1:38" x14ac:dyDescent="0.2"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</row>
    <row r="313" spans="1:38" x14ac:dyDescent="0.2"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</row>
    <row r="314" spans="1:38" x14ac:dyDescent="0.2"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</row>
    <row r="315" spans="1:38" x14ac:dyDescent="0.2"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</row>
    <row r="316" spans="1:38" x14ac:dyDescent="0.2"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</row>
    <row r="317" spans="1:38" x14ac:dyDescent="0.2"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</row>
    <row r="318" spans="1:38" x14ac:dyDescent="0.2"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</row>
    <row r="319" spans="1:38" x14ac:dyDescent="0.2"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</row>
    <row r="320" spans="1:38" x14ac:dyDescent="0.2"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</row>
    <row r="321" spans="21:38" x14ac:dyDescent="0.2"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</row>
    <row r="322" spans="21:38" x14ac:dyDescent="0.2"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</row>
    <row r="323" spans="21:38" x14ac:dyDescent="0.2"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</row>
    <row r="324" spans="21:38" x14ac:dyDescent="0.2"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</row>
    <row r="325" spans="21:38" x14ac:dyDescent="0.2"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</row>
    <row r="326" spans="21:38" x14ac:dyDescent="0.2"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</row>
    <row r="327" spans="21:38" x14ac:dyDescent="0.2"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</row>
    <row r="328" spans="21:38" x14ac:dyDescent="0.2"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</row>
    <row r="329" spans="21:38" x14ac:dyDescent="0.2"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</row>
    <row r="330" spans="21:38" x14ac:dyDescent="0.2"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</row>
    <row r="331" spans="21:38" x14ac:dyDescent="0.2"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</row>
    <row r="332" spans="21:38" x14ac:dyDescent="0.2"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</row>
    <row r="333" spans="21:38" x14ac:dyDescent="0.2"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</row>
  </sheetData>
  <sheetProtection password="DED9" sheet="1" objects="1" scenarios="1" selectLockedCells="1"/>
  <mergeCells count="214">
    <mergeCell ref="A78:T78"/>
    <mergeCell ref="A75:T75"/>
    <mergeCell ref="A76:D76"/>
    <mergeCell ref="E76:K76"/>
    <mergeCell ref="L76:T76"/>
    <mergeCell ref="A77:D77"/>
    <mergeCell ref="E77:K77"/>
    <mergeCell ref="L77:T77"/>
    <mergeCell ref="B73:L73"/>
    <mergeCell ref="O73:T73"/>
    <mergeCell ref="B74:C74"/>
    <mergeCell ref="E74:G74"/>
    <mergeCell ref="H74:L74"/>
    <mergeCell ref="O74:T74"/>
    <mergeCell ref="A69:G69"/>
    <mergeCell ref="H69:R69"/>
    <mergeCell ref="A70:G70"/>
    <mergeCell ref="H70:R70"/>
    <mergeCell ref="A71:R71"/>
    <mergeCell ref="A72:T72"/>
    <mergeCell ref="A63:Q63"/>
    <mergeCell ref="A64:Q64"/>
    <mergeCell ref="A65:Q65"/>
    <mergeCell ref="A66:T66"/>
    <mergeCell ref="A67:R67"/>
    <mergeCell ref="A68:T68"/>
    <mergeCell ref="A58:N58"/>
    <mergeCell ref="O58:Q58"/>
    <mergeCell ref="A59:T59"/>
    <mergeCell ref="A60:Q60"/>
    <mergeCell ref="A61:Q61"/>
    <mergeCell ref="A62:Q62"/>
    <mergeCell ref="A53:T53"/>
    <mergeCell ref="A54:T54"/>
    <mergeCell ref="A55:T55"/>
    <mergeCell ref="A56:T56"/>
    <mergeCell ref="A57:N57"/>
    <mergeCell ref="O57:Q57"/>
    <mergeCell ref="A51:J51"/>
    <mergeCell ref="M51:N51"/>
    <mergeCell ref="O51:Q51"/>
    <mergeCell ref="A52:J52"/>
    <mergeCell ref="M52:N52"/>
    <mergeCell ref="O52:Q52"/>
    <mergeCell ref="A49:J49"/>
    <mergeCell ref="M49:N49"/>
    <mergeCell ref="O49:Q49"/>
    <mergeCell ref="A50:J50"/>
    <mergeCell ref="M50:N50"/>
    <mergeCell ref="O50:Q50"/>
    <mergeCell ref="A45:T45"/>
    <mergeCell ref="A46:J46"/>
    <mergeCell ref="M46:R46"/>
    <mergeCell ref="A47:J48"/>
    <mergeCell ref="M47:N47"/>
    <mergeCell ref="O47:Q47"/>
    <mergeCell ref="T47:T48"/>
    <mergeCell ref="M48:N48"/>
    <mergeCell ref="O48:Q48"/>
    <mergeCell ref="A43:J43"/>
    <mergeCell ref="K43:L43"/>
    <mergeCell ref="M43:N43"/>
    <mergeCell ref="P43:Q43"/>
    <mergeCell ref="A44:J44"/>
    <mergeCell ref="K44:L44"/>
    <mergeCell ref="M44:N44"/>
    <mergeCell ref="P44:Q44"/>
    <mergeCell ref="A41:J41"/>
    <mergeCell ref="K41:L41"/>
    <mergeCell ref="M41:N41"/>
    <mergeCell ref="P41:Q41"/>
    <mergeCell ref="A42:J42"/>
    <mergeCell ref="K42:L42"/>
    <mergeCell ref="M42:N42"/>
    <mergeCell ref="P42:Q42"/>
    <mergeCell ref="A36:T36"/>
    <mergeCell ref="A37:T37"/>
    <mergeCell ref="A38:T38"/>
    <mergeCell ref="A39:J39"/>
    <mergeCell ref="K39:L40"/>
    <mergeCell ref="M39:Q39"/>
    <mergeCell ref="A40:J40"/>
    <mergeCell ref="M40:N40"/>
    <mergeCell ref="P40:Q40"/>
    <mergeCell ref="A34:J34"/>
    <mergeCell ref="M34:N34"/>
    <mergeCell ref="O34:Q34"/>
    <mergeCell ref="A35:J35"/>
    <mergeCell ref="M35:N35"/>
    <mergeCell ref="O35:Q35"/>
    <mergeCell ref="A31:T31"/>
    <mergeCell ref="A32:J33"/>
    <mergeCell ref="M32:R32"/>
    <mergeCell ref="S32:S33"/>
    <mergeCell ref="T32:T33"/>
    <mergeCell ref="M33:N33"/>
    <mergeCell ref="O33:Q33"/>
    <mergeCell ref="A29:C29"/>
    <mergeCell ref="D29:G29"/>
    <mergeCell ref="H29:N29"/>
    <mergeCell ref="O29:Q29"/>
    <mergeCell ref="A30:C30"/>
    <mergeCell ref="D30:N30"/>
    <mergeCell ref="O30:Q30"/>
    <mergeCell ref="A26:N26"/>
    <mergeCell ref="O26:Q26"/>
    <mergeCell ref="A27:N27"/>
    <mergeCell ref="O27:Q27"/>
    <mergeCell ref="A28:N28"/>
    <mergeCell ref="O28:Q28"/>
    <mergeCell ref="A23:K23"/>
    <mergeCell ref="L23:N23"/>
    <mergeCell ref="O23:Q23"/>
    <mergeCell ref="A24:N24"/>
    <mergeCell ref="O24:R24"/>
    <mergeCell ref="A25:T25"/>
    <mergeCell ref="A22:B22"/>
    <mergeCell ref="C22:D22"/>
    <mergeCell ref="E22:G22"/>
    <mergeCell ref="H22:J22"/>
    <mergeCell ref="L22:N22"/>
    <mergeCell ref="O22:Q22"/>
    <mergeCell ref="A21:B21"/>
    <mergeCell ref="C21:D21"/>
    <mergeCell ref="E21:G21"/>
    <mergeCell ref="H21:J21"/>
    <mergeCell ref="L21:N21"/>
    <mergeCell ref="O21:Q21"/>
    <mergeCell ref="A20:B20"/>
    <mergeCell ref="C20:D20"/>
    <mergeCell ref="E20:G20"/>
    <mergeCell ref="H20:J20"/>
    <mergeCell ref="L20:N20"/>
    <mergeCell ref="O20:Q20"/>
    <mergeCell ref="A19:B19"/>
    <mergeCell ref="C19:D19"/>
    <mergeCell ref="E19:G19"/>
    <mergeCell ref="H19:J19"/>
    <mergeCell ref="L19:N19"/>
    <mergeCell ref="O19:Q19"/>
    <mergeCell ref="A18:B18"/>
    <mergeCell ref="C18:D18"/>
    <mergeCell ref="E18:G18"/>
    <mergeCell ref="H18:J18"/>
    <mergeCell ref="L18:N18"/>
    <mergeCell ref="O18:Q18"/>
    <mergeCell ref="A17:B17"/>
    <mergeCell ref="C17:D17"/>
    <mergeCell ref="E17:G17"/>
    <mergeCell ref="H17:J17"/>
    <mergeCell ref="L17:N17"/>
    <mergeCell ref="O17:Q17"/>
    <mergeCell ref="A16:B16"/>
    <mergeCell ref="C16:D16"/>
    <mergeCell ref="E16:G16"/>
    <mergeCell ref="H16:J16"/>
    <mergeCell ref="L16:N16"/>
    <mergeCell ref="O16:Q16"/>
    <mergeCell ref="A15:B15"/>
    <mergeCell ref="C15:D15"/>
    <mergeCell ref="E15:G15"/>
    <mergeCell ref="H15:J15"/>
    <mergeCell ref="L15:N15"/>
    <mergeCell ref="O15:Q15"/>
    <mergeCell ref="A14:B14"/>
    <mergeCell ref="C14:D14"/>
    <mergeCell ref="E14:G14"/>
    <mergeCell ref="H14:J14"/>
    <mergeCell ref="L14:N14"/>
    <mergeCell ref="O14:Q14"/>
    <mergeCell ref="A13:B13"/>
    <mergeCell ref="C13:D13"/>
    <mergeCell ref="E13:G13"/>
    <mergeCell ref="H13:J13"/>
    <mergeCell ref="L13:N13"/>
    <mergeCell ref="O13:Q13"/>
    <mergeCell ref="A12:B12"/>
    <mergeCell ref="C12:D12"/>
    <mergeCell ref="E12:G12"/>
    <mergeCell ref="H12:J12"/>
    <mergeCell ref="L12:N12"/>
    <mergeCell ref="O12:Q12"/>
    <mergeCell ref="A11:B11"/>
    <mergeCell ref="C11:D11"/>
    <mergeCell ref="E11:G11"/>
    <mergeCell ref="H11:J11"/>
    <mergeCell ref="L11:N11"/>
    <mergeCell ref="O11:Q11"/>
    <mergeCell ref="A6:T6"/>
    <mergeCell ref="A7:T7"/>
    <mergeCell ref="A8:T8"/>
    <mergeCell ref="A9:T9"/>
    <mergeCell ref="A10:B10"/>
    <mergeCell ref="C10:D10"/>
    <mergeCell ref="E10:G10"/>
    <mergeCell ref="H10:J10"/>
    <mergeCell ref="L10:N10"/>
    <mergeCell ref="O10:Q10"/>
    <mergeCell ref="A4:F4"/>
    <mergeCell ref="H4:J4"/>
    <mergeCell ref="K4:P4"/>
    <mergeCell ref="Q4:T4"/>
    <mergeCell ref="A5:F5"/>
    <mergeCell ref="H5:J5"/>
    <mergeCell ref="K5:P5"/>
    <mergeCell ref="Q5:T5"/>
    <mergeCell ref="A1:T1"/>
    <mergeCell ref="A2:J2"/>
    <mergeCell ref="K2:M2"/>
    <mergeCell ref="N2:P2"/>
    <mergeCell ref="A3:J3"/>
    <mergeCell ref="K3:M3"/>
    <mergeCell ref="N3:P3"/>
    <mergeCell ref="Q3:S3"/>
  </mergeCells>
  <pageMargins left="0.59055118110236227" right="0.39370078740157483" top="0.39370078740157483" bottom="0.39370078740157483" header="0.51181102362204722" footer="0.39370078740157483"/>
  <pageSetup paperSize="9" scale="57" fitToHeight="2" orientation="portrait" r:id="rId1"/>
  <headerFooter alignWithMargins="0">
    <oddFooter>Side &amp;P av &amp;N</oddFooter>
  </headerFooter>
  <rowBreaks count="1" manualBreakCount="1">
    <brk id="36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2"/>
  <dimension ref="A1:CY333"/>
  <sheetViews>
    <sheetView showGridLines="0" zoomScale="80" zoomScaleNormal="80" workbookViewId="0">
      <selection activeCell="A3" sqref="A3:J3"/>
    </sheetView>
  </sheetViews>
  <sheetFormatPr baseColWidth="10" defaultColWidth="9.140625" defaultRowHeight="12.75" x14ac:dyDescent="0.2"/>
  <cols>
    <col min="1" max="1" width="3.42578125" customWidth="1"/>
    <col min="2" max="2" width="12" customWidth="1"/>
    <col min="3" max="3" width="7.28515625" customWidth="1"/>
    <col min="4" max="4" width="5" customWidth="1"/>
    <col min="5" max="5" width="11" customWidth="1"/>
    <col min="6" max="6" width="4.7109375" customWidth="1"/>
    <col min="7" max="7" width="12" customWidth="1"/>
    <col min="8" max="8" width="12.5703125" customWidth="1"/>
    <col min="9" max="9" width="6.140625" customWidth="1"/>
    <col min="10" max="10" width="6.42578125" customWidth="1"/>
    <col min="11" max="12" width="10.28515625" customWidth="1"/>
    <col min="13" max="14" width="5.28515625" customWidth="1"/>
    <col min="15" max="15" width="2.7109375" customWidth="1"/>
    <col min="16" max="16" width="3.85546875" customWidth="1"/>
    <col min="17" max="17" width="5.85546875" customWidth="1"/>
    <col min="18" max="18" width="11" customWidth="1"/>
    <col min="19" max="19" width="12.5703125" customWidth="1"/>
    <col min="20" max="20" width="12.140625" customWidth="1"/>
  </cols>
  <sheetData>
    <row r="1" spans="1:103" ht="99.95" customHeight="1" x14ac:dyDescent="0.2">
      <c r="A1" s="380" t="s">
        <v>56</v>
      </c>
      <c r="B1" s="380"/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0"/>
      <c r="O1" s="380"/>
      <c r="P1" s="380"/>
      <c r="Q1" s="380"/>
      <c r="R1" s="380"/>
      <c r="S1" s="380"/>
      <c r="T1" s="380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3"/>
      <c r="AO1" s="3"/>
    </row>
    <row r="2" spans="1:103" s="14" customFormat="1" ht="18" customHeight="1" x14ac:dyDescent="0.25">
      <c r="A2" s="619" t="s">
        <v>48</v>
      </c>
      <c r="B2" s="620"/>
      <c r="C2" s="620"/>
      <c r="D2" s="620"/>
      <c r="E2" s="620"/>
      <c r="F2" s="620"/>
      <c r="G2" s="620"/>
      <c r="H2" s="620"/>
      <c r="I2" s="620"/>
      <c r="J2" s="621"/>
      <c r="K2" s="622" t="s">
        <v>49</v>
      </c>
      <c r="L2" s="623"/>
      <c r="M2" s="624"/>
      <c r="N2" s="625" t="s">
        <v>50</v>
      </c>
      <c r="O2" s="626"/>
      <c r="P2" s="627"/>
      <c r="Q2" s="10" t="s">
        <v>51</v>
      </c>
      <c r="R2" s="8"/>
      <c r="S2" s="9"/>
      <c r="T2" s="11" t="s">
        <v>50</v>
      </c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3"/>
      <c r="AO2" s="13"/>
    </row>
    <row r="3" spans="1:103" s="1" customFormat="1" ht="36" customHeight="1" x14ac:dyDescent="0.2">
      <c r="A3" s="374"/>
      <c r="B3" s="390"/>
      <c r="C3" s="390"/>
      <c r="D3" s="390"/>
      <c r="E3" s="390"/>
      <c r="F3" s="390"/>
      <c r="G3" s="390"/>
      <c r="H3" s="390"/>
      <c r="I3" s="390"/>
      <c r="J3" s="391"/>
      <c r="K3" s="392"/>
      <c r="L3" s="393"/>
      <c r="M3" s="394"/>
      <c r="N3" s="395"/>
      <c r="O3" s="396"/>
      <c r="P3" s="397"/>
      <c r="Q3" s="398"/>
      <c r="R3" s="393"/>
      <c r="S3" s="394"/>
      <c r="T3" s="15"/>
      <c r="U3" s="16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8"/>
      <c r="AO3" s="18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</row>
    <row r="4" spans="1:103" s="22" customFormat="1" ht="18" customHeight="1" x14ac:dyDescent="0.2">
      <c r="A4" s="613" t="s">
        <v>52</v>
      </c>
      <c r="B4" s="614"/>
      <c r="C4" s="614"/>
      <c r="D4" s="614"/>
      <c r="E4" s="614"/>
      <c r="F4" s="615"/>
      <c r="G4" s="19" t="s">
        <v>53</v>
      </c>
      <c r="H4" s="616" t="s">
        <v>54</v>
      </c>
      <c r="I4" s="616"/>
      <c r="J4" s="616"/>
      <c r="K4" s="616" t="s">
        <v>55</v>
      </c>
      <c r="L4" s="617"/>
      <c r="M4" s="617"/>
      <c r="N4" s="617"/>
      <c r="O4" s="617"/>
      <c r="P4" s="617"/>
      <c r="Q4" s="616" t="s">
        <v>57</v>
      </c>
      <c r="R4" s="617"/>
      <c r="S4" s="617"/>
      <c r="T4" s="618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1"/>
      <c r="AO4" s="21"/>
    </row>
    <row r="5" spans="1:103" ht="36" customHeight="1" x14ac:dyDescent="0.2">
      <c r="A5" s="374"/>
      <c r="B5" s="375"/>
      <c r="C5" s="375"/>
      <c r="D5" s="375"/>
      <c r="E5" s="375"/>
      <c r="F5" s="376"/>
      <c r="G5" s="23"/>
      <c r="H5" s="377"/>
      <c r="I5" s="377"/>
      <c r="J5" s="377"/>
      <c r="K5" s="377"/>
      <c r="L5" s="378"/>
      <c r="M5" s="378"/>
      <c r="N5" s="378"/>
      <c r="O5" s="378"/>
      <c r="P5" s="378"/>
      <c r="Q5" s="377"/>
      <c r="R5" s="378"/>
      <c r="S5" s="378"/>
      <c r="T5" s="379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3"/>
      <c r="AO5" s="3"/>
    </row>
    <row r="6" spans="1:103" s="22" customFormat="1" ht="18" customHeight="1" x14ac:dyDescent="0.2">
      <c r="A6" s="628" t="s">
        <v>82</v>
      </c>
      <c r="B6" s="629"/>
      <c r="C6" s="629"/>
      <c r="D6" s="629"/>
      <c r="E6" s="617"/>
      <c r="F6" s="617"/>
      <c r="G6" s="617"/>
      <c r="H6" s="617"/>
      <c r="I6" s="617"/>
      <c r="J6" s="617"/>
      <c r="K6" s="617"/>
      <c r="L6" s="617"/>
      <c r="M6" s="617"/>
      <c r="N6" s="617"/>
      <c r="O6" s="617"/>
      <c r="P6" s="617"/>
      <c r="Q6" s="617"/>
      <c r="R6" s="617"/>
      <c r="S6" s="617"/>
      <c r="T6" s="618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1"/>
      <c r="AO6" s="21"/>
    </row>
    <row r="7" spans="1:103" ht="36" customHeight="1" x14ac:dyDescent="0.2">
      <c r="A7" s="409"/>
      <c r="B7" s="410"/>
      <c r="C7" s="410"/>
      <c r="D7" s="410"/>
      <c r="E7" s="410"/>
      <c r="F7" s="410"/>
      <c r="G7" s="410"/>
      <c r="H7" s="410"/>
      <c r="I7" s="410"/>
      <c r="J7" s="410"/>
      <c r="K7" s="410"/>
      <c r="L7" s="410"/>
      <c r="M7" s="410"/>
      <c r="N7" s="410"/>
      <c r="O7" s="410"/>
      <c r="P7" s="410"/>
      <c r="Q7" s="410"/>
      <c r="R7" s="410"/>
      <c r="S7" s="410"/>
      <c r="T7" s="411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3"/>
      <c r="AO7" s="3"/>
    </row>
    <row r="8" spans="1:103" ht="24" customHeight="1" x14ac:dyDescent="0.2">
      <c r="A8" s="412"/>
      <c r="B8" s="413"/>
      <c r="C8" s="413"/>
      <c r="D8" s="413"/>
      <c r="E8" s="413"/>
      <c r="F8" s="413"/>
      <c r="G8" s="413"/>
      <c r="H8" s="413"/>
      <c r="I8" s="413"/>
      <c r="J8" s="413"/>
      <c r="K8" s="413"/>
      <c r="L8" s="413"/>
      <c r="M8" s="413"/>
      <c r="N8" s="413"/>
      <c r="O8" s="413"/>
      <c r="P8" s="413"/>
      <c r="Q8" s="413"/>
      <c r="R8" s="413"/>
      <c r="S8" s="413"/>
      <c r="T8" s="413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3"/>
      <c r="AO8" s="3"/>
    </row>
    <row r="9" spans="1:103" ht="24" customHeight="1" x14ac:dyDescent="0.2">
      <c r="A9" s="630" t="s">
        <v>58</v>
      </c>
      <c r="B9" s="631"/>
      <c r="C9" s="631"/>
      <c r="D9" s="631"/>
      <c r="E9" s="631"/>
      <c r="F9" s="631"/>
      <c r="G9" s="631"/>
      <c r="H9" s="631"/>
      <c r="I9" s="631"/>
      <c r="J9" s="631"/>
      <c r="K9" s="631"/>
      <c r="L9" s="631"/>
      <c r="M9" s="631"/>
      <c r="N9" s="631"/>
      <c r="O9" s="631"/>
      <c r="P9" s="631"/>
      <c r="Q9" s="631"/>
      <c r="R9" s="631"/>
      <c r="S9" s="631"/>
      <c r="T9" s="632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3"/>
      <c r="AO9" s="3"/>
    </row>
    <row r="10" spans="1:103" s="2" customFormat="1" ht="30" customHeight="1" x14ac:dyDescent="0.2">
      <c r="A10" s="633" t="s">
        <v>32</v>
      </c>
      <c r="B10" s="634"/>
      <c r="C10" s="634" t="s">
        <v>59</v>
      </c>
      <c r="D10" s="634"/>
      <c r="E10" s="634" t="s">
        <v>67</v>
      </c>
      <c r="F10" s="634"/>
      <c r="G10" s="634"/>
      <c r="H10" s="634" t="s">
        <v>68</v>
      </c>
      <c r="I10" s="634"/>
      <c r="J10" s="634"/>
      <c r="K10" s="24" t="s">
        <v>60</v>
      </c>
      <c r="L10" s="635" t="s">
        <v>61</v>
      </c>
      <c r="M10" s="635"/>
      <c r="N10" s="635"/>
      <c r="O10" s="635" t="s">
        <v>1</v>
      </c>
      <c r="P10" s="635"/>
      <c r="Q10" s="635"/>
      <c r="R10" s="25" t="s">
        <v>62</v>
      </c>
      <c r="S10" s="25" t="s">
        <v>63</v>
      </c>
      <c r="T10" s="26" t="s">
        <v>64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4"/>
      <c r="AO10" s="4"/>
    </row>
    <row r="11" spans="1:103" ht="36" customHeight="1" x14ac:dyDescent="0.2">
      <c r="A11" s="399"/>
      <c r="B11" s="400"/>
      <c r="C11" s="401"/>
      <c r="D11" s="402"/>
      <c r="E11" s="403"/>
      <c r="F11" s="404"/>
      <c r="G11" s="404"/>
      <c r="H11" s="403"/>
      <c r="I11" s="404"/>
      <c r="J11" s="404"/>
      <c r="K11" s="28"/>
      <c r="L11" s="403"/>
      <c r="M11" s="404"/>
      <c r="N11" s="404"/>
      <c r="O11" s="405"/>
      <c r="P11" s="406"/>
      <c r="Q11" s="406"/>
      <c r="R11" s="30"/>
      <c r="S11" s="29"/>
      <c r="T11" s="31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3"/>
      <c r="AO11" s="3"/>
    </row>
    <row r="12" spans="1:103" ht="36" customHeight="1" x14ac:dyDescent="0.2">
      <c r="A12" s="420"/>
      <c r="B12" s="421"/>
      <c r="C12" s="401"/>
      <c r="D12" s="402"/>
      <c r="E12" s="403"/>
      <c r="F12" s="404"/>
      <c r="G12" s="404"/>
      <c r="H12" s="403"/>
      <c r="I12" s="404"/>
      <c r="J12" s="404"/>
      <c r="K12" s="28"/>
      <c r="L12" s="403"/>
      <c r="M12" s="404"/>
      <c r="N12" s="404"/>
      <c r="O12" s="405"/>
      <c r="P12" s="406"/>
      <c r="Q12" s="406"/>
      <c r="R12" s="30"/>
      <c r="S12" s="29"/>
      <c r="T12" s="31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3"/>
      <c r="AO12" s="3"/>
    </row>
    <row r="13" spans="1:103" ht="36" customHeight="1" x14ac:dyDescent="0.2">
      <c r="A13" s="420"/>
      <c r="B13" s="421"/>
      <c r="C13" s="401"/>
      <c r="D13" s="402"/>
      <c r="E13" s="403"/>
      <c r="F13" s="404"/>
      <c r="G13" s="404"/>
      <c r="H13" s="403"/>
      <c r="I13" s="404"/>
      <c r="J13" s="404"/>
      <c r="K13" s="28"/>
      <c r="L13" s="403"/>
      <c r="M13" s="404"/>
      <c r="N13" s="404"/>
      <c r="O13" s="405"/>
      <c r="P13" s="406"/>
      <c r="Q13" s="406"/>
      <c r="R13" s="30"/>
      <c r="S13" s="29"/>
      <c r="T13" s="31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3"/>
      <c r="AO13" s="3"/>
    </row>
    <row r="14" spans="1:103" ht="36" customHeight="1" x14ac:dyDescent="0.2">
      <c r="A14" s="611"/>
      <c r="B14" s="423"/>
      <c r="C14" s="424"/>
      <c r="D14" s="425"/>
      <c r="E14" s="426"/>
      <c r="F14" s="427"/>
      <c r="G14" s="427"/>
      <c r="H14" s="426"/>
      <c r="I14" s="427"/>
      <c r="J14" s="427"/>
      <c r="K14" s="32"/>
      <c r="L14" s="426"/>
      <c r="M14" s="427"/>
      <c r="N14" s="427"/>
      <c r="O14" s="428"/>
      <c r="P14" s="429"/>
      <c r="Q14" s="429"/>
      <c r="R14" s="34"/>
      <c r="S14" s="33"/>
      <c r="T14" s="35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3"/>
      <c r="AO14" s="3"/>
    </row>
    <row r="15" spans="1:103" ht="36" customHeight="1" x14ac:dyDescent="0.2">
      <c r="A15" s="420"/>
      <c r="B15" s="421"/>
      <c r="C15" s="401"/>
      <c r="D15" s="402"/>
      <c r="E15" s="403"/>
      <c r="F15" s="404"/>
      <c r="G15" s="404"/>
      <c r="H15" s="403"/>
      <c r="I15" s="404"/>
      <c r="J15" s="404"/>
      <c r="K15" s="28"/>
      <c r="L15" s="403"/>
      <c r="M15" s="404"/>
      <c r="N15" s="404"/>
      <c r="O15" s="405"/>
      <c r="P15" s="406"/>
      <c r="Q15" s="406"/>
      <c r="R15" s="30"/>
      <c r="S15" s="29"/>
      <c r="T15" s="31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3"/>
      <c r="AO15" s="3"/>
    </row>
    <row r="16" spans="1:103" ht="36" customHeight="1" x14ac:dyDescent="0.2">
      <c r="A16" s="420"/>
      <c r="B16" s="421"/>
      <c r="C16" s="401"/>
      <c r="D16" s="402"/>
      <c r="E16" s="403"/>
      <c r="F16" s="404"/>
      <c r="G16" s="404"/>
      <c r="H16" s="403"/>
      <c r="I16" s="404"/>
      <c r="J16" s="404"/>
      <c r="K16" s="28"/>
      <c r="L16" s="403"/>
      <c r="M16" s="404"/>
      <c r="N16" s="404"/>
      <c r="O16" s="405"/>
      <c r="P16" s="406"/>
      <c r="Q16" s="406"/>
      <c r="R16" s="30"/>
      <c r="S16" s="29"/>
      <c r="T16" s="31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3"/>
      <c r="AO16" s="3"/>
    </row>
    <row r="17" spans="1:41" ht="36" customHeight="1" x14ac:dyDescent="0.2">
      <c r="A17" s="420"/>
      <c r="B17" s="421"/>
      <c r="C17" s="401"/>
      <c r="D17" s="402"/>
      <c r="E17" s="403"/>
      <c r="F17" s="404"/>
      <c r="G17" s="404"/>
      <c r="H17" s="403"/>
      <c r="I17" s="404"/>
      <c r="J17" s="404"/>
      <c r="K17" s="28"/>
      <c r="L17" s="403"/>
      <c r="M17" s="404"/>
      <c r="N17" s="404"/>
      <c r="O17" s="405"/>
      <c r="P17" s="406"/>
      <c r="Q17" s="406"/>
      <c r="R17" s="30"/>
      <c r="S17" s="29"/>
      <c r="T17" s="31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3"/>
      <c r="AO17" s="3"/>
    </row>
    <row r="18" spans="1:41" ht="36" customHeight="1" x14ac:dyDescent="0.2">
      <c r="A18" s="420"/>
      <c r="B18" s="421"/>
      <c r="C18" s="401"/>
      <c r="D18" s="402"/>
      <c r="E18" s="403"/>
      <c r="F18" s="404"/>
      <c r="G18" s="404"/>
      <c r="H18" s="403"/>
      <c r="I18" s="404"/>
      <c r="J18" s="404"/>
      <c r="K18" s="28"/>
      <c r="L18" s="403"/>
      <c r="M18" s="404"/>
      <c r="N18" s="404"/>
      <c r="O18" s="405"/>
      <c r="P18" s="406"/>
      <c r="Q18" s="406"/>
      <c r="R18" s="30"/>
      <c r="S18" s="29"/>
      <c r="T18" s="31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3"/>
      <c r="AO18" s="3"/>
    </row>
    <row r="19" spans="1:41" ht="36" customHeight="1" x14ac:dyDescent="0.2">
      <c r="A19" s="420"/>
      <c r="B19" s="421"/>
      <c r="C19" s="401"/>
      <c r="D19" s="402"/>
      <c r="E19" s="403"/>
      <c r="F19" s="404"/>
      <c r="G19" s="404"/>
      <c r="H19" s="403"/>
      <c r="I19" s="404"/>
      <c r="J19" s="404"/>
      <c r="K19" s="28"/>
      <c r="L19" s="403"/>
      <c r="M19" s="404"/>
      <c r="N19" s="404"/>
      <c r="O19" s="405"/>
      <c r="P19" s="406"/>
      <c r="Q19" s="406"/>
      <c r="R19" s="30"/>
      <c r="S19" s="29"/>
      <c r="T19" s="31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3"/>
      <c r="AO19" s="3"/>
    </row>
    <row r="20" spans="1:41" ht="36" customHeight="1" x14ac:dyDescent="0.2">
      <c r="A20" s="420"/>
      <c r="B20" s="421"/>
      <c r="C20" s="401"/>
      <c r="D20" s="402"/>
      <c r="E20" s="403"/>
      <c r="F20" s="404"/>
      <c r="G20" s="404"/>
      <c r="H20" s="403"/>
      <c r="I20" s="404"/>
      <c r="J20" s="404"/>
      <c r="K20" s="28"/>
      <c r="L20" s="403"/>
      <c r="M20" s="404"/>
      <c r="N20" s="404"/>
      <c r="O20" s="405"/>
      <c r="P20" s="406"/>
      <c r="Q20" s="406"/>
      <c r="R20" s="30"/>
      <c r="S20" s="29"/>
      <c r="T20" s="31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3"/>
      <c r="AO20" s="3"/>
    </row>
    <row r="21" spans="1:41" ht="36" customHeight="1" x14ac:dyDescent="0.2">
      <c r="A21" s="420"/>
      <c r="B21" s="421"/>
      <c r="C21" s="401"/>
      <c r="D21" s="402"/>
      <c r="E21" s="403"/>
      <c r="F21" s="404"/>
      <c r="G21" s="404"/>
      <c r="H21" s="403"/>
      <c r="I21" s="404"/>
      <c r="J21" s="404"/>
      <c r="K21" s="28"/>
      <c r="L21" s="403"/>
      <c r="M21" s="404"/>
      <c r="N21" s="404"/>
      <c r="O21" s="405"/>
      <c r="P21" s="406"/>
      <c r="Q21" s="406"/>
      <c r="R21" s="30"/>
      <c r="S21" s="29"/>
      <c r="T21" s="31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3"/>
      <c r="AO21" s="3"/>
    </row>
    <row r="22" spans="1:41" ht="36" customHeight="1" x14ac:dyDescent="0.2">
      <c r="A22" s="420"/>
      <c r="B22" s="421"/>
      <c r="C22" s="401"/>
      <c r="D22" s="402"/>
      <c r="E22" s="403"/>
      <c r="F22" s="404"/>
      <c r="G22" s="404"/>
      <c r="H22" s="403"/>
      <c r="I22" s="404"/>
      <c r="J22" s="404"/>
      <c r="K22" s="28"/>
      <c r="L22" s="403"/>
      <c r="M22" s="404"/>
      <c r="N22" s="404"/>
      <c r="O22" s="405"/>
      <c r="P22" s="406"/>
      <c r="Q22" s="406"/>
      <c r="R22" s="30"/>
      <c r="S22" s="29"/>
      <c r="T22" s="31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3"/>
      <c r="AO22" s="3"/>
    </row>
    <row r="23" spans="1:41" ht="36" customHeight="1" x14ac:dyDescent="0.2">
      <c r="A23" s="640"/>
      <c r="B23" s="641"/>
      <c r="C23" s="641"/>
      <c r="D23" s="641"/>
      <c r="E23" s="641"/>
      <c r="F23" s="641"/>
      <c r="G23" s="641"/>
      <c r="H23" s="641"/>
      <c r="I23" s="641"/>
      <c r="J23" s="641"/>
      <c r="K23" s="641"/>
      <c r="L23" s="642" t="s">
        <v>65</v>
      </c>
      <c r="M23" s="643"/>
      <c r="N23" s="643"/>
      <c r="O23" s="435">
        <f>SUM(O11:Q22)</f>
        <v>0</v>
      </c>
      <c r="P23" s="436"/>
      <c r="Q23" s="436"/>
      <c r="R23" s="36" t="s">
        <v>3</v>
      </c>
      <c r="S23" s="37">
        <f>SUM(S11:S22)</f>
        <v>0</v>
      </c>
      <c r="T23" s="38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3"/>
      <c r="AO23" s="3"/>
    </row>
    <row r="24" spans="1:41" ht="36" customHeight="1" x14ac:dyDescent="0.25">
      <c r="A24" s="644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6"/>
      <c r="M24" s="646"/>
      <c r="N24" s="647"/>
      <c r="O24" s="648" t="s">
        <v>66</v>
      </c>
      <c r="P24" s="649"/>
      <c r="Q24" s="649"/>
      <c r="R24" s="650"/>
      <c r="S24" s="78"/>
      <c r="T24" s="39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3"/>
      <c r="AO24" s="3"/>
    </row>
    <row r="25" spans="1:41" ht="24" customHeight="1" x14ac:dyDescent="0.2">
      <c r="A25" s="412"/>
      <c r="B25" s="413"/>
      <c r="C25" s="413"/>
      <c r="D25" s="413"/>
      <c r="E25" s="413"/>
      <c r="F25" s="413"/>
      <c r="G25" s="413"/>
      <c r="H25" s="413"/>
      <c r="I25" s="413"/>
      <c r="J25" s="413"/>
      <c r="K25" s="413"/>
      <c r="L25" s="413"/>
      <c r="M25" s="413"/>
      <c r="N25" s="413"/>
      <c r="O25" s="413"/>
      <c r="P25" s="413"/>
      <c r="Q25" s="413"/>
      <c r="R25" s="413"/>
      <c r="S25" s="413"/>
      <c r="T25" s="413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3"/>
      <c r="AO25" s="3"/>
    </row>
    <row r="26" spans="1:41" s="2" customFormat="1" ht="36" customHeight="1" x14ac:dyDescent="0.2">
      <c r="A26" s="630" t="s">
        <v>44</v>
      </c>
      <c r="B26" s="631"/>
      <c r="C26" s="631"/>
      <c r="D26" s="631"/>
      <c r="E26" s="631"/>
      <c r="F26" s="631"/>
      <c r="G26" s="631"/>
      <c r="H26" s="631"/>
      <c r="I26" s="631"/>
      <c r="J26" s="631"/>
      <c r="K26" s="631"/>
      <c r="L26" s="631"/>
      <c r="M26" s="631"/>
      <c r="N26" s="631"/>
      <c r="O26" s="636" t="s">
        <v>3</v>
      </c>
      <c r="P26" s="637"/>
      <c r="Q26" s="637"/>
      <c r="R26" s="40" t="s">
        <v>41</v>
      </c>
      <c r="S26" s="40" t="s">
        <v>1</v>
      </c>
      <c r="T26" s="67" t="s">
        <v>78</v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4"/>
      <c r="AO26" s="4"/>
    </row>
    <row r="27" spans="1:41" s="2" customFormat="1" ht="36" customHeight="1" x14ac:dyDescent="0.2">
      <c r="A27" s="638" t="s">
        <v>76</v>
      </c>
      <c r="B27" s="639"/>
      <c r="C27" s="639"/>
      <c r="D27" s="639"/>
      <c r="E27" s="639"/>
      <c r="F27" s="639"/>
      <c r="G27" s="639"/>
      <c r="H27" s="639"/>
      <c r="I27" s="639"/>
      <c r="J27" s="639"/>
      <c r="K27" s="639"/>
      <c r="L27" s="639"/>
      <c r="M27" s="639"/>
      <c r="N27" s="639"/>
      <c r="O27" s="449"/>
      <c r="P27" s="450"/>
      <c r="Q27" s="450"/>
      <c r="R27" s="41">
        <v>4.0999999999999996</v>
      </c>
      <c r="S27" s="42">
        <f>+O27*R27</f>
        <v>0</v>
      </c>
      <c r="T27" s="43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4"/>
      <c r="AO27" s="4"/>
    </row>
    <row r="28" spans="1:41" s="2" customFormat="1" ht="36" customHeight="1" x14ac:dyDescent="0.2">
      <c r="A28" s="638" t="s">
        <v>77</v>
      </c>
      <c r="B28" s="639"/>
      <c r="C28" s="639"/>
      <c r="D28" s="639"/>
      <c r="E28" s="639"/>
      <c r="F28" s="639"/>
      <c r="G28" s="639"/>
      <c r="H28" s="639"/>
      <c r="I28" s="639"/>
      <c r="J28" s="639"/>
      <c r="K28" s="639"/>
      <c r="L28" s="639"/>
      <c r="M28" s="639"/>
      <c r="N28" s="639"/>
      <c r="O28" s="449"/>
      <c r="P28" s="450"/>
      <c r="Q28" s="450"/>
      <c r="R28" s="41">
        <v>3.45</v>
      </c>
      <c r="S28" s="42">
        <f>+O28*R28</f>
        <v>0</v>
      </c>
      <c r="T28" s="43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4"/>
      <c r="AO28" s="4"/>
    </row>
    <row r="29" spans="1:41" s="2" customFormat="1" ht="36" customHeight="1" x14ac:dyDescent="0.2">
      <c r="A29" s="638" t="s">
        <v>10</v>
      </c>
      <c r="B29" s="639"/>
      <c r="C29" s="639"/>
      <c r="D29" s="668" t="s">
        <v>12</v>
      </c>
      <c r="E29" s="639"/>
      <c r="F29" s="639"/>
      <c r="G29" s="639"/>
      <c r="H29" s="447"/>
      <c r="I29" s="448"/>
      <c r="J29" s="448"/>
      <c r="K29" s="448"/>
      <c r="L29" s="448"/>
      <c r="M29" s="448"/>
      <c r="N29" s="448"/>
      <c r="O29" s="449"/>
      <c r="P29" s="450"/>
      <c r="Q29" s="450"/>
      <c r="R29" s="41">
        <v>1</v>
      </c>
      <c r="S29" s="42">
        <f>+O29*R29</f>
        <v>0</v>
      </c>
      <c r="T29" s="43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4"/>
      <c r="AO29" s="4"/>
    </row>
    <row r="30" spans="1:41" ht="36" customHeight="1" x14ac:dyDescent="0.2">
      <c r="A30" s="669" t="s">
        <v>40</v>
      </c>
      <c r="B30" s="670"/>
      <c r="C30" s="671"/>
      <c r="D30" s="454"/>
      <c r="E30" s="455"/>
      <c r="F30" s="455"/>
      <c r="G30" s="455"/>
      <c r="H30" s="455"/>
      <c r="I30" s="455"/>
      <c r="J30" s="455"/>
      <c r="K30" s="455"/>
      <c r="L30" s="455"/>
      <c r="M30" s="455"/>
      <c r="N30" s="456"/>
      <c r="O30" s="457"/>
      <c r="P30" s="458"/>
      <c r="Q30" s="459"/>
      <c r="R30" s="90"/>
      <c r="S30" s="82">
        <f>+O30*R30</f>
        <v>0</v>
      </c>
      <c r="T30" s="46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3"/>
      <c r="AO30" s="3"/>
    </row>
    <row r="31" spans="1:41" ht="24" customHeight="1" x14ac:dyDescent="0.2">
      <c r="A31" s="412"/>
      <c r="B31" s="413"/>
      <c r="C31" s="413"/>
      <c r="D31" s="413"/>
      <c r="E31" s="413"/>
      <c r="F31" s="413"/>
      <c r="G31" s="413"/>
      <c r="H31" s="413"/>
      <c r="I31" s="413"/>
      <c r="J31" s="413"/>
      <c r="K31" s="413"/>
      <c r="L31" s="413"/>
      <c r="M31" s="413"/>
      <c r="N31" s="413"/>
      <c r="O31" s="413"/>
      <c r="P31" s="413"/>
      <c r="Q31" s="413"/>
      <c r="R31" s="413"/>
      <c r="S31" s="413"/>
      <c r="T31" s="413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3"/>
      <c r="AO31" s="3"/>
    </row>
    <row r="32" spans="1:41" s="2" customFormat="1" ht="20.100000000000001" customHeight="1" x14ac:dyDescent="0.2">
      <c r="A32" s="655" t="s">
        <v>39</v>
      </c>
      <c r="B32" s="656"/>
      <c r="C32" s="656"/>
      <c r="D32" s="656"/>
      <c r="E32" s="656"/>
      <c r="F32" s="656"/>
      <c r="G32" s="656"/>
      <c r="H32" s="657"/>
      <c r="I32" s="657"/>
      <c r="J32" s="658"/>
      <c r="K32" s="47"/>
      <c r="L32" s="47"/>
      <c r="M32" s="663" t="s">
        <v>36</v>
      </c>
      <c r="N32" s="664"/>
      <c r="O32" s="664"/>
      <c r="P32" s="664"/>
      <c r="Q32" s="664"/>
      <c r="R32" s="664"/>
      <c r="S32" s="636" t="s">
        <v>1</v>
      </c>
      <c r="T32" s="666" t="s">
        <v>78</v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4"/>
      <c r="AO32" s="4"/>
    </row>
    <row r="33" spans="1:41" s="2" customFormat="1" ht="20.100000000000001" customHeight="1" x14ac:dyDescent="0.2">
      <c r="A33" s="659"/>
      <c r="B33" s="660"/>
      <c r="C33" s="660"/>
      <c r="D33" s="660"/>
      <c r="E33" s="660"/>
      <c r="F33" s="660"/>
      <c r="G33" s="660"/>
      <c r="H33" s="661"/>
      <c r="I33" s="661"/>
      <c r="J33" s="662"/>
      <c r="K33" s="24" t="s">
        <v>38</v>
      </c>
      <c r="L33" s="24" t="s">
        <v>41</v>
      </c>
      <c r="M33" s="672" t="s">
        <v>29</v>
      </c>
      <c r="N33" s="673"/>
      <c r="O33" s="674" t="s">
        <v>16</v>
      </c>
      <c r="P33" s="673"/>
      <c r="Q33" s="675"/>
      <c r="R33" s="87" t="s">
        <v>18</v>
      </c>
      <c r="S33" s="665"/>
      <c r="T33" s="66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4"/>
      <c r="AO33" s="4"/>
    </row>
    <row r="34" spans="1:41" s="2" customFormat="1" ht="36" customHeight="1" x14ac:dyDescent="0.2">
      <c r="A34" s="651" t="s">
        <v>86</v>
      </c>
      <c r="B34" s="652"/>
      <c r="C34" s="652"/>
      <c r="D34" s="652"/>
      <c r="E34" s="652"/>
      <c r="F34" s="652"/>
      <c r="G34" s="652"/>
      <c r="H34" s="653"/>
      <c r="I34" s="653"/>
      <c r="J34" s="654"/>
      <c r="K34" s="48"/>
      <c r="L34" s="41">
        <v>280</v>
      </c>
      <c r="M34" s="466"/>
      <c r="N34" s="467"/>
      <c r="O34" s="468"/>
      <c r="P34" s="469"/>
      <c r="Q34" s="470"/>
      <c r="R34" s="88"/>
      <c r="S34" s="42">
        <f>+K34*L34-M34-O34-R34</f>
        <v>0</v>
      </c>
      <c r="T34" s="43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4"/>
      <c r="AO34" s="4"/>
    </row>
    <row r="35" spans="1:41" s="2" customFormat="1" ht="36" customHeight="1" x14ac:dyDescent="0.2">
      <c r="A35" s="689" t="s">
        <v>87</v>
      </c>
      <c r="B35" s="690"/>
      <c r="C35" s="690"/>
      <c r="D35" s="690"/>
      <c r="E35" s="690"/>
      <c r="F35" s="690"/>
      <c r="G35" s="690"/>
      <c r="H35" s="691"/>
      <c r="I35" s="691"/>
      <c r="J35" s="692"/>
      <c r="K35" s="65"/>
      <c r="L35" s="44">
        <v>520</v>
      </c>
      <c r="M35" s="475"/>
      <c r="N35" s="476"/>
      <c r="O35" s="477"/>
      <c r="P35" s="478"/>
      <c r="Q35" s="479"/>
      <c r="R35" s="89"/>
      <c r="S35" s="81">
        <f>+K35*L35-M35-O35-R35</f>
        <v>0</v>
      </c>
      <c r="T35" s="46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4"/>
      <c r="AO35" s="4"/>
    </row>
    <row r="36" spans="1:41" ht="36" customHeight="1" x14ac:dyDescent="0.2">
      <c r="A36" s="497" t="s">
        <v>88</v>
      </c>
      <c r="B36" s="498"/>
      <c r="C36" s="498"/>
      <c r="D36" s="498"/>
      <c r="E36" s="498"/>
      <c r="F36" s="498"/>
      <c r="G36" s="498"/>
      <c r="H36" s="498"/>
      <c r="I36" s="498"/>
      <c r="J36" s="498"/>
      <c r="K36" s="498"/>
      <c r="L36" s="498"/>
      <c r="M36" s="498"/>
      <c r="N36" s="498"/>
      <c r="O36" s="498"/>
      <c r="P36" s="498"/>
      <c r="Q36" s="498"/>
      <c r="R36" s="498"/>
      <c r="S36" s="498"/>
      <c r="T36" s="498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49"/>
      <c r="AO36" s="3"/>
    </row>
    <row r="37" spans="1:41" ht="20.100000000000001" customHeight="1" x14ac:dyDescent="0.2">
      <c r="A37" s="499"/>
      <c r="B37" s="500"/>
      <c r="C37" s="500"/>
      <c r="D37" s="500"/>
      <c r="E37" s="500"/>
      <c r="F37" s="500"/>
      <c r="G37" s="500"/>
      <c r="H37" s="500"/>
      <c r="I37" s="500"/>
      <c r="J37" s="500"/>
      <c r="K37" s="500"/>
      <c r="L37" s="500"/>
      <c r="M37" s="500"/>
      <c r="N37" s="500"/>
      <c r="O37" s="500"/>
      <c r="P37" s="500"/>
      <c r="Q37" s="500"/>
      <c r="R37" s="500"/>
      <c r="S37" s="500"/>
      <c r="T37" s="500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3"/>
      <c r="AO37" s="3"/>
    </row>
    <row r="38" spans="1:41" s="2" customFormat="1" ht="36" customHeight="1" x14ac:dyDescent="0.2">
      <c r="A38" s="693" t="s">
        <v>89</v>
      </c>
      <c r="B38" s="694"/>
      <c r="C38" s="694"/>
      <c r="D38" s="694"/>
      <c r="E38" s="694"/>
      <c r="F38" s="694"/>
      <c r="G38" s="694"/>
      <c r="H38" s="694"/>
      <c r="I38" s="694"/>
      <c r="J38" s="694"/>
      <c r="K38" s="694"/>
      <c r="L38" s="694"/>
      <c r="M38" s="694"/>
      <c r="N38" s="694"/>
      <c r="O38" s="694"/>
      <c r="P38" s="694"/>
      <c r="Q38" s="694"/>
      <c r="R38" s="694"/>
      <c r="S38" s="694"/>
      <c r="T38" s="694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4"/>
      <c r="AO38" s="4"/>
    </row>
    <row r="39" spans="1:41" ht="19.5" customHeight="1" x14ac:dyDescent="0.2">
      <c r="A39" s="676" t="s">
        <v>15</v>
      </c>
      <c r="B39" s="677"/>
      <c r="C39" s="677"/>
      <c r="D39" s="677"/>
      <c r="E39" s="677"/>
      <c r="F39" s="677"/>
      <c r="G39" s="677"/>
      <c r="H39" s="677"/>
      <c r="I39" s="677"/>
      <c r="J39" s="678"/>
      <c r="K39" s="679" t="s">
        <v>81</v>
      </c>
      <c r="L39" s="680"/>
      <c r="M39" s="683" t="s">
        <v>32</v>
      </c>
      <c r="N39" s="616"/>
      <c r="O39" s="616"/>
      <c r="P39" s="616"/>
      <c r="Q39" s="616"/>
      <c r="R39" s="50" t="s">
        <v>34</v>
      </c>
      <c r="S39" s="50" t="s">
        <v>11</v>
      </c>
      <c r="T39" s="51" t="s">
        <v>4</v>
      </c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3"/>
      <c r="AO39" s="3"/>
    </row>
    <row r="40" spans="1:41" ht="20.100000000000001" customHeight="1" x14ac:dyDescent="0.2">
      <c r="A40" s="684" t="s">
        <v>85</v>
      </c>
      <c r="B40" s="685"/>
      <c r="C40" s="685"/>
      <c r="D40" s="685"/>
      <c r="E40" s="685"/>
      <c r="F40" s="685"/>
      <c r="G40" s="685"/>
      <c r="H40" s="685"/>
      <c r="I40" s="685"/>
      <c r="J40" s="686"/>
      <c r="K40" s="681"/>
      <c r="L40" s="682"/>
      <c r="M40" s="687" t="s">
        <v>8</v>
      </c>
      <c r="N40" s="688"/>
      <c r="O40" s="52" t="s">
        <v>2</v>
      </c>
      <c r="P40" s="675" t="s">
        <v>7</v>
      </c>
      <c r="Q40" s="634"/>
      <c r="R40" s="24" t="s">
        <v>22</v>
      </c>
      <c r="S40" s="24" t="s">
        <v>21</v>
      </c>
      <c r="T40" s="53" t="s">
        <v>37</v>
      </c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3"/>
      <c r="AO40" s="3"/>
    </row>
    <row r="41" spans="1:41" ht="36" customHeight="1" x14ac:dyDescent="0.2">
      <c r="A41" s="516"/>
      <c r="B41" s="517"/>
      <c r="C41" s="517"/>
      <c r="D41" s="517"/>
      <c r="E41" s="517"/>
      <c r="F41" s="517"/>
      <c r="G41" s="517"/>
      <c r="H41" s="517"/>
      <c r="I41" s="517"/>
      <c r="J41" s="518"/>
      <c r="K41" s="519"/>
      <c r="L41" s="520"/>
      <c r="M41" s="521"/>
      <c r="N41" s="522"/>
      <c r="O41" s="54" t="s">
        <v>2</v>
      </c>
      <c r="P41" s="523"/>
      <c r="Q41" s="524"/>
      <c r="R41" s="55"/>
      <c r="S41" s="41"/>
      <c r="T41" s="43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3"/>
      <c r="AO41" s="3"/>
    </row>
    <row r="42" spans="1:41" ht="36" customHeight="1" x14ac:dyDescent="0.2">
      <c r="A42" s="516"/>
      <c r="B42" s="517"/>
      <c r="C42" s="517"/>
      <c r="D42" s="517"/>
      <c r="E42" s="517"/>
      <c r="F42" s="517"/>
      <c r="G42" s="517"/>
      <c r="H42" s="517"/>
      <c r="I42" s="517"/>
      <c r="J42" s="518"/>
      <c r="K42" s="519"/>
      <c r="L42" s="520"/>
      <c r="M42" s="521"/>
      <c r="N42" s="522"/>
      <c r="O42" s="54" t="s">
        <v>2</v>
      </c>
      <c r="P42" s="523"/>
      <c r="Q42" s="524"/>
      <c r="R42" s="56"/>
      <c r="S42" s="41"/>
      <c r="T42" s="43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3"/>
      <c r="AO42" s="3"/>
    </row>
    <row r="43" spans="1:41" s="2" customFormat="1" ht="36" customHeight="1" x14ac:dyDescent="0.2">
      <c r="A43" s="516"/>
      <c r="B43" s="517"/>
      <c r="C43" s="517"/>
      <c r="D43" s="517"/>
      <c r="E43" s="517"/>
      <c r="F43" s="517"/>
      <c r="G43" s="517"/>
      <c r="H43" s="517"/>
      <c r="I43" s="517"/>
      <c r="J43" s="518"/>
      <c r="K43" s="519"/>
      <c r="L43" s="520"/>
      <c r="M43" s="521"/>
      <c r="N43" s="522"/>
      <c r="O43" s="54" t="s">
        <v>2</v>
      </c>
      <c r="P43" s="523"/>
      <c r="Q43" s="524"/>
      <c r="R43" s="55"/>
      <c r="S43" s="41"/>
      <c r="T43" s="43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4"/>
      <c r="AO43" s="4"/>
    </row>
    <row r="44" spans="1:41" s="2" customFormat="1" ht="36" customHeight="1" x14ac:dyDescent="0.2">
      <c r="A44" s="525"/>
      <c r="B44" s="526"/>
      <c r="C44" s="526"/>
      <c r="D44" s="526"/>
      <c r="E44" s="526"/>
      <c r="F44" s="526"/>
      <c r="G44" s="526"/>
      <c r="H44" s="526"/>
      <c r="I44" s="526"/>
      <c r="J44" s="527"/>
      <c r="K44" s="528"/>
      <c r="L44" s="529"/>
      <c r="M44" s="530"/>
      <c r="N44" s="531"/>
      <c r="O44" s="54" t="s">
        <v>2</v>
      </c>
      <c r="P44" s="532"/>
      <c r="Q44" s="533"/>
      <c r="R44" s="57"/>
      <c r="S44" s="44"/>
      <c r="T44" s="46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4"/>
      <c r="AO44" s="4"/>
    </row>
    <row r="45" spans="1:41" s="2" customFormat="1" ht="24" customHeight="1" x14ac:dyDescent="0.2">
      <c r="A45" s="534"/>
      <c r="B45" s="535"/>
      <c r="C45" s="535"/>
      <c r="D45" s="535"/>
      <c r="E45" s="535"/>
      <c r="F45" s="535"/>
      <c r="G45" s="535"/>
      <c r="H45" s="535"/>
      <c r="I45" s="535"/>
      <c r="J45" s="535"/>
      <c r="K45" s="535"/>
      <c r="L45" s="535"/>
      <c r="M45" s="535"/>
      <c r="N45" s="535"/>
      <c r="O45" s="535"/>
      <c r="P45" s="535"/>
      <c r="Q45" s="535"/>
      <c r="R45" s="535"/>
      <c r="S45" s="535"/>
      <c r="T45" s="535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4"/>
      <c r="AO45" s="4"/>
    </row>
    <row r="46" spans="1:41" s="2" customFormat="1" ht="36" customHeight="1" x14ac:dyDescent="0.2">
      <c r="A46" s="630" t="s">
        <v>30</v>
      </c>
      <c r="B46" s="631"/>
      <c r="C46" s="631"/>
      <c r="D46" s="631"/>
      <c r="E46" s="631"/>
      <c r="F46" s="631"/>
      <c r="G46" s="631"/>
      <c r="H46" s="631"/>
      <c r="I46" s="631"/>
      <c r="J46" s="631"/>
      <c r="K46" s="58"/>
      <c r="L46" s="58"/>
      <c r="M46" s="697" t="s">
        <v>91</v>
      </c>
      <c r="N46" s="698"/>
      <c r="O46" s="698"/>
      <c r="P46" s="698"/>
      <c r="Q46" s="698"/>
      <c r="R46" s="698"/>
      <c r="S46" s="59"/>
      <c r="T46" s="60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4"/>
      <c r="AO46" s="4"/>
    </row>
    <row r="47" spans="1:41" s="2" customFormat="1" ht="18" customHeight="1" x14ac:dyDescent="0.2">
      <c r="A47" s="699" t="s">
        <v>92</v>
      </c>
      <c r="B47" s="677"/>
      <c r="C47" s="677"/>
      <c r="D47" s="677"/>
      <c r="E47" s="677"/>
      <c r="F47" s="677"/>
      <c r="G47" s="677"/>
      <c r="H47" s="677"/>
      <c r="I47" s="677"/>
      <c r="J47" s="678"/>
      <c r="K47" s="61"/>
      <c r="L47" s="61"/>
      <c r="M47" s="701"/>
      <c r="N47" s="702"/>
      <c r="O47" s="703"/>
      <c r="P47" s="704"/>
      <c r="Q47" s="705"/>
      <c r="R47" s="61"/>
      <c r="S47" s="62"/>
      <c r="T47" s="706" t="s">
        <v>78</v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4"/>
      <c r="AO47" s="4"/>
    </row>
    <row r="48" spans="1:41" s="2" customFormat="1" ht="18" customHeight="1" x14ac:dyDescent="0.2">
      <c r="A48" s="700"/>
      <c r="B48" s="685"/>
      <c r="C48" s="685"/>
      <c r="D48" s="685"/>
      <c r="E48" s="685"/>
      <c r="F48" s="685"/>
      <c r="G48" s="685"/>
      <c r="H48" s="685"/>
      <c r="I48" s="685"/>
      <c r="J48" s="686"/>
      <c r="K48" s="63" t="s">
        <v>38</v>
      </c>
      <c r="L48" s="63" t="s">
        <v>93</v>
      </c>
      <c r="M48" s="708" t="s">
        <v>29</v>
      </c>
      <c r="N48" s="709"/>
      <c r="O48" s="708" t="s">
        <v>16</v>
      </c>
      <c r="P48" s="709"/>
      <c r="Q48" s="709"/>
      <c r="R48" s="63" t="s">
        <v>18</v>
      </c>
      <c r="S48" s="64" t="s">
        <v>1</v>
      </c>
      <c r="T48" s="70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4"/>
      <c r="AO48" s="4"/>
    </row>
    <row r="49" spans="1:41" s="2" customFormat="1" ht="36" customHeight="1" x14ac:dyDescent="0.2">
      <c r="A49" s="651" t="s">
        <v>5</v>
      </c>
      <c r="B49" s="652"/>
      <c r="C49" s="652"/>
      <c r="D49" s="695"/>
      <c r="E49" s="695"/>
      <c r="F49" s="695"/>
      <c r="G49" s="695"/>
      <c r="H49" s="695"/>
      <c r="I49" s="695"/>
      <c r="J49" s="696"/>
      <c r="K49" s="48"/>
      <c r="L49" s="85">
        <v>710</v>
      </c>
      <c r="M49" s="551"/>
      <c r="N49" s="552"/>
      <c r="O49" s="551"/>
      <c r="P49" s="552"/>
      <c r="Q49" s="552"/>
      <c r="R49" s="41"/>
      <c r="S49" s="42">
        <f>(K49*L49)-M49-O49-R49</f>
        <v>0</v>
      </c>
      <c r="T49" s="43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4"/>
      <c r="AO49" s="4"/>
    </row>
    <row r="50" spans="1:41" s="2" customFormat="1" ht="36" customHeight="1" x14ac:dyDescent="0.2">
      <c r="A50" s="651" t="s">
        <v>24</v>
      </c>
      <c r="B50" s="652"/>
      <c r="C50" s="652"/>
      <c r="D50" s="695"/>
      <c r="E50" s="695"/>
      <c r="F50" s="695"/>
      <c r="G50" s="695"/>
      <c r="H50" s="695"/>
      <c r="I50" s="695"/>
      <c r="J50" s="696"/>
      <c r="K50" s="48"/>
      <c r="L50" s="41">
        <v>307</v>
      </c>
      <c r="M50" s="551"/>
      <c r="N50" s="552"/>
      <c r="O50" s="551"/>
      <c r="P50" s="552"/>
      <c r="Q50" s="552"/>
      <c r="R50" s="41"/>
      <c r="S50" s="42">
        <f>(K50*L50)-M50-O50-R50</f>
        <v>0</v>
      </c>
      <c r="T50" s="43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4"/>
      <c r="AO50" s="4"/>
    </row>
    <row r="51" spans="1:41" s="2" customFormat="1" ht="36" customHeight="1" x14ac:dyDescent="0.2">
      <c r="A51" s="651" t="s">
        <v>35</v>
      </c>
      <c r="B51" s="652"/>
      <c r="C51" s="652"/>
      <c r="D51" s="695"/>
      <c r="E51" s="695"/>
      <c r="F51" s="695"/>
      <c r="G51" s="695"/>
      <c r="H51" s="695"/>
      <c r="I51" s="695"/>
      <c r="J51" s="696"/>
      <c r="K51" s="48"/>
      <c r="L51" s="41">
        <v>200</v>
      </c>
      <c r="M51" s="551"/>
      <c r="N51" s="552"/>
      <c r="O51" s="551"/>
      <c r="P51" s="552"/>
      <c r="Q51" s="552"/>
      <c r="R51" s="41"/>
      <c r="S51" s="42">
        <f>(K51*L51)-M51-O51-R51</f>
        <v>0</v>
      </c>
      <c r="T51" s="43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4"/>
      <c r="AO51" s="4"/>
    </row>
    <row r="52" spans="1:41" s="2" customFormat="1" ht="36" customHeight="1" x14ac:dyDescent="0.2">
      <c r="A52" s="525"/>
      <c r="B52" s="553"/>
      <c r="C52" s="553"/>
      <c r="D52" s="554"/>
      <c r="E52" s="554"/>
      <c r="F52" s="554"/>
      <c r="G52" s="554"/>
      <c r="H52" s="554"/>
      <c r="I52" s="554"/>
      <c r="J52" s="555"/>
      <c r="K52" s="65"/>
      <c r="L52" s="44"/>
      <c r="M52" s="556"/>
      <c r="N52" s="557"/>
      <c r="O52" s="556"/>
      <c r="P52" s="557"/>
      <c r="Q52" s="557"/>
      <c r="R52" s="44"/>
      <c r="S52" s="45">
        <f>(K52*L52)-M52-O52-R52</f>
        <v>0</v>
      </c>
      <c r="T52" s="46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4"/>
      <c r="AO52" s="4"/>
    </row>
    <row r="53" spans="1:41" s="2" customFormat="1" ht="18" customHeight="1" x14ac:dyDescent="0.2">
      <c r="A53" s="564" t="s">
        <v>90</v>
      </c>
      <c r="B53" s="565"/>
      <c r="C53" s="565"/>
      <c r="D53" s="565"/>
      <c r="E53" s="565"/>
      <c r="F53" s="565"/>
      <c r="G53" s="565"/>
      <c r="H53" s="565"/>
      <c r="I53" s="565"/>
      <c r="J53" s="565"/>
      <c r="K53" s="565"/>
      <c r="L53" s="565"/>
      <c r="M53" s="565"/>
      <c r="N53" s="565"/>
      <c r="O53" s="565"/>
      <c r="P53" s="565"/>
      <c r="Q53" s="565"/>
      <c r="R53" s="565"/>
      <c r="S53" s="565"/>
      <c r="T53" s="566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4"/>
      <c r="AO53" s="4"/>
    </row>
    <row r="54" spans="1:41" s="2" customFormat="1" ht="18" customHeight="1" x14ac:dyDescent="0.2">
      <c r="A54" s="567" t="s">
        <v>94</v>
      </c>
      <c r="B54" s="568"/>
      <c r="C54" s="568"/>
      <c r="D54" s="568"/>
      <c r="E54" s="568"/>
      <c r="F54" s="568"/>
      <c r="G54" s="568"/>
      <c r="H54" s="568"/>
      <c r="I54" s="568"/>
      <c r="J54" s="568"/>
      <c r="K54" s="568"/>
      <c r="L54" s="568"/>
      <c r="M54" s="568"/>
      <c r="N54" s="568"/>
      <c r="O54" s="568"/>
      <c r="P54" s="568"/>
      <c r="Q54" s="568"/>
      <c r="R54" s="568"/>
      <c r="S54" s="568"/>
      <c r="T54" s="569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4"/>
      <c r="AO54" s="4"/>
    </row>
    <row r="55" spans="1:41" s="2" customFormat="1" ht="18" customHeight="1" x14ac:dyDescent="0.2">
      <c r="A55" s="570" t="s">
        <v>95</v>
      </c>
      <c r="B55" s="571"/>
      <c r="C55" s="571"/>
      <c r="D55" s="571"/>
      <c r="E55" s="571"/>
      <c r="F55" s="571"/>
      <c r="G55" s="571"/>
      <c r="H55" s="571"/>
      <c r="I55" s="571"/>
      <c r="J55" s="571"/>
      <c r="K55" s="571"/>
      <c r="L55" s="571"/>
      <c r="M55" s="571"/>
      <c r="N55" s="571"/>
      <c r="O55" s="571"/>
      <c r="P55" s="571"/>
      <c r="Q55" s="571"/>
      <c r="R55" s="571"/>
      <c r="S55" s="571"/>
      <c r="T55" s="572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4"/>
      <c r="AO55" s="4"/>
    </row>
    <row r="56" spans="1:41" ht="12" customHeight="1" x14ac:dyDescent="0.2">
      <c r="A56" s="573"/>
      <c r="B56" s="574"/>
      <c r="C56" s="574"/>
      <c r="D56" s="574"/>
      <c r="E56" s="574"/>
      <c r="F56" s="574"/>
      <c r="G56" s="574"/>
      <c r="H56" s="574"/>
      <c r="I56" s="574"/>
      <c r="J56" s="574"/>
      <c r="K56" s="574"/>
      <c r="L56" s="574"/>
      <c r="M56" s="574"/>
      <c r="N56" s="574"/>
      <c r="O56" s="574"/>
      <c r="P56" s="574"/>
      <c r="Q56" s="574"/>
      <c r="R56" s="574"/>
      <c r="S56" s="574"/>
      <c r="T56" s="574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3"/>
      <c r="AO56" s="3"/>
    </row>
    <row r="57" spans="1:41" s="2" customFormat="1" ht="36" customHeight="1" x14ac:dyDescent="0.2">
      <c r="A57" s="723" t="s">
        <v>96</v>
      </c>
      <c r="B57" s="724"/>
      <c r="C57" s="724"/>
      <c r="D57" s="724"/>
      <c r="E57" s="724"/>
      <c r="F57" s="724"/>
      <c r="G57" s="724"/>
      <c r="H57" s="724"/>
      <c r="I57" s="724"/>
      <c r="J57" s="724"/>
      <c r="K57" s="725"/>
      <c r="L57" s="725"/>
      <c r="M57" s="725"/>
      <c r="N57" s="726"/>
      <c r="O57" s="727" t="s">
        <v>38</v>
      </c>
      <c r="P57" s="728"/>
      <c r="Q57" s="728"/>
      <c r="R57" s="66" t="s">
        <v>41</v>
      </c>
      <c r="S57" s="66" t="s">
        <v>1</v>
      </c>
      <c r="T57" s="67" t="s">
        <v>78</v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4"/>
      <c r="AO57" s="4"/>
    </row>
    <row r="58" spans="1:41" s="2" customFormat="1" ht="36" customHeight="1" x14ac:dyDescent="0.2">
      <c r="A58" s="689" t="s">
        <v>6</v>
      </c>
      <c r="B58" s="690"/>
      <c r="C58" s="690"/>
      <c r="D58" s="690"/>
      <c r="E58" s="690"/>
      <c r="F58" s="690"/>
      <c r="G58" s="690"/>
      <c r="H58" s="690"/>
      <c r="I58" s="690"/>
      <c r="J58" s="690"/>
      <c r="K58" s="691"/>
      <c r="L58" s="691"/>
      <c r="M58" s="691"/>
      <c r="N58" s="692"/>
      <c r="O58" s="558"/>
      <c r="P58" s="559"/>
      <c r="Q58" s="559"/>
      <c r="R58" s="44">
        <v>430</v>
      </c>
      <c r="S58" s="45">
        <f>+O58*R58</f>
        <v>0</v>
      </c>
      <c r="T58" s="46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4"/>
      <c r="AO58" s="4"/>
    </row>
    <row r="59" spans="1:41" s="70" customFormat="1" ht="24" customHeight="1" x14ac:dyDescent="0.2">
      <c r="A59" s="560"/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1"/>
      <c r="P59" s="561"/>
      <c r="Q59" s="561"/>
      <c r="R59" s="561"/>
      <c r="S59" s="561"/>
      <c r="T59" s="561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9"/>
      <c r="AO59" s="69"/>
    </row>
    <row r="60" spans="1:41" s="2" customFormat="1" ht="30.75" customHeight="1" x14ac:dyDescent="0.2">
      <c r="A60" s="630" t="s">
        <v>26</v>
      </c>
      <c r="B60" s="631"/>
      <c r="C60" s="631"/>
      <c r="D60" s="631"/>
      <c r="E60" s="631"/>
      <c r="F60" s="631"/>
      <c r="G60" s="631"/>
      <c r="H60" s="631"/>
      <c r="I60" s="631"/>
      <c r="J60" s="631"/>
      <c r="K60" s="631"/>
      <c r="L60" s="631"/>
      <c r="M60" s="631"/>
      <c r="N60" s="631"/>
      <c r="O60" s="631"/>
      <c r="P60" s="631"/>
      <c r="Q60" s="631"/>
      <c r="R60" s="47" t="s">
        <v>25</v>
      </c>
      <c r="S60" s="47" t="s">
        <v>11</v>
      </c>
      <c r="T60" s="71" t="s">
        <v>4</v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4"/>
      <c r="AO60" s="4"/>
    </row>
    <row r="61" spans="1:41" s="2" customFormat="1" ht="17.25" customHeight="1" x14ac:dyDescent="0.2">
      <c r="A61" s="710" t="s">
        <v>46</v>
      </c>
      <c r="B61" s="665"/>
      <c r="C61" s="665"/>
      <c r="D61" s="665"/>
      <c r="E61" s="665"/>
      <c r="F61" s="665"/>
      <c r="G61" s="665"/>
      <c r="H61" s="665"/>
      <c r="I61" s="665"/>
      <c r="J61" s="665"/>
      <c r="K61" s="665"/>
      <c r="L61" s="665"/>
      <c r="M61" s="665"/>
      <c r="N61" s="665"/>
      <c r="O61" s="665"/>
      <c r="P61" s="665"/>
      <c r="Q61" s="665"/>
      <c r="R61" s="24" t="s">
        <v>22</v>
      </c>
      <c r="S61" s="24" t="s">
        <v>21</v>
      </c>
      <c r="T61" s="53" t="s">
        <v>37</v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4"/>
      <c r="AO61" s="4"/>
    </row>
    <row r="62" spans="1:41" s="2" customFormat="1" ht="36" customHeight="1" x14ac:dyDescent="0.2">
      <c r="A62" s="563"/>
      <c r="B62" s="448"/>
      <c r="C62" s="448"/>
      <c r="D62" s="448"/>
      <c r="E62" s="448"/>
      <c r="F62" s="448"/>
      <c r="G62" s="448"/>
      <c r="H62" s="448"/>
      <c r="I62" s="448"/>
      <c r="J62" s="448"/>
      <c r="K62" s="448"/>
      <c r="L62" s="448"/>
      <c r="M62" s="448"/>
      <c r="N62" s="448"/>
      <c r="O62" s="448"/>
      <c r="P62" s="448"/>
      <c r="Q62" s="448"/>
      <c r="R62" s="55"/>
      <c r="S62" s="41"/>
      <c r="T62" s="43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4"/>
      <c r="AO62" s="4"/>
    </row>
    <row r="63" spans="1:41" s="2" customFormat="1" ht="36" customHeight="1" x14ac:dyDescent="0.2">
      <c r="A63" s="563"/>
      <c r="B63" s="448"/>
      <c r="C63" s="448"/>
      <c r="D63" s="448"/>
      <c r="E63" s="448"/>
      <c r="F63" s="448"/>
      <c r="G63" s="448"/>
      <c r="H63" s="448"/>
      <c r="I63" s="448"/>
      <c r="J63" s="448"/>
      <c r="K63" s="448"/>
      <c r="L63" s="448"/>
      <c r="M63" s="448"/>
      <c r="N63" s="448"/>
      <c r="O63" s="448"/>
      <c r="P63" s="448"/>
      <c r="Q63" s="448"/>
      <c r="R63" s="55"/>
      <c r="S63" s="41"/>
      <c r="T63" s="43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4"/>
      <c r="AO63" s="4"/>
    </row>
    <row r="64" spans="1:41" s="2" customFormat="1" ht="36" customHeight="1" x14ac:dyDescent="0.2">
      <c r="A64" s="563"/>
      <c r="B64" s="448"/>
      <c r="C64" s="448"/>
      <c r="D64" s="448"/>
      <c r="E64" s="448"/>
      <c r="F64" s="448"/>
      <c r="G64" s="448"/>
      <c r="H64" s="448"/>
      <c r="I64" s="448"/>
      <c r="J64" s="448"/>
      <c r="K64" s="448"/>
      <c r="L64" s="448"/>
      <c r="M64" s="448"/>
      <c r="N64" s="448"/>
      <c r="O64" s="448"/>
      <c r="P64" s="448"/>
      <c r="Q64" s="448"/>
      <c r="R64" s="55"/>
      <c r="S64" s="41"/>
      <c r="T64" s="43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4"/>
      <c r="AO64" s="4"/>
    </row>
    <row r="65" spans="1:41" s="2" customFormat="1" ht="36" customHeight="1" x14ac:dyDescent="0.2">
      <c r="A65" s="591"/>
      <c r="B65" s="592"/>
      <c r="C65" s="592"/>
      <c r="D65" s="592"/>
      <c r="E65" s="592"/>
      <c r="F65" s="592"/>
      <c r="G65" s="592"/>
      <c r="H65" s="592"/>
      <c r="I65" s="592"/>
      <c r="J65" s="592"/>
      <c r="K65" s="592"/>
      <c r="L65" s="592"/>
      <c r="M65" s="592"/>
      <c r="N65" s="592"/>
      <c r="O65" s="592"/>
      <c r="P65" s="592"/>
      <c r="Q65" s="592"/>
      <c r="R65" s="57"/>
      <c r="S65" s="44"/>
      <c r="T65" s="46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4"/>
      <c r="AO65" s="4"/>
    </row>
    <row r="66" spans="1:41" s="2" customFormat="1" ht="24" customHeight="1" x14ac:dyDescent="0.2">
      <c r="A66" s="534"/>
      <c r="B66" s="535"/>
      <c r="C66" s="535"/>
      <c r="D66" s="535"/>
      <c r="E66" s="535"/>
      <c r="F66" s="535"/>
      <c r="G66" s="535"/>
      <c r="H66" s="535"/>
      <c r="I66" s="535"/>
      <c r="J66" s="535"/>
      <c r="K66" s="535"/>
      <c r="L66" s="535"/>
      <c r="M66" s="535"/>
      <c r="N66" s="535"/>
      <c r="O66" s="535"/>
      <c r="P66" s="535"/>
      <c r="Q66" s="535"/>
      <c r="R66" s="535"/>
      <c r="S66" s="535"/>
      <c r="T66" s="535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4"/>
      <c r="AO66" s="4"/>
    </row>
    <row r="67" spans="1:41" s="2" customFormat="1" ht="36" customHeight="1" x14ac:dyDescent="0.2">
      <c r="A67" s="719" t="s">
        <v>72</v>
      </c>
      <c r="B67" s="720"/>
      <c r="C67" s="720"/>
      <c r="D67" s="720"/>
      <c r="E67" s="720"/>
      <c r="F67" s="720"/>
      <c r="G67" s="720"/>
      <c r="H67" s="720"/>
      <c r="I67" s="720"/>
      <c r="J67" s="720"/>
      <c r="K67" s="720"/>
      <c r="L67" s="720"/>
      <c r="M67" s="720"/>
      <c r="N67" s="720"/>
      <c r="O67" s="720"/>
      <c r="P67" s="720"/>
      <c r="Q67" s="720"/>
      <c r="R67" s="720"/>
      <c r="S67" s="72">
        <f>+O23+SUM(S27:S30)+SUM(S34:S35)+SUM(S41:S44)+SUM(S49:S52)+SUM(S58)+SUM(S62:S65)</f>
        <v>0</v>
      </c>
      <c r="T67" s="73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4"/>
      <c r="AO67" s="4"/>
    </row>
    <row r="68" spans="1:41" s="2" customFormat="1" ht="24" customHeight="1" x14ac:dyDescent="0.2">
      <c r="A68" s="534"/>
      <c r="B68" s="535"/>
      <c r="C68" s="535"/>
      <c r="D68" s="535"/>
      <c r="E68" s="535"/>
      <c r="F68" s="535"/>
      <c r="G68" s="535"/>
      <c r="H68" s="535"/>
      <c r="I68" s="535"/>
      <c r="J68" s="535"/>
      <c r="K68" s="535"/>
      <c r="L68" s="535"/>
      <c r="M68" s="535"/>
      <c r="N68" s="535"/>
      <c r="O68" s="535"/>
      <c r="P68" s="535"/>
      <c r="Q68" s="535"/>
      <c r="R68" s="535"/>
      <c r="S68" s="535"/>
      <c r="T68" s="535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4"/>
      <c r="AO68" s="4"/>
    </row>
    <row r="69" spans="1:41" s="2" customFormat="1" ht="36" customHeight="1" x14ac:dyDescent="0.2">
      <c r="A69" s="721" t="s">
        <v>42</v>
      </c>
      <c r="B69" s="722"/>
      <c r="C69" s="722"/>
      <c r="D69" s="722"/>
      <c r="E69" s="722"/>
      <c r="F69" s="722"/>
      <c r="G69" s="722"/>
      <c r="H69" s="583"/>
      <c r="I69" s="584"/>
      <c r="J69" s="584"/>
      <c r="K69" s="584"/>
      <c r="L69" s="584"/>
      <c r="M69" s="584"/>
      <c r="N69" s="584"/>
      <c r="O69" s="584"/>
      <c r="P69" s="584"/>
      <c r="Q69" s="584"/>
      <c r="R69" s="584"/>
      <c r="S69" s="74"/>
      <c r="T69" s="75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4"/>
      <c r="AO69" s="4"/>
    </row>
    <row r="70" spans="1:41" s="2" customFormat="1" ht="36" customHeight="1" x14ac:dyDescent="0.2">
      <c r="A70" s="711" t="s">
        <v>20</v>
      </c>
      <c r="B70" s="712"/>
      <c r="C70" s="712"/>
      <c r="D70" s="712"/>
      <c r="E70" s="712"/>
      <c r="F70" s="712"/>
      <c r="G70" s="712"/>
      <c r="H70" s="447"/>
      <c r="I70" s="448"/>
      <c r="J70" s="448"/>
      <c r="K70" s="448"/>
      <c r="L70" s="448"/>
      <c r="M70" s="448"/>
      <c r="N70" s="448"/>
      <c r="O70" s="448"/>
      <c r="P70" s="448"/>
      <c r="Q70" s="448"/>
      <c r="R70" s="448"/>
      <c r="S70" s="41"/>
      <c r="T70" s="43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4"/>
      <c r="AO70" s="4"/>
    </row>
    <row r="71" spans="1:41" s="2" customFormat="1" ht="36" customHeight="1" x14ac:dyDescent="0.2">
      <c r="A71" s="713" t="s">
        <v>33</v>
      </c>
      <c r="B71" s="714"/>
      <c r="C71" s="714"/>
      <c r="D71" s="714"/>
      <c r="E71" s="714"/>
      <c r="F71" s="714"/>
      <c r="G71" s="714"/>
      <c r="H71" s="714"/>
      <c r="I71" s="714"/>
      <c r="J71" s="714"/>
      <c r="K71" s="714"/>
      <c r="L71" s="714"/>
      <c r="M71" s="714"/>
      <c r="N71" s="714"/>
      <c r="O71" s="714"/>
      <c r="P71" s="714"/>
      <c r="Q71" s="714"/>
      <c r="R71" s="714"/>
      <c r="S71" s="83">
        <f>S67-S69-S70</f>
        <v>0</v>
      </c>
      <c r="T71" s="76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4"/>
      <c r="AO71" s="4"/>
    </row>
    <row r="72" spans="1:41" ht="10.7" customHeight="1" x14ac:dyDescent="0.2">
      <c r="A72" s="589"/>
      <c r="B72" s="590"/>
      <c r="C72" s="590"/>
      <c r="D72" s="590"/>
      <c r="E72" s="590"/>
      <c r="F72" s="590"/>
      <c r="G72" s="590"/>
      <c r="H72" s="590"/>
      <c r="I72" s="590"/>
      <c r="J72" s="590"/>
      <c r="K72" s="590"/>
      <c r="L72" s="590"/>
      <c r="M72" s="590"/>
      <c r="N72" s="590"/>
      <c r="O72" s="590"/>
      <c r="P72" s="590"/>
      <c r="Q72" s="590"/>
      <c r="R72" s="590"/>
      <c r="S72" s="590"/>
      <c r="T72" s="590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3"/>
      <c r="AO72" s="3"/>
    </row>
    <row r="73" spans="1:41" ht="16.7" customHeight="1" x14ac:dyDescent="0.25">
      <c r="A73" s="79"/>
      <c r="B73" s="607" t="s">
        <v>17</v>
      </c>
      <c r="C73" s="608"/>
      <c r="D73" s="608"/>
      <c r="E73" s="608"/>
      <c r="F73" s="608"/>
      <c r="G73" s="608"/>
      <c r="H73" s="608"/>
      <c r="I73" s="608"/>
      <c r="J73" s="608"/>
      <c r="K73" s="608"/>
      <c r="L73" s="608"/>
      <c r="M73" s="77"/>
      <c r="N73" s="80"/>
      <c r="O73" s="607" t="s">
        <v>45</v>
      </c>
      <c r="P73" s="608"/>
      <c r="Q73" s="608"/>
      <c r="R73" s="608"/>
      <c r="S73" s="608"/>
      <c r="T73" s="608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3"/>
      <c r="AO73" s="3"/>
    </row>
    <row r="74" spans="1:41" ht="16.7" customHeight="1" x14ac:dyDescent="0.25">
      <c r="A74" s="79"/>
      <c r="B74" s="607" t="s">
        <v>19</v>
      </c>
      <c r="C74" s="608"/>
      <c r="D74" s="79"/>
      <c r="E74" s="607" t="s">
        <v>73</v>
      </c>
      <c r="F74" s="608"/>
      <c r="G74" s="608"/>
      <c r="H74" s="609"/>
      <c r="I74" s="610"/>
      <c r="J74" s="610"/>
      <c r="K74" s="610"/>
      <c r="L74" s="610"/>
      <c r="M74" s="77"/>
      <c r="N74" s="80"/>
      <c r="O74" s="607" t="s">
        <v>27</v>
      </c>
      <c r="P74" s="608"/>
      <c r="Q74" s="608"/>
      <c r="R74" s="608"/>
      <c r="S74" s="608"/>
      <c r="T74" s="608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3"/>
      <c r="AO74" s="3"/>
    </row>
    <row r="75" spans="1:41" ht="9.1999999999999993" customHeight="1" x14ac:dyDescent="0.2">
      <c r="A75" s="573"/>
      <c r="B75" s="574"/>
      <c r="C75" s="574"/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4"/>
      <c r="Q75" s="574"/>
      <c r="R75" s="574"/>
      <c r="S75" s="574"/>
      <c r="T75" s="574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3"/>
      <c r="AO75" s="3"/>
    </row>
    <row r="76" spans="1:41" ht="15.2" customHeight="1" x14ac:dyDescent="0.2">
      <c r="A76" s="715" t="s">
        <v>32</v>
      </c>
      <c r="B76" s="716"/>
      <c r="C76" s="716"/>
      <c r="D76" s="716"/>
      <c r="E76" s="715" t="s">
        <v>74</v>
      </c>
      <c r="F76" s="716"/>
      <c r="G76" s="716"/>
      <c r="H76" s="716"/>
      <c r="I76" s="716"/>
      <c r="J76" s="716"/>
      <c r="K76" s="716"/>
      <c r="L76" s="717" t="s">
        <v>75</v>
      </c>
      <c r="M76" s="718"/>
      <c r="N76" s="718"/>
      <c r="O76" s="718"/>
      <c r="P76" s="718"/>
      <c r="Q76" s="718"/>
      <c r="R76" s="718"/>
      <c r="S76" s="718"/>
      <c r="T76" s="718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3"/>
      <c r="AO76" s="3"/>
    </row>
    <row r="77" spans="1:41" ht="39.950000000000003" customHeight="1" x14ac:dyDescent="0.2">
      <c r="A77" s="612"/>
      <c r="B77" s="602"/>
      <c r="C77" s="602"/>
      <c r="D77" s="602"/>
      <c r="E77" s="603"/>
      <c r="F77" s="604"/>
      <c r="G77" s="604"/>
      <c r="H77" s="604"/>
      <c r="I77" s="604"/>
      <c r="J77" s="604"/>
      <c r="K77" s="604"/>
      <c r="L77" s="605"/>
      <c r="M77" s="606"/>
      <c r="N77" s="606"/>
      <c r="O77" s="606"/>
      <c r="P77" s="606"/>
      <c r="Q77" s="606"/>
      <c r="R77" s="606"/>
      <c r="S77" s="606"/>
      <c r="T77" s="606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3"/>
      <c r="AO77" s="3"/>
    </row>
    <row r="78" spans="1:41" s="2" customFormat="1" ht="30" customHeight="1" x14ac:dyDescent="0.2">
      <c r="A78" s="595"/>
      <c r="B78" s="596"/>
      <c r="C78" s="596"/>
      <c r="D78" s="596"/>
      <c r="E78" s="596"/>
      <c r="F78" s="596"/>
      <c r="G78" s="596"/>
      <c r="H78" s="596"/>
      <c r="I78" s="596"/>
      <c r="J78" s="596"/>
      <c r="K78" s="596"/>
      <c r="L78" s="596"/>
      <c r="M78" s="596"/>
      <c r="N78" s="596"/>
      <c r="O78" s="596"/>
      <c r="P78" s="596"/>
      <c r="Q78" s="596"/>
      <c r="R78" s="596"/>
      <c r="S78" s="596"/>
      <c r="T78" s="596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4"/>
      <c r="AO78" s="4"/>
    </row>
    <row r="79" spans="1:41" x14ac:dyDescent="0.2"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3"/>
      <c r="AO79" s="3"/>
    </row>
    <row r="80" spans="1:41" x14ac:dyDescent="0.2"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3"/>
      <c r="AO80" s="3"/>
    </row>
    <row r="81" spans="21:41" x14ac:dyDescent="0.2"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3"/>
      <c r="AO81" s="3"/>
    </row>
    <row r="82" spans="21:41" x14ac:dyDescent="0.2"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3"/>
      <c r="AO82" s="3"/>
    </row>
    <row r="83" spans="21:41" x14ac:dyDescent="0.2"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3"/>
      <c r="AO83" s="3"/>
    </row>
    <row r="84" spans="21:41" x14ac:dyDescent="0.2"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3"/>
      <c r="AO84" s="3"/>
    </row>
    <row r="85" spans="21:41" x14ac:dyDescent="0.2"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3"/>
      <c r="AO85" s="3"/>
    </row>
    <row r="86" spans="21:41" x14ac:dyDescent="0.2"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3"/>
      <c r="AO86" s="3"/>
    </row>
    <row r="87" spans="21:41" x14ac:dyDescent="0.2"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3"/>
      <c r="AO87" s="3"/>
    </row>
    <row r="88" spans="21:41" x14ac:dyDescent="0.2"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3"/>
      <c r="AO88" s="3"/>
    </row>
    <row r="89" spans="21:41" x14ac:dyDescent="0.2"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3"/>
      <c r="AO89" s="3"/>
    </row>
    <row r="90" spans="21:41" x14ac:dyDescent="0.2"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3"/>
      <c r="AO90" s="3"/>
    </row>
    <row r="91" spans="21:41" x14ac:dyDescent="0.2"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3"/>
      <c r="AO91" s="3"/>
    </row>
    <row r="92" spans="21:41" x14ac:dyDescent="0.2"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3"/>
      <c r="AO92" s="3"/>
    </row>
    <row r="93" spans="21:41" x14ac:dyDescent="0.2"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3"/>
      <c r="AO93" s="3"/>
    </row>
    <row r="94" spans="21:41" x14ac:dyDescent="0.2"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3"/>
      <c r="AO94" s="3"/>
    </row>
    <row r="95" spans="21:41" x14ac:dyDescent="0.2"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3"/>
      <c r="AO95" s="3"/>
    </row>
    <row r="96" spans="21:41" x14ac:dyDescent="0.2"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3"/>
      <c r="AO96" s="3"/>
    </row>
    <row r="97" spans="21:41" x14ac:dyDescent="0.2"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3"/>
      <c r="AO97" s="3"/>
    </row>
    <row r="98" spans="21:41" x14ac:dyDescent="0.2"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3"/>
      <c r="AO98" s="3"/>
    </row>
    <row r="99" spans="21:41" x14ac:dyDescent="0.2"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3"/>
      <c r="AO99" s="3"/>
    </row>
    <row r="100" spans="21:41" x14ac:dyDescent="0.2"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3"/>
      <c r="AO100" s="3"/>
    </row>
    <row r="101" spans="21:41" x14ac:dyDescent="0.2"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3"/>
      <c r="AO101" s="3"/>
    </row>
    <row r="102" spans="21:41" x14ac:dyDescent="0.2"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3"/>
      <c r="AO102" s="3"/>
    </row>
    <row r="103" spans="21:41" x14ac:dyDescent="0.2"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3"/>
      <c r="AO103" s="3"/>
    </row>
    <row r="104" spans="21:41" x14ac:dyDescent="0.2"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3"/>
      <c r="AO104" s="3"/>
    </row>
    <row r="105" spans="21:41" x14ac:dyDescent="0.2"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3"/>
      <c r="AO105" s="3"/>
    </row>
    <row r="106" spans="21:41" x14ac:dyDescent="0.2"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3"/>
      <c r="AO106" s="3"/>
    </row>
    <row r="107" spans="21:41" x14ac:dyDescent="0.2"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3"/>
      <c r="AO107" s="3"/>
    </row>
    <row r="108" spans="21:41" x14ac:dyDescent="0.2"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3"/>
      <c r="AO108" s="3"/>
    </row>
    <row r="109" spans="21:41" x14ac:dyDescent="0.2"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3"/>
      <c r="AO109" s="3"/>
    </row>
    <row r="110" spans="21:41" x14ac:dyDescent="0.2"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3"/>
      <c r="AO110" s="3"/>
    </row>
    <row r="111" spans="21:41" x14ac:dyDescent="0.2"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3"/>
      <c r="AO111" s="3"/>
    </row>
    <row r="112" spans="21:41" x14ac:dyDescent="0.2"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3"/>
      <c r="AO112" s="3"/>
    </row>
    <row r="113" spans="21:41" x14ac:dyDescent="0.2"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3"/>
      <c r="AO113" s="3"/>
    </row>
    <row r="114" spans="21:41" x14ac:dyDescent="0.2"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3"/>
      <c r="AO114" s="3"/>
    </row>
    <row r="115" spans="21:41" x14ac:dyDescent="0.2"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3"/>
      <c r="AO115" s="3"/>
    </row>
    <row r="116" spans="21:41" x14ac:dyDescent="0.2"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3"/>
      <c r="AO116" s="3"/>
    </row>
    <row r="117" spans="21:41" x14ac:dyDescent="0.2"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3"/>
      <c r="AO117" s="3"/>
    </row>
    <row r="118" spans="21:41" x14ac:dyDescent="0.2"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3"/>
      <c r="AO118" s="3"/>
    </row>
    <row r="119" spans="21:41" x14ac:dyDescent="0.2"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3"/>
      <c r="AO119" s="3"/>
    </row>
    <row r="120" spans="21:41" x14ac:dyDescent="0.2"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3"/>
      <c r="AO120" s="3"/>
    </row>
    <row r="121" spans="21:41" x14ac:dyDescent="0.2"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3"/>
      <c r="AO121" s="3"/>
    </row>
    <row r="122" spans="21:41" x14ac:dyDescent="0.2"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3"/>
      <c r="AO122" s="3"/>
    </row>
    <row r="123" spans="21:41" x14ac:dyDescent="0.2"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3"/>
      <c r="AO123" s="3"/>
    </row>
    <row r="124" spans="21:41" x14ac:dyDescent="0.2"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3"/>
      <c r="AO124" s="3"/>
    </row>
    <row r="125" spans="21:41" x14ac:dyDescent="0.2"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3"/>
      <c r="AO125" s="3"/>
    </row>
    <row r="126" spans="21:41" x14ac:dyDescent="0.2"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3"/>
      <c r="AO126" s="3"/>
    </row>
    <row r="127" spans="21:41" x14ac:dyDescent="0.2"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3"/>
      <c r="AO127" s="3"/>
    </row>
    <row r="128" spans="21:41" x14ac:dyDescent="0.2"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3"/>
      <c r="AO128" s="3"/>
    </row>
    <row r="129" spans="21:41" x14ac:dyDescent="0.2"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3"/>
      <c r="AO129" s="3"/>
    </row>
    <row r="130" spans="21:41" x14ac:dyDescent="0.2"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3"/>
      <c r="AO130" s="3"/>
    </row>
    <row r="131" spans="21:41" x14ac:dyDescent="0.2"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3"/>
      <c r="AO131" s="3"/>
    </row>
    <row r="132" spans="21:41" x14ac:dyDescent="0.2"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3"/>
      <c r="AO132" s="3"/>
    </row>
    <row r="133" spans="21:41" x14ac:dyDescent="0.2"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3"/>
      <c r="AO133" s="3"/>
    </row>
    <row r="134" spans="21:41" x14ac:dyDescent="0.2"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3"/>
      <c r="AO134" s="3"/>
    </row>
    <row r="135" spans="21:41" x14ac:dyDescent="0.2"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3"/>
      <c r="AO135" s="3"/>
    </row>
    <row r="136" spans="21:41" x14ac:dyDescent="0.2"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3"/>
      <c r="AO136" s="3"/>
    </row>
    <row r="137" spans="21:41" x14ac:dyDescent="0.2"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3"/>
      <c r="AO137" s="3"/>
    </row>
    <row r="138" spans="21:41" x14ac:dyDescent="0.2"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3"/>
      <c r="AO138" s="3"/>
    </row>
    <row r="139" spans="21:41" x14ac:dyDescent="0.2"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3"/>
      <c r="AO139" s="3"/>
    </row>
    <row r="140" spans="21:41" x14ac:dyDescent="0.2"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3"/>
      <c r="AO140" s="3"/>
    </row>
    <row r="141" spans="21:41" x14ac:dyDescent="0.2"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3"/>
      <c r="AO141" s="3"/>
    </row>
    <row r="142" spans="21:41" x14ac:dyDescent="0.2"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3"/>
      <c r="AO142" s="3"/>
    </row>
    <row r="143" spans="21:41" x14ac:dyDescent="0.2"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3"/>
      <c r="AO143" s="3"/>
    </row>
    <row r="144" spans="21:41" x14ac:dyDescent="0.2"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3"/>
      <c r="AO144" s="3"/>
    </row>
    <row r="145" spans="21:41" x14ac:dyDescent="0.2"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3"/>
      <c r="AO145" s="3"/>
    </row>
    <row r="146" spans="21:41" x14ac:dyDescent="0.2"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3"/>
      <c r="AO146" s="3"/>
    </row>
    <row r="147" spans="21:41" x14ac:dyDescent="0.2"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3"/>
      <c r="AO147" s="3"/>
    </row>
    <row r="148" spans="21:41" x14ac:dyDescent="0.2"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3"/>
      <c r="AO148" s="3"/>
    </row>
    <row r="149" spans="21:41" x14ac:dyDescent="0.2"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3"/>
      <c r="AO149" s="3"/>
    </row>
    <row r="150" spans="21:41" x14ac:dyDescent="0.2"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3"/>
      <c r="AO150" s="3"/>
    </row>
    <row r="151" spans="21:41" x14ac:dyDescent="0.2"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3"/>
      <c r="AO151" s="3"/>
    </row>
    <row r="152" spans="21:41" x14ac:dyDescent="0.2"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3"/>
      <c r="AO152" s="3"/>
    </row>
    <row r="153" spans="21:41" x14ac:dyDescent="0.2"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3"/>
      <c r="AO153" s="3"/>
    </row>
    <row r="154" spans="21:41" x14ac:dyDescent="0.2"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3"/>
      <c r="AO154" s="3"/>
    </row>
    <row r="155" spans="21:41" x14ac:dyDescent="0.2"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3"/>
      <c r="AO155" s="3"/>
    </row>
    <row r="156" spans="21:41" x14ac:dyDescent="0.2"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3"/>
      <c r="AO156" s="3"/>
    </row>
    <row r="157" spans="21:41" x14ac:dyDescent="0.2"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3"/>
      <c r="AO157" s="3"/>
    </row>
    <row r="158" spans="21:41" x14ac:dyDescent="0.2"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3"/>
      <c r="AO158" s="3"/>
    </row>
    <row r="159" spans="21:41" x14ac:dyDescent="0.2"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3"/>
      <c r="AO159" s="3"/>
    </row>
    <row r="160" spans="21:41" x14ac:dyDescent="0.2"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3"/>
      <c r="AO160" s="3"/>
    </row>
    <row r="161" spans="21:41" x14ac:dyDescent="0.2"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3"/>
      <c r="AO161" s="3"/>
    </row>
    <row r="162" spans="21:41" x14ac:dyDescent="0.2"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3"/>
      <c r="AO162" s="3"/>
    </row>
    <row r="163" spans="21:41" x14ac:dyDescent="0.2"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3"/>
      <c r="AO163" s="3"/>
    </row>
    <row r="164" spans="21:41" x14ac:dyDescent="0.2"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3"/>
      <c r="AO164" s="3"/>
    </row>
    <row r="165" spans="21:41" x14ac:dyDescent="0.2"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3"/>
      <c r="AO165" s="3"/>
    </row>
    <row r="166" spans="21:41" x14ac:dyDescent="0.2"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3"/>
      <c r="AO166" s="3"/>
    </row>
    <row r="167" spans="21:41" x14ac:dyDescent="0.2"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3"/>
      <c r="AO167" s="3"/>
    </row>
    <row r="168" spans="21:41" x14ac:dyDescent="0.2"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3"/>
      <c r="AO168" s="3"/>
    </row>
    <row r="169" spans="21:41" x14ac:dyDescent="0.2"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3"/>
    </row>
    <row r="170" spans="21:41" x14ac:dyDescent="0.2"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3"/>
    </row>
    <row r="171" spans="21:41" x14ac:dyDescent="0.2"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3"/>
    </row>
    <row r="172" spans="21:41" x14ac:dyDescent="0.2"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3"/>
    </row>
    <row r="173" spans="21:41" x14ac:dyDescent="0.2"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3"/>
    </row>
    <row r="174" spans="21:41" x14ac:dyDescent="0.2"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3"/>
    </row>
    <row r="175" spans="21:41" x14ac:dyDescent="0.2"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3"/>
    </row>
    <row r="176" spans="21:41" x14ac:dyDescent="0.2"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3"/>
    </row>
    <row r="177" spans="29:41" x14ac:dyDescent="0.2"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3"/>
    </row>
    <row r="178" spans="29:41" x14ac:dyDescent="0.2"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3"/>
    </row>
    <row r="179" spans="29:41" x14ac:dyDescent="0.2"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3"/>
    </row>
    <row r="180" spans="29:41" x14ac:dyDescent="0.2"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3"/>
    </row>
    <row r="181" spans="29:41" x14ac:dyDescent="0.2"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3"/>
    </row>
    <row r="182" spans="29:41" x14ac:dyDescent="0.2"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3"/>
    </row>
    <row r="183" spans="29:41" x14ac:dyDescent="0.2"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3"/>
    </row>
    <row r="184" spans="29:41" x14ac:dyDescent="0.2"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3"/>
    </row>
    <row r="185" spans="29:41" x14ac:dyDescent="0.2"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3"/>
    </row>
    <row r="186" spans="29:41" x14ac:dyDescent="0.2"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3"/>
    </row>
    <row r="187" spans="29:41" x14ac:dyDescent="0.2"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3"/>
    </row>
    <row r="188" spans="29:41" x14ac:dyDescent="0.2"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3"/>
    </row>
    <row r="189" spans="29:41" x14ac:dyDescent="0.2"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3"/>
    </row>
    <row r="190" spans="29:41" x14ac:dyDescent="0.2"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3"/>
    </row>
    <row r="191" spans="29:41" x14ac:dyDescent="0.2"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3"/>
    </row>
    <row r="192" spans="29:41" x14ac:dyDescent="0.2"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3"/>
    </row>
    <row r="193" spans="29:41" x14ac:dyDescent="0.2"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3"/>
    </row>
    <row r="194" spans="29:41" x14ac:dyDescent="0.2"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3"/>
    </row>
    <row r="195" spans="29:41" x14ac:dyDescent="0.2"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3"/>
    </row>
    <row r="196" spans="29:41" x14ac:dyDescent="0.2"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3"/>
    </row>
    <row r="197" spans="29:41" x14ac:dyDescent="0.2"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3"/>
    </row>
    <row r="198" spans="29:41" x14ac:dyDescent="0.2"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3"/>
    </row>
    <row r="199" spans="29:41" x14ac:dyDescent="0.2"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3"/>
    </row>
    <row r="200" spans="29:41" x14ac:dyDescent="0.2"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3"/>
    </row>
    <row r="201" spans="29:41" x14ac:dyDescent="0.2"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3"/>
    </row>
    <row r="202" spans="29:41" x14ac:dyDescent="0.2"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3"/>
    </row>
    <row r="203" spans="29:41" x14ac:dyDescent="0.2"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3"/>
    </row>
    <row r="204" spans="29:41" x14ac:dyDescent="0.2"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3"/>
    </row>
    <row r="205" spans="29:41" x14ac:dyDescent="0.2"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3"/>
    </row>
    <row r="206" spans="29:41" x14ac:dyDescent="0.2"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3"/>
    </row>
    <row r="207" spans="29:41" x14ac:dyDescent="0.2"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3"/>
    </row>
    <row r="208" spans="29:41" x14ac:dyDescent="0.2"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3"/>
    </row>
    <row r="209" spans="29:41" x14ac:dyDescent="0.2"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3"/>
    </row>
    <row r="210" spans="29:41" x14ac:dyDescent="0.2"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3"/>
    </row>
    <row r="211" spans="29:41" x14ac:dyDescent="0.2"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3"/>
    </row>
    <row r="212" spans="29:41" x14ac:dyDescent="0.2"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3"/>
    </row>
    <row r="213" spans="29:41" x14ac:dyDescent="0.2"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3"/>
    </row>
    <row r="214" spans="29:41" x14ac:dyDescent="0.2"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3"/>
    </row>
    <row r="215" spans="29:41" x14ac:dyDescent="0.2"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3"/>
    </row>
    <row r="216" spans="29:41" x14ac:dyDescent="0.2"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3"/>
    </row>
    <row r="217" spans="29:41" x14ac:dyDescent="0.2"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3"/>
    </row>
    <row r="218" spans="29:41" x14ac:dyDescent="0.2"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3"/>
    </row>
    <row r="219" spans="29:41" x14ac:dyDescent="0.2"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3"/>
    </row>
    <row r="220" spans="29:41" x14ac:dyDescent="0.2"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3"/>
    </row>
    <row r="221" spans="29:41" x14ac:dyDescent="0.2"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3"/>
    </row>
    <row r="222" spans="29:41" x14ac:dyDescent="0.2"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3"/>
    </row>
    <row r="223" spans="29:41" x14ac:dyDescent="0.2"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3"/>
    </row>
    <row r="224" spans="29:41" x14ac:dyDescent="0.2"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3"/>
    </row>
    <row r="225" spans="29:41" x14ac:dyDescent="0.2"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3"/>
    </row>
    <row r="226" spans="29:41" x14ac:dyDescent="0.2"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3"/>
    </row>
    <row r="227" spans="29:41" x14ac:dyDescent="0.2"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3"/>
    </row>
    <row r="228" spans="29:41" x14ac:dyDescent="0.2"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3"/>
    </row>
    <row r="229" spans="29:41" x14ac:dyDescent="0.2"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3"/>
    </row>
    <row r="230" spans="29:41" x14ac:dyDescent="0.2"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3"/>
    </row>
    <row r="231" spans="29:41" x14ac:dyDescent="0.2"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3"/>
    </row>
    <row r="232" spans="29:41" x14ac:dyDescent="0.2"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3"/>
    </row>
    <row r="233" spans="29:41" x14ac:dyDescent="0.2"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3"/>
    </row>
    <row r="234" spans="29:41" x14ac:dyDescent="0.2"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3"/>
    </row>
    <row r="235" spans="29:41" x14ac:dyDescent="0.2"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3"/>
    </row>
    <row r="236" spans="29:41" x14ac:dyDescent="0.2"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3"/>
    </row>
    <row r="237" spans="29:41" x14ac:dyDescent="0.2"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3"/>
    </row>
    <row r="238" spans="29:41" x14ac:dyDescent="0.2"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3"/>
    </row>
    <row r="239" spans="29:41" x14ac:dyDescent="0.2"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3"/>
    </row>
    <row r="240" spans="29:41" x14ac:dyDescent="0.2"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3"/>
    </row>
    <row r="241" spans="1:41" x14ac:dyDescent="0.2"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3"/>
    </row>
    <row r="242" spans="1:41" x14ac:dyDescent="0.2"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3"/>
    </row>
    <row r="243" spans="1:41" x14ac:dyDescent="0.2"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3"/>
    </row>
    <row r="244" spans="1:41" x14ac:dyDescent="0.2"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3"/>
    </row>
    <row r="245" spans="1:41" x14ac:dyDescent="0.2"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3"/>
    </row>
    <row r="246" spans="1:41" x14ac:dyDescent="0.2"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3"/>
    </row>
    <row r="247" spans="1:41" x14ac:dyDescent="0.2"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3"/>
    </row>
    <row r="248" spans="1:41" x14ac:dyDescent="0.2"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3"/>
    </row>
    <row r="249" spans="1:41" x14ac:dyDescent="0.2"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3"/>
    </row>
    <row r="250" spans="1:41" x14ac:dyDescent="0.2"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3"/>
    </row>
    <row r="251" spans="1:41" x14ac:dyDescent="0.2"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3"/>
    </row>
    <row r="252" spans="1:4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</row>
    <row r="253" spans="1:4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</row>
    <row r="254" spans="1:4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</row>
    <row r="255" spans="1:4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</row>
    <row r="256" spans="1:4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</row>
    <row r="257" spans="1:38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</row>
    <row r="258" spans="1:38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</row>
    <row r="259" spans="1:38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</row>
    <row r="260" spans="1:38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</row>
    <row r="261" spans="1:38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</row>
    <row r="262" spans="1:38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</row>
    <row r="263" spans="1:38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</row>
    <row r="264" spans="1:38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</row>
    <row r="265" spans="1:38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</row>
    <row r="266" spans="1:38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</row>
    <row r="267" spans="1:38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</row>
    <row r="268" spans="1:38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</row>
    <row r="269" spans="1:38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</row>
    <row r="270" spans="1:38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</row>
    <row r="271" spans="1:38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</row>
    <row r="272" spans="1:38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</row>
    <row r="273" spans="1:38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</row>
    <row r="274" spans="1:38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</row>
    <row r="275" spans="1:38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</row>
    <row r="276" spans="1:38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</row>
    <row r="277" spans="1:38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</row>
    <row r="278" spans="1:38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</row>
    <row r="279" spans="1:38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</row>
    <row r="280" spans="1:38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</row>
    <row r="281" spans="1:38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</row>
    <row r="282" spans="1:38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</row>
    <row r="283" spans="1:38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</row>
    <row r="284" spans="1:38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</row>
    <row r="285" spans="1:38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</row>
    <row r="286" spans="1:38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</row>
    <row r="287" spans="1:38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</row>
    <row r="288" spans="1:38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</row>
    <row r="289" spans="1:38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</row>
    <row r="290" spans="1:38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</row>
    <row r="291" spans="1:38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</row>
    <row r="292" spans="1:38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</row>
    <row r="293" spans="1:38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</row>
    <row r="294" spans="1:38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</row>
    <row r="295" spans="1:38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</row>
    <row r="296" spans="1:38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</row>
    <row r="297" spans="1:38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</row>
    <row r="298" spans="1:38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</row>
    <row r="299" spans="1:38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</row>
    <row r="300" spans="1:38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</row>
    <row r="301" spans="1:38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</row>
    <row r="302" spans="1:38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</row>
    <row r="303" spans="1:38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</row>
    <row r="304" spans="1:38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</row>
    <row r="305" spans="1:38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</row>
    <row r="306" spans="1:38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</row>
    <row r="307" spans="1:38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</row>
    <row r="308" spans="1:38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</row>
    <row r="309" spans="1:38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</row>
    <row r="310" spans="1:38" x14ac:dyDescent="0.2"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</row>
    <row r="311" spans="1:38" x14ac:dyDescent="0.2"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</row>
    <row r="312" spans="1:38" x14ac:dyDescent="0.2"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</row>
    <row r="313" spans="1:38" x14ac:dyDescent="0.2"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</row>
    <row r="314" spans="1:38" x14ac:dyDescent="0.2"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</row>
    <row r="315" spans="1:38" x14ac:dyDescent="0.2"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</row>
    <row r="316" spans="1:38" x14ac:dyDescent="0.2"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</row>
    <row r="317" spans="1:38" x14ac:dyDescent="0.2"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</row>
    <row r="318" spans="1:38" x14ac:dyDescent="0.2"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</row>
    <row r="319" spans="1:38" x14ac:dyDescent="0.2"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</row>
    <row r="320" spans="1:38" x14ac:dyDescent="0.2"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</row>
    <row r="321" spans="21:38" x14ac:dyDescent="0.2"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</row>
    <row r="322" spans="21:38" x14ac:dyDescent="0.2"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</row>
    <row r="323" spans="21:38" x14ac:dyDescent="0.2"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</row>
    <row r="324" spans="21:38" x14ac:dyDescent="0.2"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</row>
    <row r="325" spans="21:38" x14ac:dyDescent="0.2"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</row>
    <row r="326" spans="21:38" x14ac:dyDescent="0.2"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</row>
    <row r="327" spans="21:38" x14ac:dyDescent="0.2"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</row>
    <row r="328" spans="21:38" x14ac:dyDescent="0.2"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</row>
    <row r="329" spans="21:38" x14ac:dyDescent="0.2"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</row>
    <row r="330" spans="21:38" x14ac:dyDescent="0.2"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</row>
    <row r="331" spans="21:38" x14ac:dyDescent="0.2"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</row>
    <row r="332" spans="21:38" x14ac:dyDescent="0.2"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</row>
    <row r="333" spans="21:38" x14ac:dyDescent="0.2"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</row>
  </sheetData>
  <sheetProtection password="DED9" sheet="1" objects="1" scenarios="1" selectLockedCells="1"/>
  <mergeCells count="214">
    <mergeCell ref="A57:N57"/>
    <mergeCell ref="O57:Q57"/>
    <mergeCell ref="A58:N58"/>
    <mergeCell ref="O58:Q58"/>
    <mergeCell ref="A53:T53"/>
    <mergeCell ref="A54:T54"/>
    <mergeCell ref="A55:T55"/>
    <mergeCell ref="A56:T56"/>
    <mergeCell ref="A51:J51"/>
    <mergeCell ref="M51:N51"/>
    <mergeCell ref="O51:Q51"/>
    <mergeCell ref="A52:J52"/>
    <mergeCell ref="M52:N52"/>
    <mergeCell ref="O52:Q52"/>
    <mergeCell ref="A77:D77"/>
    <mergeCell ref="E77:K77"/>
    <mergeCell ref="L77:T77"/>
    <mergeCell ref="A78:T78"/>
    <mergeCell ref="A75:T75"/>
    <mergeCell ref="A76:D76"/>
    <mergeCell ref="E76:K76"/>
    <mergeCell ref="L76:T76"/>
    <mergeCell ref="A63:Q63"/>
    <mergeCell ref="A64:Q64"/>
    <mergeCell ref="A65:Q65"/>
    <mergeCell ref="A66:T66"/>
    <mergeCell ref="A67:R67"/>
    <mergeCell ref="A68:T68"/>
    <mergeCell ref="A69:G69"/>
    <mergeCell ref="H69:R69"/>
    <mergeCell ref="A59:T59"/>
    <mergeCell ref="A60:Q60"/>
    <mergeCell ref="A61:Q61"/>
    <mergeCell ref="A62:Q62"/>
    <mergeCell ref="B74:C74"/>
    <mergeCell ref="E74:G74"/>
    <mergeCell ref="H74:L74"/>
    <mergeCell ref="O74:T74"/>
    <mergeCell ref="A70:G70"/>
    <mergeCell ref="H70:R70"/>
    <mergeCell ref="A71:R71"/>
    <mergeCell ref="A72:T72"/>
    <mergeCell ref="B73:L73"/>
    <mergeCell ref="O73:T73"/>
    <mergeCell ref="A49:J49"/>
    <mergeCell ref="M49:N49"/>
    <mergeCell ref="O49:Q49"/>
    <mergeCell ref="A50:J50"/>
    <mergeCell ref="M50:N50"/>
    <mergeCell ref="O50:Q50"/>
    <mergeCell ref="A45:T45"/>
    <mergeCell ref="A46:J46"/>
    <mergeCell ref="M46:R46"/>
    <mergeCell ref="A47:J48"/>
    <mergeCell ref="M47:N47"/>
    <mergeCell ref="O47:Q47"/>
    <mergeCell ref="T47:T48"/>
    <mergeCell ref="M48:N48"/>
    <mergeCell ref="O48:Q48"/>
    <mergeCell ref="A43:J43"/>
    <mergeCell ref="K43:L43"/>
    <mergeCell ref="M43:N43"/>
    <mergeCell ref="P43:Q43"/>
    <mergeCell ref="A44:J44"/>
    <mergeCell ref="K44:L44"/>
    <mergeCell ref="M44:N44"/>
    <mergeCell ref="P44:Q44"/>
    <mergeCell ref="A41:J41"/>
    <mergeCell ref="K41:L41"/>
    <mergeCell ref="M41:N41"/>
    <mergeCell ref="P41:Q41"/>
    <mergeCell ref="A42:J42"/>
    <mergeCell ref="K42:L42"/>
    <mergeCell ref="M42:N42"/>
    <mergeCell ref="P42:Q42"/>
    <mergeCell ref="A39:J39"/>
    <mergeCell ref="K39:L40"/>
    <mergeCell ref="M39:Q39"/>
    <mergeCell ref="A40:J40"/>
    <mergeCell ref="M40:N40"/>
    <mergeCell ref="P40:Q40"/>
    <mergeCell ref="A35:J35"/>
    <mergeCell ref="A36:T36"/>
    <mergeCell ref="A37:T37"/>
    <mergeCell ref="A38:T38"/>
    <mergeCell ref="M35:N35"/>
    <mergeCell ref="O35:Q35"/>
    <mergeCell ref="A34:J34"/>
    <mergeCell ref="A31:T31"/>
    <mergeCell ref="A32:J33"/>
    <mergeCell ref="M32:R32"/>
    <mergeCell ref="S32:S33"/>
    <mergeCell ref="T32:T33"/>
    <mergeCell ref="A29:C29"/>
    <mergeCell ref="D29:G29"/>
    <mergeCell ref="H29:N29"/>
    <mergeCell ref="O29:Q29"/>
    <mergeCell ref="A30:C30"/>
    <mergeCell ref="D30:N30"/>
    <mergeCell ref="O30:Q30"/>
    <mergeCell ref="M33:N33"/>
    <mergeCell ref="M34:N34"/>
    <mergeCell ref="O33:Q33"/>
    <mergeCell ref="O34:Q34"/>
    <mergeCell ref="A26:N26"/>
    <mergeCell ref="O26:Q26"/>
    <mergeCell ref="A27:N27"/>
    <mergeCell ref="O27:Q27"/>
    <mergeCell ref="A28:N28"/>
    <mergeCell ref="O28:Q28"/>
    <mergeCell ref="A23:K23"/>
    <mergeCell ref="L23:N23"/>
    <mergeCell ref="O23:Q23"/>
    <mergeCell ref="A24:N24"/>
    <mergeCell ref="O24:R24"/>
    <mergeCell ref="A25:T25"/>
    <mergeCell ref="A22:B22"/>
    <mergeCell ref="C22:D22"/>
    <mergeCell ref="E22:G22"/>
    <mergeCell ref="H22:J22"/>
    <mergeCell ref="L22:N22"/>
    <mergeCell ref="O22:Q22"/>
    <mergeCell ref="A21:B21"/>
    <mergeCell ref="C21:D21"/>
    <mergeCell ref="E21:G21"/>
    <mergeCell ref="H21:J21"/>
    <mergeCell ref="L21:N21"/>
    <mergeCell ref="O21:Q21"/>
    <mergeCell ref="A20:B20"/>
    <mergeCell ref="C20:D20"/>
    <mergeCell ref="E20:G20"/>
    <mergeCell ref="H20:J20"/>
    <mergeCell ref="L20:N20"/>
    <mergeCell ref="O20:Q20"/>
    <mergeCell ref="A19:B19"/>
    <mergeCell ref="C19:D19"/>
    <mergeCell ref="E19:G19"/>
    <mergeCell ref="H19:J19"/>
    <mergeCell ref="L19:N19"/>
    <mergeCell ref="O19:Q19"/>
    <mergeCell ref="A18:B18"/>
    <mergeCell ref="C18:D18"/>
    <mergeCell ref="E18:G18"/>
    <mergeCell ref="H18:J18"/>
    <mergeCell ref="L18:N18"/>
    <mergeCell ref="O18:Q18"/>
    <mergeCell ref="A17:B17"/>
    <mergeCell ref="C17:D17"/>
    <mergeCell ref="E17:G17"/>
    <mergeCell ref="H17:J17"/>
    <mergeCell ref="L17:N17"/>
    <mergeCell ref="O17:Q17"/>
    <mergeCell ref="A16:B16"/>
    <mergeCell ref="C16:D16"/>
    <mergeCell ref="E16:G16"/>
    <mergeCell ref="H16:J16"/>
    <mergeCell ref="L16:N16"/>
    <mergeCell ref="O16:Q16"/>
    <mergeCell ref="A15:B15"/>
    <mergeCell ref="C15:D15"/>
    <mergeCell ref="E15:G15"/>
    <mergeCell ref="H15:J15"/>
    <mergeCell ref="L15:N15"/>
    <mergeCell ref="O15:Q15"/>
    <mergeCell ref="A14:B14"/>
    <mergeCell ref="C14:D14"/>
    <mergeCell ref="E14:G14"/>
    <mergeCell ref="H14:J14"/>
    <mergeCell ref="L14:N14"/>
    <mergeCell ref="O14:Q14"/>
    <mergeCell ref="A13:B13"/>
    <mergeCell ref="C13:D13"/>
    <mergeCell ref="E13:G13"/>
    <mergeCell ref="H13:J13"/>
    <mergeCell ref="L13:N13"/>
    <mergeCell ref="O13:Q13"/>
    <mergeCell ref="A12:B12"/>
    <mergeCell ref="C12:D12"/>
    <mergeCell ref="E12:G12"/>
    <mergeCell ref="H12:J12"/>
    <mergeCell ref="L12:N12"/>
    <mergeCell ref="O12:Q12"/>
    <mergeCell ref="A11:B11"/>
    <mergeCell ref="C11:D11"/>
    <mergeCell ref="E11:G11"/>
    <mergeCell ref="H11:J11"/>
    <mergeCell ref="L11:N11"/>
    <mergeCell ref="O11:Q11"/>
    <mergeCell ref="A6:T6"/>
    <mergeCell ref="A7:T7"/>
    <mergeCell ref="A8:T8"/>
    <mergeCell ref="A9:T9"/>
    <mergeCell ref="A10:B10"/>
    <mergeCell ref="C10:D10"/>
    <mergeCell ref="E10:G10"/>
    <mergeCell ref="H10:J10"/>
    <mergeCell ref="L10:N10"/>
    <mergeCell ref="O10:Q10"/>
    <mergeCell ref="A4:F4"/>
    <mergeCell ref="H4:J4"/>
    <mergeCell ref="K4:P4"/>
    <mergeCell ref="Q4:T4"/>
    <mergeCell ref="A5:F5"/>
    <mergeCell ref="H5:J5"/>
    <mergeCell ref="K5:P5"/>
    <mergeCell ref="Q5:T5"/>
    <mergeCell ref="A1:T1"/>
    <mergeCell ref="A2:J2"/>
    <mergeCell ref="K2:M2"/>
    <mergeCell ref="N2:P2"/>
    <mergeCell ref="A3:J3"/>
    <mergeCell ref="K3:M3"/>
    <mergeCell ref="N3:P3"/>
    <mergeCell ref="Q3:S3"/>
  </mergeCells>
  <pageMargins left="0.59055118110236227" right="0.39370078740157483" top="0.39370078740157483" bottom="0.39370078740157483" header="0.51181102362204722" footer="0.39370078740157483"/>
  <pageSetup paperSize="9" scale="57" fitToHeight="2" orientation="portrait" r:id="rId1"/>
  <headerFooter alignWithMargins="0">
    <oddFooter>Side &amp;P av &amp;N</oddFooter>
  </headerFooter>
  <rowBreaks count="1" manualBreakCount="1">
    <brk id="36" max="1638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3"/>
  <dimension ref="A1:CY337"/>
  <sheetViews>
    <sheetView showGridLines="0" zoomScale="80" zoomScaleNormal="80" workbookViewId="0">
      <selection activeCell="A3" sqref="A3:J3"/>
    </sheetView>
  </sheetViews>
  <sheetFormatPr baseColWidth="10" defaultColWidth="9.140625" defaultRowHeight="12.75" x14ac:dyDescent="0.2"/>
  <cols>
    <col min="1" max="1" width="3.42578125" customWidth="1"/>
    <col min="2" max="2" width="12" customWidth="1"/>
    <col min="3" max="3" width="7.28515625" customWidth="1"/>
    <col min="4" max="4" width="5" customWidth="1"/>
    <col min="5" max="5" width="11" customWidth="1"/>
    <col min="6" max="6" width="4.7109375" customWidth="1"/>
    <col min="7" max="7" width="12" customWidth="1"/>
    <col min="8" max="8" width="12.5703125" customWidth="1"/>
    <col min="9" max="9" width="6.140625" customWidth="1"/>
    <col min="10" max="10" width="6.42578125" customWidth="1"/>
    <col min="11" max="12" width="10.28515625" customWidth="1"/>
    <col min="13" max="14" width="5.28515625" customWidth="1"/>
    <col min="15" max="15" width="2.7109375" customWidth="1"/>
    <col min="16" max="16" width="3.85546875" customWidth="1"/>
    <col min="17" max="17" width="5.85546875" customWidth="1"/>
    <col min="18" max="18" width="11" customWidth="1"/>
    <col min="19" max="19" width="12.5703125" customWidth="1"/>
    <col min="20" max="20" width="12.140625" customWidth="1"/>
  </cols>
  <sheetData>
    <row r="1" spans="1:103" ht="99.95" customHeight="1" x14ac:dyDescent="0.2">
      <c r="A1" s="380" t="s">
        <v>56</v>
      </c>
      <c r="B1" s="380"/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0"/>
      <c r="O1" s="380"/>
      <c r="P1" s="380"/>
      <c r="Q1" s="380"/>
      <c r="R1" s="380"/>
      <c r="S1" s="380"/>
      <c r="T1" s="380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3"/>
      <c r="AO1" s="3"/>
    </row>
    <row r="2" spans="1:103" s="14" customFormat="1" ht="18" customHeight="1" x14ac:dyDescent="0.25">
      <c r="A2" s="619" t="s">
        <v>48</v>
      </c>
      <c r="B2" s="620"/>
      <c r="C2" s="620"/>
      <c r="D2" s="620"/>
      <c r="E2" s="620"/>
      <c r="F2" s="620"/>
      <c r="G2" s="620"/>
      <c r="H2" s="620"/>
      <c r="I2" s="620"/>
      <c r="J2" s="621"/>
      <c r="K2" s="622" t="s">
        <v>49</v>
      </c>
      <c r="L2" s="623"/>
      <c r="M2" s="624"/>
      <c r="N2" s="625" t="s">
        <v>50</v>
      </c>
      <c r="O2" s="626"/>
      <c r="P2" s="627"/>
      <c r="Q2" s="10" t="s">
        <v>51</v>
      </c>
      <c r="R2" s="8"/>
      <c r="S2" s="9"/>
      <c r="T2" s="11" t="s">
        <v>50</v>
      </c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3"/>
      <c r="AO2" s="13"/>
    </row>
    <row r="3" spans="1:103" s="1" customFormat="1" ht="36" customHeight="1" x14ac:dyDescent="0.2">
      <c r="A3" s="374"/>
      <c r="B3" s="390"/>
      <c r="C3" s="390"/>
      <c r="D3" s="390"/>
      <c r="E3" s="390"/>
      <c r="F3" s="390"/>
      <c r="G3" s="390"/>
      <c r="H3" s="390"/>
      <c r="I3" s="390"/>
      <c r="J3" s="391"/>
      <c r="K3" s="392"/>
      <c r="L3" s="393"/>
      <c r="M3" s="394"/>
      <c r="N3" s="395"/>
      <c r="O3" s="396"/>
      <c r="P3" s="397"/>
      <c r="Q3" s="398"/>
      <c r="R3" s="393"/>
      <c r="S3" s="394"/>
      <c r="T3" s="15"/>
      <c r="U3" s="16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8"/>
      <c r="AO3" s="18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</row>
    <row r="4" spans="1:103" s="22" customFormat="1" ht="18" customHeight="1" x14ac:dyDescent="0.2">
      <c r="A4" s="613" t="s">
        <v>52</v>
      </c>
      <c r="B4" s="614"/>
      <c r="C4" s="614"/>
      <c r="D4" s="614"/>
      <c r="E4" s="614"/>
      <c r="F4" s="615"/>
      <c r="G4" s="19" t="s">
        <v>53</v>
      </c>
      <c r="H4" s="616" t="s">
        <v>54</v>
      </c>
      <c r="I4" s="616"/>
      <c r="J4" s="616"/>
      <c r="K4" s="616" t="s">
        <v>55</v>
      </c>
      <c r="L4" s="617"/>
      <c r="M4" s="617"/>
      <c r="N4" s="617"/>
      <c r="O4" s="617"/>
      <c r="P4" s="617"/>
      <c r="Q4" s="616" t="s">
        <v>57</v>
      </c>
      <c r="R4" s="617"/>
      <c r="S4" s="617"/>
      <c r="T4" s="618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1"/>
      <c r="AO4" s="21"/>
    </row>
    <row r="5" spans="1:103" ht="36" customHeight="1" x14ac:dyDescent="0.2">
      <c r="A5" s="374"/>
      <c r="B5" s="375"/>
      <c r="C5" s="375"/>
      <c r="D5" s="375"/>
      <c r="E5" s="375"/>
      <c r="F5" s="376"/>
      <c r="G5" s="23"/>
      <c r="H5" s="377"/>
      <c r="I5" s="377"/>
      <c r="J5" s="377"/>
      <c r="K5" s="377"/>
      <c r="L5" s="378"/>
      <c r="M5" s="378"/>
      <c r="N5" s="378"/>
      <c r="O5" s="378"/>
      <c r="P5" s="378"/>
      <c r="Q5" s="377"/>
      <c r="R5" s="378"/>
      <c r="S5" s="378"/>
      <c r="T5" s="379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3"/>
      <c r="AO5" s="3"/>
    </row>
    <row r="6" spans="1:103" s="22" customFormat="1" ht="18" customHeight="1" x14ac:dyDescent="0.2">
      <c r="A6" s="628" t="s">
        <v>82</v>
      </c>
      <c r="B6" s="629"/>
      <c r="C6" s="629"/>
      <c r="D6" s="629"/>
      <c r="E6" s="617"/>
      <c r="F6" s="617"/>
      <c r="G6" s="617"/>
      <c r="H6" s="617"/>
      <c r="I6" s="617"/>
      <c r="J6" s="617"/>
      <c r="K6" s="617"/>
      <c r="L6" s="617"/>
      <c r="M6" s="617"/>
      <c r="N6" s="617"/>
      <c r="O6" s="617"/>
      <c r="P6" s="617"/>
      <c r="Q6" s="617"/>
      <c r="R6" s="617"/>
      <c r="S6" s="617"/>
      <c r="T6" s="618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1"/>
      <c r="AO6" s="21"/>
    </row>
    <row r="7" spans="1:103" ht="36" customHeight="1" x14ac:dyDescent="0.2">
      <c r="A7" s="409"/>
      <c r="B7" s="410"/>
      <c r="C7" s="410"/>
      <c r="D7" s="410"/>
      <c r="E7" s="410"/>
      <c r="F7" s="410"/>
      <c r="G7" s="410"/>
      <c r="H7" s="410"/>
      <c r="I7" s="410"/>
      <c r="J7" s="410"/>
      <c r="K7" s="410"/>
      <c r="L7" s="410"/>
      <c r="M7" s="410"/>
      <c r="N7" s="410"/>
      <c r="O7" s="410"/>
      <c r="P7" s="410"/>
      <c r="Q7" s="410"/>
      <c r="R7" s="410"/>
      <c r="S7" s="410"/>
      <c r="T7" s="411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3"/>
      <c r="AO7" s="3"/>
    </row>
    <row r="8" spans="1:103" ht="24" customHeight="1" x14ac:dyDescent="0.2">
      <c r="A8" s="412"/>
      <c r="B8" s="413"/>
      <c r="C8" s="413"/>
      <c r="D8" s="413"/>
      <c r="E8" s="413"/>
      <c r="F8" s="413"/>
      <c r="G8" s="413"/>
      <c r="H8" s="413"/>
      <c r="I8" s="413"/>
      <c r="J8" s="413"/>
      <c r="K8" s="413"/>
      <c r="L8" s="413"/>
      <c r="M8" s="413"/>
      <c r="N8" s="413"/>
      <c r="O8" s="413"/>
      <c r="P8" s="413"/>
      <c r="Q8" s="413"/>
      <c r="R8" s="413"/>
      <c r="S8" s="413"/>
      <c r="T8" s="413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3"/>
      <c r="AO8" s="3"/>
    </row>
    <row r="9" spans="1:103" ht="24" customHeight="1" x14ac:dyDescent="0.2">
      <c r="A9" s="630" t="s">
        <v>58</v>
      </c>
      <c r="B9" s="631"/>
      <c r="C9" s="631"/>
      <c r="D9" s="631"/>
      <c r="E9" s="631"/>
      <c r="F9" s="631"/>
      <c r="G9" s="631"/>
      <c r="H9" s="631"/>
      <c r="I9" s="631"/>
      <c r="J9" s="631"/>
      <c r="K9" s="631"/>
      <c r="L9" s="631"/>
      <c r="M9" s="631"/>
      <c r="N9" s="631"/>
      <c r="O9" s="631"/>
      <c r="P9" s="631"/>
      <c r="Q9" s="631"/>
      <c r="R9" s="631"/>
      <c r="S9" s="631"/>
      <c r="T9" s="632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3"/>
      <c r="AO9" s="3"/>
    </row>
    <row r="10" spans="1:103" s="2" customFormat="1" ht="30" customHeight="1" x14ac:dyDescent="0.2">
      <c r="A10" s="633" t="s">
        <v>32</v>
      </c>
      <c r="B10" s="634"/>
      <c r="C10" s="634" t="s">
        <v>59</v>
      </c>
      <c r="D10" s="634"/>
      <c r="E10" s="634" t="s">
        <v>67</v>
      </c>
      <c r="F10" s="634"/>
      <c r="G10" s="634"/>
      <c r="H10" s="634" t="s">
        <v>68</v>
      </c>
      <c r="I10" s="634"/>
      <c r="J10" s="634"/>
      <c r="K10" s="24" t="s">
        <v>60</v>
      </c>
      <c r="L10" s="635" t="s">
        <v>61</v>
      </c>
      <c r="M10" s="635"/>
      <c r="N10" s="635"/>
      <c r="O10" s="635" t="s">
        <v>1</v>
      </c>
      <c r="P10" s="635"/>
      <c r="Q10" s="635"/>
      <c r="R10" s="25" t="s">
        <v>62</v>
      </c>
      <c r="S10" s="25" t="s">
        <v>63</v>
      </c>
      <c r="T10" s="26" t="s">
        <v>64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4"/>
      <c r="AO10" s="4"/>
    </row>
    <row r="11" spans="1:103" ht="36" customHeight="1" x14ac:dyDescent="0.2">
      <c r="A11" s="399"/>
      <c r="B11" s="400"/>
      <c r="C11" s="401"/>
      <c r="D11" s="402"/>
      <c r="E11" s="403"/>
      <c r="F11" s="404"/>
      <c r="G11" s="404"/>
      <c r="H11" s="403"/>
      <c r="I11" s="404"/>
      <c r="J11" s="404"/>
      <c r="K11" s="28"/>
      <c r="L11" s="403"/>
      <c r="M11" s="404"/>
      <c r="N11" s="404"/>
      <c r="O11" s="405"/>
      <c r="P11" s="406"/>
      <c r="Q11" s="406"/>
      <c r="R11" s="30"/>
      <c r="S11" s="29"/>
      <c r="T11" s="31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3"/>
      <c r="AO11" s="3"/>
    </row>
    <row r="12" spans="1:103" ht="36" customHeight="1" x14ac:dyDescent="0.2">
      <c r="A12" s="420"/>
      <c r="B12" s="421"/>
      <c r="C12" s="401"/>
      <c r="D12" s="402"/>
      <c r="E12" s="403"/>
      <c r="F12" s="404"/>
      <c r="G12" s="404"/>
      <c r="H12" s="403"/>
      <c r="I12" s="404"/>
      <c r="J12" s="404"/>
      <c r="K12" s="28"/>
      <c r="L12" s="403"/>
      <c r="M12" s="404"/>
      <c r="N12" s="404"/>
      <c r="O12" s="405"/>
      <c r="P12" s="406"/>
      <c r="Q12" s="406"/>
      <c r="R12" s="30"/>
      <c r="S12" s="29"/>
      <c r="T12" s="31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3"/>
      <c r="AO12" s="3"/>
    </row>
    <row r="13" spans="1:103" ht="36" customHeight="1" x14ac:dyDescent="0.2">
      <c r="A13" s="420"/>
      <c r="B13" s="421"/>
      <c r="C13" s="401"/>
      <c r="D13" s="402"/>
      <c r="E13" s="403"/>
      <c r="F13" s="404"/>
      <c r="G13" s="404"/>
      <c r="H13" s="403"/>
      <c r="I13" s="404"/>
      <c r="J13" s="404"/>
      <c r="K13" s="28"/>
      <c r="L13" s="403"/>
      <c r="M13" s="404"/>
      <c r="N13" s="404"/>
      <c r="O13" s="405"/>
      <c r="P13" s="406"/>
      <c r="Q13" s="406"/>
      <c r="R13" s="30"/>
      <c r="S13" s="29"/>
      <c r="T13" s="31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3"/>
      <c r="AO13" s="3"/>
    </row>
    <row r="14" spans="1:103" ht="36" customHeight="1" x14ac:dyDescent="0.2">
      <c r="A14" s="611"/>
      <c r="B14" s="423"/>
      <c r="C14" s="424"/>
      <c r="D14" s="425"/>
      <c r="E14" s="426"/>
      <c r="F14" s="427"/>
      <c r="G14" s="427"/>
      <c r="H14" s="426"/>
      <c r="I14" s="427"/>
      <c r="J14" s="427"/>
      <c r="K14" s="32"/>
      <c r="L14" s="426"/>
      <c r="M14" s="427"/>
      <c r="N14" s="427"/>
      <c r="O14" s="428"/>
      <c r="P14" s="429"/>
      <c r="Q14" s="429"/>
      <c r="R14" s="34"/>
      <c r="S14" s="33"/>
      <c r="T14" s="35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3"/>
      <c r="AO14" s="3"/>
    </row>
    <row r="15" spans="1:103" ht="36" customHeight="1" x14ac:dyDescent="0.2">
      <c r="A15" s="420"/>
      <c r="B15" s="421"/>
      <c r="C15" s="401"/>
      <c r="D15" s="402"/>
      <c r="E15" s="403"/>
      <c r="F15" s="404"/>
      <c r="G15" s="404"/>
      <c r="H15" s="403"/>
      <c r="I15" s="404"/>
      <c r="J15" s="404"/>
      <c r="K15" s="28"/>
      <c r="L15" s="403"/>
      <c r="M15" s="404"/>
      <c r="N15" s="404"/>
      <c r="O15" s="405"/>
      <c r="P15" s="406"/>
      <c r="Q15" s="406"/>
      <c r="R15" s="30"/>
      <c r="S15" s="29"/>
      <c r="T15" s="31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3"/>
      <c r="AO15" s="3"/>
    </row>
    <row r="16" spans="1:103" ht="36" customHeight="1" x14ac:dyDescent="0.2">
      <c r="A16" s="420"/>
      <c r="B16" s="421"/>
      <c r="C16" s="401"/>
      <c r="D16" s="402"/>
      <c r="E16" s="403"/>
      <c r="F16" s="404"/>
      <c r="G16" s="404"/>
      <c r="H16" s="403"/>
      <c r="I16" s="404"/>
      <c r="J16" s="404"/>
      <c r="K16" s="28"/>
      <c r="L16" s="403"/>
      <c r="M16" s="404"/>
      <c r="N16" s="404"/>
      <c r="O16" s="405"/>
      <c r="P16" s="406"/>
      <c r="Q16" s="406"/>
      <c r="R16" s="30"/>
      <c r="S16" s="29"/>
      <c r="T16" s="31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3"/>
      <c r="AO16" s="3"/>
    </row>
    <row r="17" spans="1:41" ht="36" customHeight="1" x14ac:dyDescent="0.2">
      <c r="A17" s="420"/>
      <c r="B17" s="421"/>
      <c r="C17" s="401"/>
      <c r="D17" s="402"/>
      <c r="E17" s="403"/>
      <c r="F17" s="404"/>
      <c r="G17" s="404"/>
      <c r="H17" s="403"/>
      <c r="I17" s="404"/>
      <c r="J17" s="404"/>
      <c r="K17" s="28"/>
      <c r="L17" s="403"/>
      <c r="M17" s="404"/>
      <c r="N17" s="404"/>
      <c r="O17" s="405"/>
      <c r="P17" s="406"/>
      <c r="Q17" s="406"/>
      <c r="R17" s="30"/>
      <c r="S17" s="29"/>
      <c r="T17" s="31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3"/>
      <c r="AO17" s="3"/>
    </row>
    <row r="18" spans="1:41" ht="36" customHeight="1" x14ac:dyDescent="0.2">
      <c r="A18" s="420"/>
      <c r="B18" s="421"/>
      <c r="C18" s="401"/>
      <c r="D18" s="402"/>
      <c r="E18" s="403"/>
      <c r="F18" s="404"/>
      <c r="G18" s="404"/>
      <c r="H18" s="403"/>
      <c r="I18" s="404"/>
      <c r="J18" s="404"/>
      <c r="K18" s="28"/>
      <c r="L18" s="403"/>
      <c r="M18" s="404"/>
      <c r="N18" s="404"/>
      <c r="O18" s="405"/>
      <c r="P18" s="406"/>
      <c r="Q18" s="406"/>
      <c r="R18" s="30"/>
      <c r="S18" s="29"/>
      <c r="T18" s="31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3"/>
      <c r="AO18" s="3"/>
    </row>
    <row r="19" spans="1:41" ht="36" customHeight="1" x14ac:dyDescent="0.2">
      <c r="A19" s="420"/>
      <c r="B19" s="421"/>
      <c r="C19" s="401"/>
      <c r="D19" s="402"/>
      <c r="E19" s="403"/>
      <c r="F19" s="404"/>
      <c r="G19" s="404"/>
      <c r="H19" s="403"/>
      <c r="I19" s="404"/>
      <c r="J19" s="404"/>
      <c r="K19" s="28"/>
      <c r="L19" s="403"/>
      <c r="M19" s="404"/>
      <c r="N19" s="404"/>
      <c r="O19" s="405"/>
      <c r="P19" s="406"/>
      <c r="Q19" s="406"/>
      <c r="R19" s="30"/>
      <c r="S19" s="29"/>
      <c r="T19" s="31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3"/>
      <c r="AO19" s="3"/>
    </row>
    <row r="20" spans="1:41" ht="36" customHeight="1" x14ac:dyDescent="0.2">
      <c r="A20" s="420"/>
      <c r="B20" s="421"/>
      <c r="C20" s="401"/>
      <c r="D20" s="402"/>
      <c r="E20" s="403"/>
      <c r="F20" s="404"/>
      <c r="G20" s="404"/>
      <c r="H20" s="403"/>
      <c r="I20" s="404"/>
      <c r="J20" s="404"/>
      <c r="K20" s="28"/>
      <c r="L20" s="403"/>
      <c r="M20" s="404"/>
      <c r="N20" s="404"/>
      <c r="O20" s="405"/>
      <c r="P20" s="406"/>
      <c r="Q20" s="406"/>
      <c r="R20" s="30"/>
      <c r="S20" s="29"/>
      <c r="T20" s="31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3"/>
      <c r="AO20" s="3"/>
    </row>
    <row r="21" spans="1:41" ht="36" customHeight="1" x14ac:dyDescent="0.2">
      <c r="A21" s="420"/>
      <c r="B21" s="421"/>
      <c r="C21" s="401"/>
      <c r="D21" s="402"/>
      <c r="E21" s="403"/>
      <c r="F21" s="404"/>
      <c r="G21" s="404"/>
      <c r="H21" s="403"/>
      <c r="I21" s="404"/>
      <c r="J21" s="404"/>
      <c r="K21" s="28"/>
      <c r="L21" s="403"/>
      <c r="M21" s="404"/>
      <c r="N21" s="404"/>
      <c r="O21" s="405"/>
      <c r="P21" s="406"/>
      <c r="Q21" s="406"/>
      <c r="R21" s="30"/>
      <c r="S21" s="29"/>
      <c r="T21" s="31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3"/>
      <c r="AO21" s="3"/>
    </row>
    <row r="22" spans="1:41" ht="36" customHeight="1" x14ac:dyDescent="0.2">
      <c r="A22" s="420"/>
      <c r="B22" s="421"/>
      <c r="C22" s="401"/>
      <c r="D22" s="402"/>
      <c r="E22" s="403"/>
      <c r="F22" s="404"/>
      <c r="G22" s="404"/>
      <c r="H22" s="403"/>
      <c r="I22" s="404"/>
      <c r="J22" s="404"/>
      <c r="K22" s="28"/>
      <c r="L22" s="403"/>
      <c r="M22" s="404"/>
      <c r="N22" s="404"/>
      <c r="O22" s="405"/>
      <c r="P22" s="406"/>
      <c r="Q22" s="406"/>
      <c r="R22" s="30"/>
      <c r="S22" s="29"/>
      <c r="T22" s="31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3"/>
      <c r="AO22" s="3"/>
    </row>
    <row r="23" spans="1:41" ht="36" customHeight="1" x14ac:dyDescent="0.2">
      <c r="A23" s="640"/>
      <c r="B23" s="641"/>
      <c r="C23" s="641"/>
      <c r="D23" s="641"/>
      <c r="E23" s="641"/>
      <c r="F23" s="641"/>
      <c r="G23" s="641"/>
      <c r="H23" s="641"/>
      <c r="I23" s="641"/>
      <c r="J23" s="641"/>
      <c r="K23" s="641"/>
      <c r="L23" s="642" t="s">
        <v>65</v>
      </c>
      <c r="M23" s="643"/>
      <c r="N23" s="643"/>
      <c r="O23" s="435">
        <f>SUM(O11:Q22)</f>
        <v>0</v>
      </c>
      <c r="P23" s="436"/>
      <c r="Q23" s="436"/>
      <c r="R23" s="36" t="s">
        <v>3</v>
      </c>
      <c r="S23" s="37">
        <f>SUM(S11:S22)</f>
        <v>0</v>
      </c>
      <c r="T23" s="38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3"/>
      <c r="AO23" s="3"/>
    </row>
    <row r="24" spans="1:41" ht="36" customHeight="1" x14ac:dyDescent="0.25">
      <c r="A24" s="644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6"/>
      <c r="M24" s="646"/>
      <c r="N24" s="647"/>
      <c r="O24" s="648" t="s">
        <v>66</v>
      </c>
      <c r="P24" s="649"/>
      <c r="Q24" s="649"/>
      <c r="R24" s="650"/>
      <c r="S24" s="78"/>
      <c r="T24" s="39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3"/>
      <c r="AO24" s="3"/>
    </row>
    <row r="25" spans="1:41" ht="24" customHeight="1" x14ac:dyDescent="0.2">
      <c r="A25" s="412"/>
      <c r="B25" s="413"/>
      <c r="C25" s="413"/>
      <c r="D25" s="413"/>
      <c r="E25" s="413"/>
      <c r="F25" s="413"/>
      <c r="G25" s="413"/>
      <c r="H25" s="413"/>
      <c r="I25" s="413"/>
      <c r="J25" s="413"/>
      <c r="K25" s="413"/>
      <c r="L25" s="413"/>
      <c r="M25" s="413"/>
      <c r="N25" s="413"/>
      <c r="O25" s="413"/>
      <c r="P25" s="413"/>
      <c r="Q25" s="413"/>
      <c r="R25" s="413"/>
      <c r="S25" s="413"/>
      <c r="T25" s="413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3"/>
      <c r="AO25" s="3"/>
    </row>
    <row r="26" spans="1:41" s="2" customFormat="1" ht="36" customHeight="1" x14ac:dyDescent="0.2">
      <c r="A26" s="630" t="s">
        <v>44</v>
      </c>
      <c r="B26" s="631"/>
      <c r="C26" s="631"/>
      <c r="D26" s="631"/>
      <c r="E26" s="631"/>
      <c r="F26" s="631"/>
      <c r="G26" s="631"/>
      <c r="H26" s="631"/>
      <c r="I26" s="631"/>
      <c r="J26" s="631"/>
      <c r="K26" s="631"/>
      <c r="L26" s="631"/>
      <c r="M26" s="631"/>
      <c r="N26" s="631"/>
      <c r="O26" s="636" t="s">
        <v>3</v>
      </c>
      <c r="P26" s="637"/>
      <c r="Q26" s="637"/>
      <c r="R26" s="40" t="s">
        <v>41</v>
      </c>
      <c r="S26" s="40" t="s">
        <v>1</v>
      </c>
      <c r="T26" s="67" t="s">
        <v>78</v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4"/>
      <c r="AO26" s="4"/>
    </row>
    <row r="27" spans="1:41" s="2" customFormat="1" ht="36" customHeight="1" x14ac:dyDescent="0.2">
      <c r="A27" s="638" t="s">
        <v>76</v>
      </c>
      <c r="B27" s="639"/>
      <c r="C27" s="639"/>
      <c r="D27" s="639"/>
      <c r="E27" s="639"/>
      <c r="F27" s="639"/>
      <c r="G27" s="639"/>
      <c r="H27" s="639"/>
      <c r="I27" s="639"/>
      <c r="J27" s="639"/>
      <c r="K27" s="639"/>
      <c r="L27" s="639"/>
      <c r="M27" s="639"/>
      <c r="N27" s="639"/>
      <c r="O27" s="449"/>
      <c r="P27" s="450"/>
      <c r="Q27" s="450"/>
      <c r="R27" s="41">
        <v>4.05</v>
      </c>
      <c r="S27" s="42">
        <f>+O27*R27</f>
        <v>0</v>
      </c>
      <c r="T27" s="43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4"/>
      <c r="AO27" s="4"/>
    </row>
    <row r="28" spans="1:41" s="2" customFormat="1" ht="36" customHeight="1" x14ac:dyDescent="0.2">
      <c r="A28" s="638" t="s">
        <v>77</v>
      </c>
      <c r="B28" s="639"/>
      <c r="C28" s="639"/>
      <c r="D28" s="639"/>
      <c r="E28" s="639"/>
      <c r="F28" s="639"/>
      <c r="G28" s="639"/>
      <c r="H28" s="639"/>
      <c r="I28" s="639"/>
      <c r="J28" s="639"/>
      <c r="K28" s="639"/>
      <c r="L28" s="639"/>
      <c r="M28" s="639"/>
      <c r="N28" s="639"/>
      <c r="O28" s="449"/>
      <c r="P28" s="450"/>
      <c r="Q28" s="450"/>
      <c r="R28" s="41">
        <v>3.45</v>
      </c>
      <c r="S28" s="42">
        <f>+O28*R28</f>
        <v>0</v>
      </c>
      <c r="T28" s="43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4"/>
      <c r="AO28" s="4"/>
    </row>
    <row r="29" spans="1:41" s="2" customFormat="1" ht="36" customHeight="1" x14ac:dyDescent="0.2">
      <c r="A29" s="638" t="s">
        <v>10</v>
      </c>
      <c r="B29" s="639"/>
      <c r="C29" s="639"/>
      <c r="D29" s="668" t="s">
        <v>12</v>
      </c>
      <c r="E29" s="639"/>
      <c r="F29" s="639"/>
      <c r="G29" s="639"/>
      <c r="H29" s="447"/>
      <c r="I29" s="448"/>
      <c r="J29" s="448"/>
      <c r="K29" s="448"/>
      <c r="L29" s="448"/>
      <c r="M29" s="448"/>
      <c r="N29" s="448"/>
      <c r="O29" s="449"/>
      <c r="P29" s="450"/>
      <c r="Q29" s="450"/>
      <c r="R29" s="41">
        <v>1</v>
      </c>
      <c r="S29" s="42">
        <f>+O29*R29</f>
        <v>0</v>
      </c>
      <c r="T29" s="43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4"/>
      <c r="AO29" s="4"/>
    </row>
    <row r="30" spans="1:41" ht="36" customHeight="1" x14ac:dyDescent="0.2">
      <c r="A30" s="669" t="s">
        <v>40</v>
      </c>
      <c r="B30" s="670"/>
      <c r="C30" s="671"/>
      <c r="D30" s="454"/>
      <c r="E30" s="455"/>
      <c r="F30" s="455"/>
      <c r="G30" s="455"/>
      <c r="H30" s="455"/>
      <c r="I30" s="455"/>
      <c r="J30" s="455"/>
      <c r="K30" s="455"/>
      <c r="L30" s="455"/>
      <c r="M30" s="455"/>
      <c r="N30" s="456"/>
      <c r="O30" s="729"/>
      <c r="P30" s="730"/>
      <c r="Q30" s="731"/>
      <c r="R30" s="84"/>
      <c r="S30" s="82">
        <f>+O30*R30</f>
        <v>0</v>
      </c>
      <c r="T30" s="46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3"/>
      <c r="AO30" s="3"/>
    </row>
    <row r="31" spans="1:41" ht="24" customHeight="1" x14ac:dyDescent="0.2">
      <c r="A31" s="412"/>
      <c r="B31" s="413"/>
      <c r="C31" s="413"/>
      <c r="D31" s="413"/>
      <c r="E31" s="413"/>
      <c r="F31" s="413"/>
      <c r="G31" s="413"/>
      <c r="H31" s="413"/>
      <c r="I31" s="413"/>
      <c r="J31" s="413"/>
      <c r="K31" s="413"/>
      <c r="L31" s="413"/>
      <c r="M31" s="413"/>
      <c r="N31" s="413"/>
      <c r="O31" s="413"/>
      <c r="P31" s="413"/>
      <c r="Q31" s="413"/>
      <c r="R31" s="413"/>
      <c r="S31" s="413"/>
      <c r="T31" s="413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3"/>
      <c r="AO31" s="3"/>
    </row>
    <row r="32" spans="1:41" s="2" customFormat="1" ht="20.100000000000001" customHeight="1" x14ac:dyDescent="0.2">
      <c r="A32" s="655" t="s">
        <v>39</v>
      </c>
      <c r="B32" s="656"/>
      <c r="C32" s="656"/>
      <c r="D32" s="656"/>
      <c r="E32" s="656"/>
      <c r="F32" s="656"/>
      <c r="G32" s="656"/>
      <c r="H32" s="657"/>
      <c r="I32" s="657"/>
      <c r="J32" s="658"/>
      <c r="K32" s="47"/>
      <c r="L32" s="47"/>
      <c r="M32" s="663" t="s">
        <v>36</v>
      </c>
      <c r="N32" s="664"/>
      <c r="O32" s="664"/>
      <c r="P32" s="664"/>
      <c r="Q32" s="664"/>
      <c r="R32" s="664"/>
      <c r="S32" s="636" t="s">
        <v>1</v>
      </c>
      <c r="T32" s="666" t="s">
        <v>78</v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4"/>
      <c r="AO32" s="4"/>
    </row>
    <row r="33" spans="1:41" s="2" customFormat="1" ht="20.100000000000001" customHeight="1" x14ac:dyDescent="0.2">
      <c r="A33" s="659"/>
      <c r="B33" s="660"/>
      <c r="C33" s="660"/>
      <c r="D33" s="660"/>
      <c r="E33" s="660"/>
      <c r="F33" s="660"/>
      <c r="G33" s="660"/>
      <c r="H33" s="661"/>
      <c r="I33" s="661"/>
      <c r="J33" s="662"/>
      <c r="K33" s="24" t="s">
        <v>38</v>
      </c>
      <c r="L33" s="24" t="s">
        <v>41</v>
      </c>
      <c r="M33" s="672" t="s">
        <v>16</v>
      </c>
      <c r="N33" s="736"/>
      <c r="O33" s="661"/>
      <c r="P33" s="662"/>
      <c r="Q33" s="672" t="s">
        <v>18</v>
      </c>
      <c r="R33" s="662"/>
      <c r="S33" s="665"/>
      <c r="T33" s="66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4"/>
      <c r="AO33" s="4"/>
    </row>
    <row r="34" spans="1:41" s="2" customFormat="1" ht="36" customHeight="1" x14ac:dyDescent="0.2">
      <c r="A34" s="651" t="s">
        <v>31</v>
      </c>
      <c r="B34" s="652"/>
      <c r="C34" s="652"/>
      <c r="D34" s="652"/>
      <c r="E34" s="652"/>
      <c r="F34" s="652"/>
      <c r="G34" s="652"/>
      <c r="H34" s="653"/>
      <c r="I34" s="653"/>
      <c r="J34" s="654"/>
      <c r="K34" s="48"/>
      <c r="L34" s="41">
        <v>200</v>
      </c>
      <c r="M34" s="732"/>
      <c r="N34" s="733"/>
      <c r="O34" s="734"/>
      <c r="P34" s="735"/>
      <c r="Q34" s="732"/>
      <c r="R34" s="735"/>
      <c r="S34" s="42">
        <f>+K34*L34-M34-Q34</f>
        <v>0</v>
      </c>
      <c r="T34" s="43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4"/>
      <c r="AO34" s="4"/>
    </row>
    <row r="35" spans="1:41" s="2" customFormat="1" ht="36" customHeight="1" x14ac:dyDescent="0.2">
      <c r="A35" s="651" t="s">
        <v>47</v>
      </c>
      <c r="B35" s="652"/>
      <c r="C35" s="652"/>
      <c r="D35" s="652"/>
      <c r="E35" s="652"/>
      <c r="F35" s="652"/>
      <c r="G35" s="652"/>
      <c r="H35" s="653"/>
      <c r="I35" s="653"/>
      <c r="J35" s="654"/>
      <c r="K35" s="48"/>
      <c r="L35" s="41">
        <v>310</v>
      </c>
      <c r="M35" s="732"/>
      <c r="N35" s="733"/>
      <c r="O35" s="734"/>
      <c r="P35" s="735"/>
      <c r="Q35" s="732"/>
      <c r="R35" s="735"/>
      <c r="S35" s="42">
        <f>+K35*L35-M35-Q35</f>
        <v>0</v>
      </c>
      <c r="T35" s="43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4"/>
      <c r="AO35" s="4"/>
    </row>
    <row r="36" spans="1:41" s="2" customFormat="1" ht="36" customHeight="1" x14ac:dyDescent="0.2">
      <c r="A36" s="689" t="s">
        <v>13</v>
      </c>
      <c r="B36" s="690"/>
      <c r="C36" s="690"/>
      <c r="D36" s="690"/>
      <c r="E36" s="690"/>
      <c r="F36" s="690"/>
      <c r="G36" s="690"/>
      <c r="H36" s="691"/>
      <c r="I36" s="691"/>
      <c r="J36" s="692"/>
      <c r="K36" s="65"/>
      <c r="L36" s="44">
        <v>510</v>
      </c>
      <c r="M36" s="737"/>
      <c r="N36" s="738"/>
      <c r="O36" s="739"/>
      <c r="P36" s="740"/>
      <c r="Q36" s="737"/>
      <c r="R36" s="740"/>
      <c r="S36" s="81">
        <f>+K36*L36-M36-Q36</f>
        <v>0</v>
      </c>
      <c r="T36" s="46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4"/>
      <c r="AO36" s="4"/>
    </row>
    <row r="37" spans="1:41" ht="36" customHeight="1" x14ac:dyDescent="0.2">
      <c r="A37" s="497" t="s">
        <v>83</v>
      </c>
      <c r="B37" s="498"/>
      <c r="C37" s="498"/>
      <c r="D37" s="498"/>
      <c r="E37" s="498"/>
      <c r="F37" s="498"/>
      <c r="G37" s="498"/>
      <c r="H37" s="498"/>
      <c r="I37" s="498"/>
      <c r="J37" s="498"/>
      <c r="K37" s="498"/>
      <c r="L37" s="498"/>
      <c r="M37" s="498"/>
      <c r="N37" s="498"/>
      <c r="O37" s="498"/>
      <c r="P37" s="498"/>
      <c r="Q37" s="498"/>
      <c r="R37" s="498"/>
      <c r="S37" s="498"/>
      <c r="T37" s="498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49"/>
      <c r="AO37" s="3"/>
    </row>
    <row r="38" spans="1:41" ht="20.100000000000001" customHeight="1" x14ac:dyDescent="0.2">
      <c r="A38" s="499"/>
      <c r="B38" s="500"/>
      <c r="C38" s="500"/>
      <c r="D38" s="500"/>
      <c r="E38" s="500"/>
      <c r="F38" s="500"/>
      <c r="G38" s="500"/>
      <c r="H38" s="500"/>
      <c r="I38" s="500"/>
      <c r="J38" s="500"/>
      <c r="K38" s="500"/>
      <c r="L38" s="500"/>
      <c r="M38" s="500"/>
      <c r="N38" s="500"/>
      <c r="O38" s="500"/>
      <c r="P38" s="500"/>
      <c r="Q38" s="500"/>
      <c r="R38" s="500"/>
      <c r="S38" s="500"/>
      <c r="T38" s="500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3"/>
      <c r="AO38" s="3"/>
    </row>
    <row r="39" spans="1:41" s="2" customFormat="1" ht="36" customHeight="1" x14ac:dyDescent="0.2">
      <c r="A39" s="693" t="s">
        <v>69</v>
      </c>
      <c r="B39" s="694"/>
      <c r="C39" s="694"/>
      <c r="D39" s="694"/>
      <c r="E39" s="694"/>
      <c r="F39" s="694"/>
      <c r="G39" s="694"/>
      <c r="H39" s="694"/>
      <c r="I39" s="694"/>
      <c r="J39" s="694"/>
      <c r="K39" s="694"/>
      <c r="L39" s="694"/>
      <c r="M39" s="694"/>
      <c r="N39" s="694"/>
      <c r="O39" s="694"/>
      <c r="P39" s="694"/>
      <c r="Q39" s="694"/>
      <c r="R39" s="694"/>
      <c r="S39" s="694"/>
      <c r="T39" s="694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4"/>
      <c r="AO39" s="4"/>
    </row>
    <row r="40" spans="1:41" ht="19.5" customHeight="1" x14ac:dyDescent="0.2">
      <c r="A40" s="676" t="s">
        <v>15</v>
      </c>
      <c r="B40" s="677"/>
      <c r="C40" s="677"/>
      <c r="D40" s="677"/>
      <c r="E40" s="677"/>
      <c r="F40" s="677"/>
      <c r="G40" s="677"/>
      <c r="H40" s="677"/>
      <c r="I40" s="677"/>
      <c r="J40" s="678"/>
      <c r="K40" s="679" t="s">
        <v>81</v>
      </c>
      <c r="L40" s="680"/>
      <c r="M40" s="683" t="s">
        <v>32</v>
      </c>
      <c r="N40" s="616"/>
      <c r="O40" s="616"/>
      <c r="P40" s="616"/>
      <c r="Q40" s="616"/>
      <c r="R40" s="50" t="s">
        <v>34</v>
      </c>
      <c r="S40" s="50" t="s">
        <v>11</v>
      </c>
      <c r="T40" s="51" t="s">
        <v>4</v>
      </c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3"/>
      <c r="AO40" s="3"/>
    </row>
    <row r="41" spans="1:41" ht="20.100000000000001" customHeight="1" x14ac:dyDescent="0.2">
      <c r="A41" s="684" t="s">
        <v>85</v>
      </c>
      <c r="B41" s="685"/>
      <c r="C41" s="685"/>
      <c r="D41" s="685"/>
      <c r="E41" s="685"/>
      <c r="F41" s="685"/>
      <c r="G41" s="685"/>
      <c r="H41" s="685"/>
      <c r="I41" s="685"/>
      <c r="J41" s="686"/>
      <c r="K41" s="681"/>
      <c r="L41" s="682"/>
      <c r="M41" s="687" t="s">
        <v>8</v>
      </c>
      <c r="N41" s="688"/>
      <c r="O41" s="52" t="s">
        <v>2</v>
      </c>
      <c r="P41" s="675" t="s">
        <v>7</v>
      </c>
      <c r="Q41" s="634"/>
      <c r="R41" s="24" t="s">
        <v>22</v>
      </c>
      <c r="S41" s="24" t="s">
        <v>21</v>
      </c>
      <c r="T41" s="53" t="s">
        <v>37</v>
      </c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3"/>
      <c r="AO41" s="3"/>
    </row>
    <row r="42" spans="1:41" ht="36" customHeight="1" x14ac:dyDescent="0.2">
      <c r="A42" s="516"/>
      <c r="B42" s="517"/>
      <c r="C42" s="517"/>
      <c r="D42" s="517"/>
      <c r="E42" s="517"/>
      <c r="F42" s="517"/>
      <c r="G42" s="517"/>
      <c r="H42" s="517"/>
      <c r="I42" s="517"/>
      <c r="J42" s="518"/>
      <c r="K42" s="741"/>
      <c r="L42" s="518"/>
      <c r="M42" s="521"/>
      <c r="N42" s="522"/>
      <c r="O42" s="54" t="s">
        <v>2</v>
      </c>
      <c r="P42" s="523"/>
      <c r="Q42" s="524"/>
      <c r="R42" s="55"/>
      <c r="S42" s="41"/>
      <c r="T42" s="43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3"/>
      <c r="AO42" s="3"/>
    </row>
    <row r="43" spans="1:41" ht="36" customHeight="1" x14ac:dyDescent="0.2">
      <c r="A43" s="516"/>
      <c r="B43" s="517"/>
      <c r="C43" s="517"/>
      <c r="D43" s="517"/>
      <c r="E43" s="517"/>
      <c r="F43" s="517"/>
      <c r="G43" s="517"/>
      <c r="H43" s="517"/>
      <c r="I43" s="517"/>
      <c r="J43" s="518"/>
      <c r="K43" s="741"/>
      <c r="L43" s="518"/>
      <c r="M43" s="521"/>
      <c r="N43" s="522"/>
      <c r="O43" s="54" t="s">
        <v>2</v>
      </c>
      <c r="P43" s="523"/>
      <c r="Q43" s="524"/>
      <c r="R43" s="56"/>
      <c r="S43" s="41"/>
      <c r="T43" s="43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3"/>
      <c r="AO43" s="3"/>
    </row>
    <row r="44" spans="1:41" s="2" customFormat="1" ht="36" customHeight="1" x14ac:dyDescent="0.2">
      <c r="A44" s="516"/>
      <c r="B44" s="517"/>
      <c r="C44" s="517"/>
      <c r="D44" s="517"/>
      <c r="E44" s="517"/>
      <c r="F44" s="517"/>
      <c r="G44" s="517"/>
      <c r="H44" s="517"/>
      <c r="I44" s="517"/>
      <c r="J44" s="518"/>
      <c r="K44" s="741"/>
      <c r="L44" s="518"/>
      <c r="M44" s="521"/>
      <c r="N44" s="522"/>
      <c r="O44" s="54" t="s">
        <v>2</v>
      </c>
      <c r="P44" s="523"/>
      <c r="Q44" s="524"/>
      <c r="R44" s="55"/>
      <c r="S44" s="41"/>
      <c r="T44" s="43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4"/>
      <c r="AO44" s="4"/>
    </row>
    <row r="45" spans="1:41" s="2" customFormat="1" ht="36" customHeight="1" x14ac:dyDescent="0.2">
      <c r="A45" s="525"/>
      <c r="B45" s="526"/>
      <c r="C45" s="526"/>
      <c r="D45" s="526"/>
      <c r="E45" s="526"/>
      <c r="F45" s="526"/>
      <c r="G45" s="526"/>
      <c r="H45" s="526"/>
      <c r="I45" s="526"/>
      <c r="J45" s="527"/>
      <c r="K45" s="742"/>
      <c r="L45" s="527"/>
      <c r="M45" s="530"/>
      <c r="N45" s="531"/>
      <c r="O45" s="54" t="s">
        <v>2</v>
      </c>
      <c r="P45" s="532"/>
      <c r="Q45" s="533"/>
      <c r="R45" s="57"/>
      <c r="S45" s="44"/>
      <c r="T45" s="46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4"/>
      <c r="AO45" s="4"/>
    </row>
    <row r="46" spans="1:41" s="2" customFormat="1" ht="24" customHeight="1" x14ac:dyDescent="0.2">
      <c r="A46" s="534"/>
      <c r="B46" s="535"/>
      <c r="C46" s="535"/>
      <c r="D46" s="535"/>
      <c r="E46" s="535"/>
      <c r="F46" s="535"/>
      <c r="G46" s="535"/>
      <c r="H46" s="535"/>
      <c r="I46" s="535"/>
      <c r="J46" s="535"/>
      <c r="K46" s="535"/>
      <c r="L46" s="535"/>
      <c r="M46" s="535"/>
      <c r="N46" s="535"/>
      <c r="O46" s="535"/>
      <c r="P46" s="535"/>
      <c r="Q46" s="535"/>
      <c r="R46" s="535"/>
      <c r="S46" s="535"/>
      <c r="T46" s="535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4"/>
      <c r="AO46" s="4"/>
    </row>
    <row r="47" spans="1:41" s="2" customFormat="1" ht="36" customHeight="1" x14ac:dyDescent="0.2">
      <c r="A47" s="630" t="s">
        <v>30</v>
      </c>
      <c r="B47" s="631"/>
      <c r="C47" s="631"/>
      <c r="D47" s="631"/>
      <c r="E47" s="631"/>
      <c r="F47" s="631"/>
      <c r="G47" s="631"/>
      <c r="H47" s="631"/>
      <c r="I47" s="631"/>
      <c r="J47" s="631"/>
      <c r="K47" s="58"/>
      <c r="L47" s="58"/>
      <c r="M47" s="663" t="s">
        <v>9</v>
      </c>
      <c r="N47" s="664"/>
      <c r="O47" s="664"/>
      <c r="P47" s="664"/>
      <c r="Q47" s="664"/>
      <c r="R47" s="664"/>
      <c r="S47" s="59"/>
      <c r="T47" s="60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4"/>
      <c r="AO47" s="4"/>
    </row>
    <row r="48" spans="1:41" s="2" customFormat="1" ht="18" customHeight="1" x14ac:dyDescent="0.2">
      <c r="A48" s="699" t="s">
        <v>0</v>
      </c>
      <c r="B48" s="677"/>
      <c r="C48" s="677"/>
      <c r="D48" s="677"/>
      <c r="E48" s="677"/>
      <c r="F48" s="677"/>
      <c r="G48" s="677"/>
      <c r="H48" s="677"/>
      <c r="I48" s="677"/>
      <c r="J48" s="678"/>
      <c r="K48" s="61"/>
      <c r="L48" s="61"/>
      <c r="M48" s="701"/>
      <c r="N48" s="702"/>
      <c r="O48" s="703"/>
      <c r="P48" s="704"/>
      <c r="Q48" s="705"/>
      <c r="R48" s="61"/>
      <c r="S48" s="62"/>
      <c r="T48" s="706" t="s">
        <v>78</v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4"/>
      <c r="AO48" s="4"/>
    </row>
    <row r="49" spans="1:41" s="2" customFormat="1" ht="18" customHeight="1" x14ac:dyDescent="0.2">
      <c r="A49" s="700"/>
      <c r="B49" s="685"/>
      <c r="C49" s="685"/>
      <c r="D49" s="685"/>
      <c r="E49" s="685"/>
      <c r="F49" s="685"/>
      <c r="G49" s="685"/>
      <c r="H49" s="685"/>
      <c r="I49" s="685"/>
      <c r="J49" s="686"/>
      <c r="K49" s="63" t="s">
        <v>38</v>
      </c>
      <c r="L49" s="63" t="s">
        <v>43</v>
      </c>
      <c r="M49" s="708" t="s">
        <v>29</v>
      </c>
      <c r="N49" s="709"/>
      <c r="O49" s="708" t="s">
        <v>16</v>
      </c>
      <c r="P49" s="709"/>
      <c r="Q49" s="709"/>
      <c r="R49" s="63" t="s">
        <v>18</v>
      </c>
      <c r="S49" s="64" t="s">
        <v>1</v>
      </c>
      <c r="T49" s="70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4"/>
      <c r="AO49" s="4"/>
    </row>
    <row r="50" spans="1:41" s="2" customFormat="1" ht="36" customHeight="1" x14ac:dyDescent="0.2">
      <c r="A50" s="651" t="s">
        <v>5</v>
      </c>
      <c r="B50" s="652"/>
      <c r="C50" s="652"/>
      <c r="D50" s="695"/>
      <c r="E50" s="695"/>
      <c r="F50" s="695"/>
      <c r="G50" s="695"/>
      <c r="H50" s="695"/>
      <c r="I50" s="695"/>
      <c r="J50" s="696"/>
      <c r="K50" s="48"/>
      <c r="L50" s="85">
        <v>690</v>
      </c>
      <c r="M50" s="551"/>
      <c r="N50" s="552"/>
      <c r="O50" s="551"/>
      <c r="P50" s="552"/>
      <c r="Q50" s="552"/>
      <c r="R50" s="41"/>
      <c r="S50" s="42">
        <f>(K50*L50)-M50-O50-R50</f>
        <v>0</v>
      </c>
      <c r="T50" s="43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4"/>
      <c r="AO50" s="4"/>
    </row>
    <row r="51" spans="1:41" s="2" customFormat="1" ht="36" customHeight="1" x14ac:dyDescent="0.2">
      <c r="A51" s="651" t="s">
        <v>24</v>
      </c>
      <c r="B51" s="652"/>
      <c r="C51" s="652"/>
      <c r="D51" s="695"/>
      <c r="E51" s="695"/>
      <c r="F51" s="695"/>
      <c r="G51" s="695"/>
      <c r="H51" s="695"/>
      <c r="I51" s="695"/>
      <c r="J51" s="696"/>
      <c r="K51" s="48"/>
      <c r="L51" s="41">
        <v>300</v>
      </c>
      <c r="M51" s="551"/>
      <c r="N51" s="552"/>
      <c r="O51" s="551"/>
      <c r="P51" s="552"/>
      <c r="Q51" s="552"/>
      <c r="R51" s="41"/>
      <c r="S51" s="42">
        <f>(K51*L51)-M51-O51-R51</f>
        <v>0</v>
      </c>
      <c r="T51" s="43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4"/>
      <c r="AO51" s="4"/>
    </row>
    <row r="52" spans="1:41" s="2" customFormat="1" ht="36" customHeight="1" x14ac:dyDescent="0.2">
      <c r="A52" s="651" t="s">
        <v>35</v>
      </c>
      <c r="B52" s="652"/>
      <c r="C52" s="652"/>
      <c r="D52" s="695"/>
      <c r="E52" s="695"/>
      <c r="F52" s="695"/>
      <c r="G52" s="695"/>
      <c r="H52" s="695"/>
      <c r="I52" s="695"/>
      <c r="J52" s="696"/>
      <c r="K52" s="48"/>
      <c r="L52" s="41">
        <v>195</v>
      </c>
      <c r="M52" s="551"/>
      <c r="N52" s="552"/>
      <c r="O52" s="551"/>
      <c r="P52" s="552"/>
      <c r="Q52" s="552"/>
      <c r="R52" s="41"/>
      <c r="S52" s="42">
        <f>(K52*L52)-M52-O52-R52</f>
        <v>0</v>
      </c>
      <c r="T52" s="43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4"/>
      <c r="AO52" s="4"/>
    </row>
    <row r="53" spans="1:41" s="2" customFormat="1" ht="36" customHeight="1" x14ac:dyDescent="0.2">
      <c r="A53" s="525"/>
      <c r="B53" s="553"/>
      <c r="C53" s="553"/>
      <c r="D53" s="554"/>
      <c r="E53" s="554"/>
      <c r="F53" s="554"/>
      <c r="G53" s="554"/>
      <c r="H53" s="554"/>
      <c r="I53" s="554"/>
      <c r="J53" s="555"/>
      <c r="K53" s="65"/>
      <c r="L53" s="44"/>
      <c r="M53" s="556"/>
      <c r="N53" s="557"/>
      <c r="O53" s="556"/>
      <c r="P53" s="557"/>
      <c r="Q53" s="557"/>
      <c r="R53" s="44"/>
      <c r="S53" s="45">
        <f>(K53*L53)-M53-O53-R53</f>
        <v>0</v>
      </c>
      <c r="T53" s="46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4"/>
      <c r="AO53" s="4"/>
    </row>
    <row r="54" spans="1:41" s="2" customFormat="1" ht="18" customHeight="1" x14ac:dyDescent="0.2">
      <c r="A54" s="564" t="s">
        <v>23</v>
      </c>
      <c r="B54" s="565"/>
      <c r="C54" s="565"/>
      <c r="D54" s="565"/>
      <c r="E54" s="565"/>
      <c r="F54" s="565"/>
      <c r="G54" s="565"/>
      <c r="H54" s="565"/>
      <c r="I54" s="565"/>
      <c r="J54" s="565"/>
      <c r="K54" s="565"/>
      <c r="L54" s="565"/>
      <c r="M54" s="565"/>
      <c r="N54" s="565"/>
      <c r="O54" s="565"/>
      <c r="P54" s="565"/>
      <c r="Q54" s="565"/>
      <c r="R54" s="565"/>
      <c r="S54" s="565"/>
      <c r="T54" s="566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4"/>
      <c r="AO54" s="4"/>
    </row>
    <row r="55" spans="1:41" s="2" customFormat="1" ht="18" customHeight="1" x14ac:dyDescent="0.2">
      <c r="A55" s="567" t="s">
        <v>28</v>
      </c>
      <c r="B55" s="568"/>
      <c r="C55" s="568"/>
      <c r="D55" s="568"/>
      <c r="E55" s="568"/>
      <c r="F55" s="568"/>
      <c r="G55" s="568"/>
      <c r="H55" s="568"/>
      <c r="I55" s="568"/>
      <c r="J55" s="568"/>
      <c r="K55" s="568"/>
      <c r="L55" s="568"/>
      <c r="M55" s="568"/>
      <c r="N55" s="568"/>
      <c r="O55" s="568"/>
      <c r="P55" s="568"/>
      <c r="Q55" s="568"/>
      <c r="R55" s="568"/>
      <c r="S55" s="568"/>
      <c r="T55" s="569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4"/>
      <c r="AO55" s="4"/>
    </row>
    <row r="56" spans="1:41" s="2" customFormat="1" ht="18" customHeight="1" x14ac:dyDescent="0.2">
      <c r="A56" s="570" t="s">
        <v>84</v>
      </c>
      <c r="B56" s="571"/>
      <c r="C56" s="571"/>
      <c r="D56" s="571"/>
      <c r="E56" s="571"/>
      <c r="F56" s="571"/>
      <c r="G56" s="571"/>
      <c r="H56" s="571"/>
      <c r="I56" s="571"/>
      <c r="J56" s="571"/>
      <c r="K56" s="571"/>
      <c r="L56" s="571"/>
      <c r="M56" s="571"/>
      <c r="N56" s="571"/>
      <c r="O56" s="571"/>
      <c r="P56" s="571"/>
      <c r="Q56" s="571"/>
      <c r="R56" s="571"/>
      <c r="S56" s="571"/>
      <c r="T56" s="572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4"/>
      <c r="AO56" s="4"/>
    </row>
    <row r="57" spans="1:41" ht="12" customHeight="1" x14ac:dyDescent="0.2">
      <c r="A57" s="573"/>
      <c r="B57" s="574"/>
      <c r="C57" s="574"/>
      <c r="D57" s="574"/>
      <c r="E57" s="574"/>
      <c r="F57" s="574"/>
      <c r="G57" s="574"/>
      <c r="H57" s="574"/>
      <c r="I57" s="574"/>
      <c r="J57" s="574"/>
      <c r="K57" s="574"/>
      <c r="L57" s="574"/>
      <c r="M57" s="574"/>
      <c r="N57" s="574"/>
      <c r="O57" s="574"/>
      <c r="P57" s="574"/>
      <c r="Q57" s="574"/>
      <c r="R57" s="574"/>
      <c r="S57" s="574"/>
      <c r="T57" s="574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3"/>
      <c r="AO57" s="3"/>
    </row>
    <row r="58" spans="1:41" s="2" customFormat="1" ht="36" customHeight="1" x14ac:dyDescent="0.2">
      <c r="A58" s="743" t="s">
        <v>70</v>
      </c>
      <c r="B58" s="744"/>
      <c r="C58" s="744"/>
      <c r="D58" s="744"/>
      <c r="E58" s="744"/>
      <c r="F58" s="744"/>
      <c r="G58" s="744"/>
      <c r="H58" s="744"/>
      <c r="I58" s="744"/>
      <c r="J58" s="744"/>
      <c r="K58" s="725"/>
      <c r="L58" s="725"/>
      <c r="M58" s="725"/>
      <c r="N58" s="726"/>
      <c r="O58" s="727" t="s">
        <v>38</v>
      </c>
      <c r="P58" s="728"/>
      <c r="Q58" s="728"/>
      <c r="R58" s="66" t="s">
        <v>41</v>
      </c>
      <c r="S58" s="66" t="s">
        <v>1</v>
      </c>
      <c r="T58" s="67" t="s">
        <v>78</v>
      </c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4"/>
      <c r="AO58" s="4"/>
    </row>
    <row r="59" spans="1:41" s="2" customFormat="1" ht="36" customHeight="1" x14ac:dyDescent="0.2">
      <c r="A59" s="525"/>
      <c r="B59" s="553"/>
      <c r="C59" s="553"/>
      <c r="D59" s="553"/>
      <c r="E59" s="553"/>
      <c r="F59" s="553"/>
      <c r="G59" s="553"/>
      <c r="H59" s="553"/>
      <c r="I59" s="553"/>
      <c r="J59" s="553"/>
      <c r="K59" s="691"/>
      <c r="L59" s="691"/>
      <c r="M59" s="691"/>
      <c r="N59" s="692"/>
      <c r="O59" s="745"/>
      <c r="P59" s="746"/>
      <c r="Q59" s="746"/>
      <c r="R59" s="86">
        <v>100</v>
      </c>
      <c r="S59" s="45">
        <f>+O59*R59</f>
        <v>0</v>
      </c>
      <c r="T59" s="46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4"/>
      <c r="AO59" s="4"/>
    </row>
    <row r="60" spans="1:41" s="2" customFormat="1" ht="24" customHeight="1" x14ac:dyDescent="0.2">
      <c r="A60" s="747"/>
      <c r="B60" s="748"/>
      <c r="C60" s="748"/>
      <c r="D60" s="748"/>
      <c r="E60" s="748"/>
      <c r="F60" s="748"/>
      <c r="G60" s="748"/>
      <c r="H60" s="748"/>
      <c r="I60" s="748"/>
      <c r="J60" s="748"/>
      <c r="K60" s="748"/>
      <c r="L60" s="748"/>
      <c r="M60" s="748"/>
      <c r="N60" s="748"/>
      <c r="O60" s="748"/>
      <c r="P60" s="748"/>
      <c r="Q60" s="748"/>
      <c r="R60" s="748"/>
      <c r="S60" s="748"/>
      <c r="T60" s="748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4"/>
      <c r="AO60" s="4"/>
    </row>
    <row r="61" spans="1:41" s="2" customFormat="1" ht="36" customHeight="1" x14ac:dyDescent="0.2">
      <c r="A61" s="723" t="s">
        <v>71</v>
      </c>
      <c r="B61" s="724"/>
      <c r="C61" s="724"/>
      <c r="D61" s="724"/>
      <c r="E61" s="724"/>
      <c r="F61" s="724"/>
      <c r="G61" s="724"/>
      <c r="H61" s="724"/>
      <c r="I61" s="724"/>
      <c r="J61" s="724"/>
      <c r="K61" s="725"/>
      <c r="L61" s="725"/>
      <c r="M61" s="725"/>
      <c r="N61" s="726"/>
      <c r="O61" s="727" t="s">
        <v>38</v>
      </c>
      <c r="P61" s="728"/>
      <c r="Q61" s="728"/>
      <c r="R61" s="66" t="s">
        <v>41</v>
      </c>
      <c r="S61" s="66" t="s">
        <v>1</v>
      </c>
      <c r="T61" s="67" t="s">
        <v>78</v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4"/>
      <c r="AO61" s="4"/>
    </row>
    <row r="62" spans="1:41" s="2" customFormat="1" ht="36" customHeight="1" x14ac:dyDescent="0.2">
      <c r="A62" s="689" t="s">
        <v>6</v>
      </c>
      <c r="B62" s="690"/>
      <c r="C62" s="690"/>
      <c r="D62" s="690"/>
      <c r="E62" s="690"/>
      <c r="F62" s="690"/>
      <c r="G62" s="690"/>
      <c r="H62" s="690"/>
      <c r="I62" s="690"/>
      <c r="J62" s="690"/>
      <c r="K62" s="691"/>
      <c r="L62" s="691"/>
      <c r="M62" s="691"/>
      <c r="N62" s="692"/>
      <c r="O62" s="558"/>
      <c r="P62" s="559"/>
      <c r="Q62" s="559"/>
      <c r="R62" s="44">
        <v>420</v>
      </c>
      <c r="S62" s="45">
        <f>+O62*R62</f>
        <v>0</v>
      </c>
      <c r="T62" s="46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4"/>
      <c r="AO62" s="4"/>
    </row>
    <row r="63" spans="1:41" s="70" customFormat="1" ht="24" customHeight="1" x14ac:dyDescent="0.2">
      <c r="A63" s="560"/>
      <c r="B63" s="561"/>
      <c r="C63" s="561"/>
      <c r="D63" s="561"/>
      <c r="E63" s="561"/>
      <c r="F63" s="561"/>
      <c r="G63" s="561"/>
      <c r="H63" s="561"/>
      <c r="I63" s="561"/>
      <c r="J63" s="561"/>
      <c r="K63" s="561"/>
      <c r="L63" s="561"/>
      <c r="M63" s="561"/>
      <c r="N63" s="561"/>
      <c r="O63" s="561"/>
      <c r="P63" s="561"/>
      <c r="Q63" s="561"/>
      <c r="R63" s="561"/>
      <c r="S63" s="561"/>
      <c r="T63" s="561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9"/>
      <c r="AO63" s="69"/>
    </row>
    <row r="64" spans="1:41" s="2" customFormat="1" ht="30.75" customHeight="1" x14ac:dyDescent="0.2">
      <c r="A64" s="630" t="s">
        <v>26</v>
      </c>
      <c r="B64" s="631"/>
      <c r="C64" s="631"/>
      <c r="D64" s="631"/>
      <c r="E64" s="631"/>
      <c r="F64" s="631"/>
      <c r="G64" s="631"/>
      <c r="H64" s="631"/>
      <c r="I64" s="631"/>
      <c r="J64" s="631"/>
      <c r="K64" s="631"/>
      <c r="L64" s="631"/>
      <c r="M64" s="631"/>
      <c r="N64" s="631"/>
      <c r="O64" s="631"/>
      <c r="P64" s="631"/>
      <c r="Q64" s="631"/>
      <c r="R64" s="47" t="s">
        <v>25</v>
      </c>
      <c r="S64" s="47" t="s">
        <v>11</v>
      </c>
      <c r="T64" s="71" t="s">
        <v>4</v>
      </c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4"/>
      <c r="AO64" s="4"/>
    </row>
    <row r="65" spans="1:41" s="2" customFormat="1" ht="17.25" customHeight="1" x14ac:dyDescent="0.2">
      <c r="A65" s="710" t="s">
        <v>46</v>
      </c>
      <c r="B65" s="665"/>
      <c r="C65" s="665"/>
      <c r="D65" s="665"/>
      <c r="E65" s="665"/>
      <c r="F65" s="665"/>
      <c r="G65" s="665"/>
      <c r="H65" s="665"/>
      <c r="I65" s="665"/>
      <c r="J65" s="665"/>
      <c r="K65" s="665"/>
      <c r="L65" s="665"/>
      <c r="M65" s="665"/>
      <c r="N65" s="665"/>
      <c r="O65" s="665"/>
      <c r="P65" s="665"/>
      <c r="Q65" s="665"/>
      <c r="R65" s="24" t="s">
        <v>22</v>
      </c>
      <c r="S65" s="24" t="s">
        <v>21</v>
      </c>
      <c r="T65" s="53" t="s">
        <v>37</v>
      </c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4"/>
      <c r="AO65" s="4"/>
    </row>
    <row r="66" spans="1:41" s="2" customFormat="1" ht="36" customHeight="1" x14ac:dyDescent="0.2">
      <c r="A66" s="563"/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8"/>
      <c r="Q66" s="448"/>
      <c r="R66" s="55"/>
      <c r="S66" s="41"/>
      <c r="T66" s="43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4"/>
      <c r="AO66" s="4"/>
    </row>
    <row r="67" spans="1:41" s="2" customFormat="1" ht="36" customHeight="1" x14ac:dyDescent="0.2">
      <c r="A67" s="563"/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8"/>
      <c r="Q67" s="448"/>
      <c r="R67" s="55"/>
      <c r="S67" s="41"/>
      <c r="T67" s="43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4"/>
      <c r="AO67" s="4"/>
    </row>
    <row r="68" spans="1:41" s="2" customFormat="1" ht="36" customHeight="1" x14ac:dyDescent="0.2">
      <c r="A68" s="563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8"/>
      <c r="Q68" s="448"/>
      <c r="R68" s="55"/>
      <c r="S68" s="41"/>
      <c r="T68" s="43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4"/>
      <c r="AO68" s="4"/>
    </row>
    <row r="69" spans="1:41" s="2" customFormat="1" ht="36" customHeight="1" x14ac:dyDescent="0.2">
      <c r="A69" s="591"/>
      <c r="B69" s="592"/>
      <c r="C69" s="592"/>
      <c r="D69" s="592"/>
      <c r="E69" s="592"/>
      <c r="F69" s="592"/>
      <c r="G69" s="592"/>
      <c r="H69" s="592"/>
      <c r="I69" s="592"/>
      <c r="J69" s="592"/>
      <c r="K69" s="592"/>
      <c r="L69" s="592"/>
      <c r="M69" s="592"/>
      <c r="N69" s="592"/>
      <c r="O69" s="592"/>
      <c r="P69" s="592"/>
      <c r="Q69" s="592"/>
      <c r="R69" s="57"/>
      <c r="S69" s="44"/>
      <c r="T69" s="46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4"/>
      <c r="AO69" s="4"/>
    </row>
    <row r="70" spans="1:41" s="2" customFormat="1" ht="24" customHeight="1" x14ac:dyDescent="0.2">
      <c r="A70" s="534"/>
      <c r="B70" s="535"/>
      <c r="C70" s="535"/>
      <c r="D70" s="535"/>
      <c r="E70" s="535"/>
      <c r="F70" s="535"/>
      <c r="G70" s="535"/>
      <c r="H70" s="535"/>
      <c r="I70" s="535"/>
      <c r="J70" s="535"/>
      <c r="K70" s="535"/>
      <c r="L70" s="535"/>
      <c r="M70" s="535"/>
      <c r="N70" s="535"/>
      <c r="O70" s="535"/>
      <c r="P70" s="535"/>
      <c r="Q70" s="535"/>
      <c r="R70" s="535"/>
      <c r="S70" s="535"/>
      <c r="T70" s="535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4"/>
      <c r="AO70" s="4"/>
    </row>
    <row r="71" spans="1:41" s="2" customFormat="1" ht="36" customHeight="1" x14ac:dyDescent="0.2">
      <c r="A71" s="719" t="s">
        <v>72</v>
      </c>
      <c r="B71" s="720"/>
      <c r="C71" s="720"/>
      <c r="D71" s="720"/>
      <c r="E71" s="720"/>
      <c r="F71" s="720"/>
      <c r="G71" s="720"/>
      <c r="H71" s="720"/>
      <c r="I71" s="720"/>
      <c r="J71" s="720"/>
      <c r="K71" s="720"/>
      <c r="L71" s="720"/>
      <c r="M71" s="720"/>
      <c r="N71" s="720"/>
      <c r="O71" s="720"/>
      <c r="P71" s="720"/>
      <c r="Q71" s="720"/>
      <c r="R71" s="720"/>
      <c r="S71" s="72">
        <f>+O23+SUM(S27:S30)+SUM(S34:S36)+SUM(S42:S45)+SUM(S50:S53)+SUM(S59)+SUM(S62)+SUM(S66:S69)</f>
        <v>0</v>
      </c>
      <c r="T71" s="73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4"/>
      <c r="AO71" s="4"/>
    </row>
    <row r="72" spans="1:41" s="2" customFormat="1" ht="24" customHeight="1" x14ac:dyDescent="0.2">
      <c r="A72" s="534"/>
      <c r="B72" s="535"/>
      <c r="C72" s="535"/>
      <c r="D72" s="535"/>
      <c r="E72" s="535"/>
      <c r="F72" s="535"/>
      <c r="G72" s="535"/>
      <c r="H72" s="535"/>
      <c r="I72" s="535"/>
      <c r="J72" s="535"/>
      <c r="K72" s="535"/>
      <c r="L72" s="535"/>
      <c r="M72" s="535"/>
      <c r="N72" s="535"/>
      <c r="O72" s="535"/>
      <c r="P72" s="535"/>
      <c r="Q72" s="535"/>
      <c r="R72" s="535"/>
      <c r="S72" s="535"/>
      <c r="T72" s="535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4"/>
      <c r="AO72" s="4"/>
    </row>
    <row r="73" spans="1:41" s="2" customFormat="1" ht="36" customHeight="1" x14ac:dyDescent="0.2">
      <c r="A73" s="721" t="s">
        <v>42</v>
      </c>
      <c r="B73" s="722"/>
      <c r="C73" s="722"/>
      <c r="D73" s="722"/>
      <c r="E73" s="722"/>
      <c r="F73" s="722"/>
      <c r="G73" s="722"/>
      <c r="H73" s="583"/>
      <c r="I73" s="584"/>
      <c r="J73" s="584"/>
      <c r="K73" s="584"/>
      <c r="L73" s="584"/>
      <c r="M73" s="584"/>
      <c r="N73" s="584"/>
      <c r="O73" s="584"/>
      <c r="P73" s="584"/>
      <c r="Q73" s="584"/>
      <c r="R73" s="584"/>
      <c r="S73" s="74"/>
      <c r="T73" s="75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4"/>
      <c r="AO73" s="4"/>
    </row>
    <row r="74" spans="1:41" s="2" customFormat="1" ht="36" customHeight="1" x14ac:dyDescent="0.2">
      <c r="A74" s="711" t="s">
        <v>20</v>
      </c>
      <c r="B74" s="712"/>
      <c r="C74" s="712"/>
      <c r="D74" s="712"/>
      <c r="E74" s="712"/>
      <c r="F74" s="712"/>
      <c r="G74" s="712"/>
      <c r="H74" s="447"/>
      <c r="I74" s="448"/>
      <c r="J74" s="448"/>
      <c r="K74" s="448"/>
      <c r="L74" s="448"/>
      <c r="M74" s="448"/>
      <c r="N74" s="448"/>
      <c r="O74" s="448"/>
      <c r="P74" s="448"/>
      <c r="Q74" s="448"/>
      <c r="R74" s="448"/>
      <c r="S74" s="41"/>
      <c r="T74" s="43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4"/>
      <c r="AO74" s="4"/>
    </row>
    <row r="75" spans="1:41" s="2" customFormat="1" ht="36" customHeight="1" x14ac:dyDescent="0.2">
      <c r="A75" s="713" t="s">
        <v>33</v>
      </c>
      <c r="B75" s="714"/>
      <c r="C75" s="714"/>
      <c r="D75" s="714"/>
      <c r="E75" s="714"/>
      <c r="F75" s="714"/>
      <c r="G75" s="714"/>
      <c r="H75" s="714"/>
      <c r="I75" s="714"/>
      <c r="J75" s="714"/>
      <c r="K75" s="714"/>
      <c r="L75" s="714"/>
      <c r="M75" s="714"/>
      <c r="N75" s="714"/>
      <c r="O75" s="714"/>
      <c r="P75" s="714"/>
      <c r="Q75" s="714"/>
      <c r="R75" s="714"/>
      <c r="S75" s="83">
        <f>S71-S73-S74</f>
        <v>0</v>
      </c>
      <c r="T75" s="76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4"/>
      <c r="AO75" s="4"/>
    </row>
    <row r="76" spans="1:41" ht="10.7" customHeight="1" x14ac:dyDescent="0.2">
      <c r="A76" s="589"/>
      <c r="B76" s="590"/>
      <c r="C76" s="590"/>
      <c r="D76" s="590"/>
      <c r="E76" s="590"/>
      <c r="F76" s="590"/>
      <c r="G76" s="590"/>
      <c r="H76" s="590"/>
      <c r="I76" s="590"/>
      <c r="J76" s="590"/>
      <c r="K76" s="590"/>
      <c r="L76" s="590"/>
      <c r="M76" s="590"/>
      <c r="N76" s="590"/>
      <c r="O76" s="590"/>
      <c r="P76" s="590"/>
      <c r="Q76" s="590"/>
      <c r="R76" s="590"/>
      <c r="S76" s="590"/>
      <c r="T76" s="590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3"/>
      <c r="AO76" s="3"/>
    </row>
    <row r="77" spans="1:41" ht="16.7" customHeight="1" x14ac:dyDescent="0.25">
      <c r="A77" s="79"/>
      <c r="B77" s="607" t="s">
        <v>17</v>
      </c>
      <c r="C77" s="608"/>
      <c r="D77" s="608"/>
      <c r="E77" s="608"/>
      <c r="F77" s="608"/>
      <c r="G77" s="608"/>
      <c r="H77" s="608"/>
      <c r="I77" s="608"/>
      <c r="J77" s="608"/>
      <c r="K77" s="608"/>
      <c r="L77" s="608"/>
      <c r="M77" s="77"/>
      <c r="N77" s="80"/>
      <c r="O77" s="607" t="s">
        <v>45</v>
      </c>
      <c r="P77" s="608"/>
      <c r="Q77" s="608"/>
      <c r="R77" s="608"/>
      <c r="S77" s="608"/>
      <c r="T77" s="608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3"/>
      <c r="AO77" s="3"/>
    </row>
    <row r="78" spans="1:41" ht="16.7" customHeight="1" x14ac:dyDescent="0.25">
      <c r="A78" s="79"/>
      <c r="B78" s="607" t="s">
        <v>19</v>
      </c>
      <c r="C78" s="608"/>
      <c r="D78" s="79"/>
      <c r="E78" s="607" t="s">
        <v>73</v>
      </c>
      <c r="F78" s="608"/>
      <c r="G78" s="608"/>
      <c r="H78" s="609"/>
      <c r="I78" s="610"/>
      <c r="J78" s="610"/>
      <c r="K78" s="610"/>
      <c r="L78" s="610"/>
      <c r="M78" s="77"/>
      <c r="N78" s="80"/>
      <c r="O78" s="607" t="s">
        <v>27</v>
      </c>
      <c r="P78" s="608"/>
      <c r="Q78" s="608"/>
      <c r="R78" s="608"/>
      <c r="S78" s="608"/>
      <c r="T78" s="608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3"/>
      <c r="AO78" s="3"/>
    </row>
    <row r="79" spans="1:41" ht="9.1999999999999993" customHeight="1" x14ac:dyDescent="0.2">
      <c r="A79" s="573"/>
      <c r="B79" s="574"/>
      <c r="C79" s="574"/>
      <c r="D79" s="574"/>
      <c r="E79" s="574"/>
      <c r="F79" s="574"/>
      <c r="G79" s="574"/>
      <c r="H79" s="574"/>
      <c r="I79" s="574"/>
      <c r="J79" s="574"/>
      <c r="K79" s="574"/>
      <c r="L79" s="574"/>
      <c r="M79" s="574"/>
      <c r="N79" s="574"/>
      <c r="O79" s="574"/>
      <c r="P79" s="574"/>
      <c r="Q79" s="574"/>
      <c r="R79" s="574"/>
      <c r="S79" s="574"/>
      <c r="T79" s="574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3"/>
      <c r="AO79" s="3"/>
    </row>
    <row r="80" spans="1:41" ht="15.2" customHeight="1" x14ac:dyDescent="0.2">
      <c r="A80" s="715" t="s">
        <v>32</v>
      </c>
      <c r="B80" s="716"/>
      <c r="C80" s="716"/>
      <c r="D80" s="716"/>
      <c r="E80" s="715" t="s">
        <v>74</v>
      </c>
      <c r="F80" s="716"/>
      <c r="G80" s="716"/>
      <c r="H80" s="716"/>
      <c r="I80" s="716"/>
      <c r="J80" s="716"/>
      <c r="K80" s="716"/>
      <c r="L80" s="717" t="s">
        <v>75</v>
      </c>
      <c r="M80" s="718"/>
      <c r="N80" s="718"/>
      <c r="O80" s="718"/>
      <c r="P80" s="718"/>
      <c r="Q80" s="718"/>
      <c r="R80" s="718"/>
      <c r="S80" s="718"/>
      <c r="T80" s="718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3"/>
      <c r="AO80" s="3"/>
    </row>
    <row r="81" spans="1:41" ht="39.950000000000003" customHeight="1" x14ac:dyDescent="0.2">
      <c r="A81" s="612"/>
      <c r="B81" s="602"/>
      <c r="C81" s="602"/>
      <c r="D81" s="602"/>
      <c r="E81" s="603"/>
      <c r="F81" s="604"/>
      <c r="G81" s="604"/>
      <c r="H81" s="604"/>
      <c r="I81" s="604"/>
      <c r="J81" s="604"/>
      <c r="K81" s="604"/>
      <c r="L81" s="605"/>
      <c r="M81" s="606"/>
      <c r="N81" s="606"/>
      <c r="O81" s="606"/>
      <c r="P81" s="606"/>
      <c r="Q81" s="606"/>
      <c r="R81" s="606"/>
      <c r="S81" s="606"/>
      <c r="T81" s="606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3"/>
      <c r="AO81" s="3"/>
    </row>
    <row r="82" spans="1:41" s="2" customFormat="1" ht="30" customHeight="1" x14ac:dyDescent="0.2">
      <c r="A82" s="595"/>
      <c r="B82" s="596"/>
      <c r="C82" s="596"/>
      <c r="D82" s="596"/>
      <c r="E82" s="596"/>
      <c r="F82" s="596"/>
      <c r="G82" s="596"/>
      <c r="H82" s="596"/>
      <c r="I82" s="596"/>
      <c r="J82" s="596"/>
      <c r="K82" s="596"/>
      <c r="L82" s="596"/>
      <c r="M82" s="596"/>
      <c r="N82" s="596"/>
      <c r="O82" s="596"/>
      <c r="P82" s="596"/>
      <c r="Q82" s="596"/>
      <c r="R82" s="596"/>
      <c r="S82" s="596"/>
      <c r="T82" s="596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4"/>
      <c r="AO82" s="4"/>
    </row>
    <row r="83" spans="1:41" x14ac:dyDescent="0.2"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3"/>
      <c r="AO83" s="3"/>
    </row>
    <row r="84" spans="1:41" x14ac:dyDescent="0.2"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3"/>
      <c r="AO84" s="3"/>
    </row>
    <row r="85" spans="1:41" x14ac:dyDescent="0.2"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3"/>
      <c r="AO85" s="3"/>
    </row>
    <row r="86" spans="1:41" x14ac:dyDescent="0.2"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3"/>
      <c r="AO86" s="3"/>
    </row>
    <row r="87" spans="1:41" x14ac:dyDescent="0.2"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3"/>
      <c r="AO87" s="3"/>
    </row>
    <row r="88" spans="1:41" x14ac:dyDescent="0.2"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3"/>
      <c r="AO88" s="3"/>
    </row>
    <row r="89" spans="1:41" x14ac:dyDescent="0.2"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3"/>
      <c r="AO89" s="3"/>
    </row>
    <row r="90" spans="1:41" x14ac:dyDescent="0.2"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3"/>
      <c r="AO90" s="3"/>
    </row>
    <row r="91" spans="1:41" x14ac:dyDescent="0.2"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3"/>
      <c r="AO91" s="3"/>
    </row>
    <row r="92" spans="1:41" x14ac:dyDescent="0.2"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3"/>
      <c r="AO92" s="3"/>
    </row>
    <row r="93" spans="1:41" x14ac:dyDescent="0.2"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3"/>
      <c r="AO93" s="3"/>
    </row>
    <row r="94" spans="1:41" x14ac:dyDescent="0.2"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3"/>
      <c r="AO94" s="3"/>
    </row>
    <row r="95" spans="1:41" x14ac:dyDescent="0.2"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3"/>
      <c r="AO95" s="3"/>
    </row>
    <row r="96" spans="1:41" x14ac:dyDescent="0.2"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3"/>
      <c r="AO96" s="3"/>
    </row>
    <row r="97" spans="21:41" x14ac:dyDescent="0.2"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3"/>
      <c r="AO97" s="3"/>
    </row>
    <row r="98" spans="21:41" x14ac:dyDescent="0.2"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3"/>
      <c r="AO98" s="3"/>
    </row>
    <row r="99" spans="21:41" x14ac:dyDescent="0.2"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3"/>
      <c r="AO99" s="3"/>
    </row>
    <row r="100" spans="21:41" x14ac:dyDescent="0.2"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3"/>
      <c r="AO100" s="3"/>
    </row>
    <row r="101" spans="21:41" x14ac:dyDescent="0.2"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3"/>
      <c r="AO101" s="3"/>
    </row>
    <row r="102" spans="21:41" x14ac:dyDescent="0.2"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3"/>
      <c r="AO102" s="3"/>
    </row>
    <row r="103" spans="21:41" x14ac:dyDescent="0.2"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3"/>
      <c r="AO103" s="3"/>
    </row>
    <row r="104" spans="21:41" x14ac:dyDescent="0.2"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3"/>
      <c r="AO104" s="3"/>
    </row>
    <row r="105" spans="21:41" x14ac:dyDescent="0.2"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3"/>
      <c r="AO105" s="3"/>
    </row>
    <row r="106" spans="21:41" x14ac:dyDescent="0.2"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3"/>
      <c r="AO106" s="3"/>
    </row>
    <row r="107" spans="21:41" x14ac:dyDescent="0.2"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3"/>
      <c r="AO107" s="3"/>
    </row>
    <row r="108" spans="21:41" x14ac:dyDescent="0.2"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3"/>
      <c r="AO108" s="3"/>
    </row>
    <row r="109" spans="21:41" x14ac:dyDescent="0.2"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3"/>
      <c r="AO109" s="3"/>
    </row>
    <row r="110" spans="21:41" x14ac:dyDescent="0.2"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3"/>
      <c r="AO110" s="3"/>
    </row>
    <row r="111" spans="21:41" x14ac:dyDescent="0.2"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3"/>
      <c r="AO111" s="3"/>
    </row>
    <row r="112" spans="21:41" x14ac:dyDescent="0.2"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3"/>
      <c r="AO112" s="3"/>
    </row>
    <row r="113" spans="21:41" x14ac:dyDescent="0.2"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3"/>
      <c r="AO113" s="3"/>
    </row>
    <row r="114" spans="21:41" x14ac:dyDescent="0.2"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3"/>
      <c r="AO114" s="3"/>
    </row>
    <row r="115" spans="21:41" x14ac:dyDescent="0.2"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3"/>
      <c r="AO115" s="3"/>
    </row>
    <row r="116" spans="21:41" x14ac:dyDescent="0.2"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3"/>
      <c r="AO116" s="3"/>
    </row>
    <row r="117" spans="21:41" x14ac:dyDescent="0.2"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3"/>
      <c r="AO117" s="3"/>
    </row>
    <row r="118" spans="21:41" x14ac:dyDescent="0.2"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3"/>
      <c r="AO118" s="3"/>
    </row>
    <row r="119" spans="21:41" x14ac:dyDescent="0.2"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3"/>
      <c r="AO119" s="3"/>
    </row>
    <row r="120" spans="21:41" x14ac:dyDescent="0.2"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3"/>
      <c r="AO120" s="3"/>
    </row>
    <row r="121" spans="21:41" x14ac:dyDescent="0.2"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3"/>
      <c r="AO121" s="3"/>
    </row>
    <row r="122" spans="21:41" x14ac:dyDescent="0.2"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3"/>
      <c r="AO122" s="3"/>
    </row>
    <row r="123" spans="21:41" x14ac:dyDescent="0.2"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3"/>
      <c r="AO123" s="3"/>
    </row>
    <row r="124" spans="21:41" x14ac:dyDescent="0.2"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3"/>
      <c r="AO124" s="3"/>
    </row>
    <row r="125" spans="21:41" x14ac:dyDescent="0.2"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3"/>
      <c r="AO125" s="3"/>
    </row>
    <row r="126" spans="21:41" x14ac:dyDescent="0.2"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3"/>
      <c r="AO126" s="3"/>
    </row>
    <row r="127" spans="21:41" x14ac:dyDescent="0.2"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3"/>
      <c r="AO127" s="3"/>
    </row>
    <row r="128" spans="21:41" x14ac:dyDescent="0.2"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3"/>
      <c r="AO128" s="3"/>
    </row>
    <row r="129" spans="21:41" x14ac:dyDescent="0.2"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3"/>
      <c r="AO129" s="3"/>
    </row>
    <row r="130" spans="21:41" x14ac:dyDescent="0.2"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3"/>
      <c r="AO130" s="3"/>
    </row>
    <row r="131" spans="21:41" x14ac:dyDescent="0.2"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3"/>
      <c r="AO131" s="3"/>
    </row>
    <row r="132" spans="21:41" x14ac:dyDescent="0.2"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3"/>
      <c r="AO132" s="3"/>
    </row>
    <row r="133" spans="21:41" x14ac:dyDescent="0.2"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3"/>
      <c r="AO133" s="3"/>
    </row>
    <row r="134" spans="21:41" x14ac:dyDescent="0.2"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3"/>
      <c r="AO134" s="3"/>
    </row>
    <row r="135" spans="21:41" x14ac:dyDescent="0.2"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3"/>
      <c r="AO135" s="3"/>
    </row>
    <row r="136" spans="21:41" x14ac:dyDescent="0.2"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3"/>
      <c r="AO136" s="3"/>
    </row>
    <row r="137" spans="21:41" x14ac:dyDescent="0.2"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3"/>
      <c r="AO137" s="3"/>
    </row>
    <row r="138" spans="21:41" x14ac:dyDescent="0.2"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3"/>
      <c r="AO138" s="3"/>
    </row>
    <row r="139" spans="21:41" x14ac:dyDescent="0.2"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3"/>
      <c r="AO139" s="3"/>
    </row>
    <row r="140" spans="21:41" x14ac:dyDescent="0.2"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3"/>
      <c r="AO140" s="3"/>
    </row>
    <row r="141" spans="21:41" x14ac:dyDescent="0.2"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3"/>
      <c r="AO141" s="3"/>
    </row>
    <row r="142" spans="21:41" x14ac:dyDescent="0.2"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3"/>
      <c r="AO142" s="3"/>
    </row>
    <row r="143" spans="21:41" x14ac:dyDescent="0.2"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3"/>
      <c r="AO143" s="3"/>
    </row>
    <row r="144" spans="21:41" x14ac:dyDescent="0.2"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3"/>
      <c r="AO144" s="3"/>
    </row>
    <row r="145" spans="21:41" x14ac:dyDescent="0.2"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3"/>
      <c r="AO145" s="3"/>
    </row>
    <row r="146" spans="21:41" x14ac:dyDescent="0.2"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3"/>
      <c r="AO146" s="3"/>
    </row>
    <row r="147" spans="21:41" x14ac:dyDescent="0.2"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3"/>
      <c r="AO147" s="3"/>
    </row>
    <row r="148" spans="21:41" x14ac:dyDescent="0.2"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3"/>
      <c r="AO148" s="3"/>
    </row>
    <row r="149" spans="21:41" x14ac:dyDescent="0.2"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3"/>
      <c r="AO149" s="3"/>
    </row>
    <row r="150" spans="21:41" x14ac:dyDescent="0.2"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3"/>
      <c r="AO150" s="3"/>
    </row>
    <row r="151" spans="21:41" x14ac:dyDescent="0.2"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3"/>
      <c r="AO151" s="3"/>
    </row>
    <row r="152" spans="21:41" x14ac:dyDescent="0.2"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3"/>
      <c r="AO152" s="3"/>
    </row>
    <row r="153" spans="21:41" x14ac:dyDescent="0.2"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3"/>
      <c r="AO153" s="3"/>
    </row>
    <row r="154" spans="21:41" x14ac:dyDescent="0.2"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3"/>
      <c r="AO154" s="3"/>
    </row>
    <row r="155" spans="21:41" x14ac:dyDescent="0.2"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3"/>
      <c r="AO155" s="3"/>
    </row>
    <row r="156" spans="21:41" x14ac:dyDescent="0.2"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3"/>
      <c r="AO156" s="3"/>
    </row>
    <row r="157" spans="21:41" x14ac:dyDescent="0.2"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3"/>
      <c r="AO157" s="3"/>
    </row>
    <row r="158" spans="21:41" x14ac:dyDescent="0.2"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3"/>
      <c r="AO158" s="3"/>
    </row>
    <row r="159" spans="21:41" x14ac:dyDescent="0.2"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3"/>
      <c r="AO159" s="3"/>
    </row>
    <row r="160" spans="21:41" x14ac:dyDescent="0.2"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3"/>
      <c r="AO160" s="3"/>
    </row>
    <row r="161" spans="21:41" x14ac:dyDescent="0.2"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3"/>
      <c r="AO161" s="3"/>
    </row>
    <row r="162" spans="21:41" x14ac:dyDescent="0.2"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3"/>
      <c r="AO162" s="3"/>
    </row>
    <row r="163" spans="21:41" x14ac:dyDescent="0.2"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3"/>
      <c r="AO163" s="3"/>
    </row>
    <row r="164" spans="21:41" x14ac:dyDescent="0.2"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3"/>
      <c r="AO164" s="3"/>
    </row>
    <row r="165" spans="21:41" x14ac:dyDescent="0.2"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3"/>
      <c r="AO165" s="3"/>
    </row>
    <row r="166" spans="21:41" x14ac:dyDescent="0.2"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3"/>
      <c r="AO166" s="3"/>
    </row>
    <row r="167" spans="21:41" x14ac:dyDescent="0.2"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3"/>
      <c r="AO167" s="3"/>
    </row>
    <row r="168" spans="21:41" x14ac:dyDescent="0.2"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3"/>
      <c r="AO168" s="3"/>
    </row>
    <row r="169" spans="21:41" x14ac:dyDescent="0.2"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3"/>
      <c r="AO169" s="3"/>
    </row>
    <row r="170" spans="21:41" x14ac:dyDescent="0.2"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3"/>
      <c r="AO170" s="3"/>
    </row>
    <row r="171" spans="21:41" x14ac:dyDescent="0.2"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3"/>
      <c r="AO171" s="3"/>
    </row>
    <row r="172" spans="21:41" x14ac:dyDescent="0.2"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3"/>
      <c r="AO172" s="3"/>
    </row>
    <row r="173" spans="21:41" x14ac:dyDescent="0.2"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3"/>
    </row>
    <row r="174" spans="21:41" x14ac:dyDescent="0.2"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3"/>
    </row>
    <row r="175" spans="21:41" x14ac:dyDescent="0.2"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3"/>
    </row>
    <row r="176" spans="21:41" x14ac:dyDescent="0.2"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3"/>
    </row>
    <row r="177" spans="29:41" x14ac:dyDescent="0.2"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3"/>
    </row>
    <row r="178" spans="29:41" x14ac:dyDescent="0.2"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3"/>
    </row>
    <row r="179" spans="29:41" x14ac:dyDescent="0.2"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3"/>
    </row>
    <row r="180" spans="29:41" x14ac:dyDescent="0.2"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3"/>
    </row>
    <row r="181" spans="29:41" x14ac:dyDescent="0.2"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3"/>
    </row>
    <row r="182" spans="29:41" x14ac:dyDescent="0.2"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3"/>
    </row>
    <row r="183" spans="29:41" x14ac:dyDescent="0.2"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3"/>
    </row>
    <row r="184" spans="29:41" x14ac:dyDescent="0.2"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3"/>
    </row>
    <row r="185" spans="29:41" x14ac:dyDescent="0.2"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3"/>
    </row>
    <row r="186" spans="29:41" x14ac:dyDescent="0.2"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3"/>
    </row>
    <row r="187" spans="29:41" x14ac:dyDescent="0.2"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3"/>
    </row>
    <row r="188" spans="29:41" x14ac:dyDescent="0.2"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3"/>
    </row>
    <row r="189" spans="29:41" x14ac:dyDescent="0.2"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3"/>
    </row>
    <row r="190" spans="29:41" x14ac:dyDescent="0.2"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3"/>
    </row>
    <row r="191" spans="29:41" x14ac:dyDescent="0.2"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3"/>
    </row>
    <row r="192" spans="29:41" x14ac:dyDescent="0.2"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3"/>
    </row>
    <row r="193" spans="29:41" x14ac:dyDescent="0.2"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3"/>
    </row>
    <row r="194" spans="29:41" x14ac:dyDescent="0.2"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3"/>
    </row>
    <row r="195" spans="29:41" x14ac:dyDescent="0.2"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3"/>
    </row>
    <row r="196" spans="29:41" x14ac:dyDescent="0.2"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3"/>
    </row>
    <row r="197" spans="29:41" x14ac:dyDescent="0.2"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3"/>
    </row>
    <row r="198" spans="29:41" x14ac:dyDescent="0.2"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3"/>
    </row>
    <row r="199" spans="29:41" x14ac:dyDescent="0.2"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3"/>
    </row>
    <row r="200" spans="29:41" x14ac:dyDescent="0.2"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3"/>
    </row>
    <row r="201" spans="29:41" x14ac:dyDescent="0.2"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3"/>
    </row>
    <row r="202" spans="29:41" x14ac:dyDescent="0.2"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3"/>
    </row>
    <row r="203" spans="29:41" x14ac:dyDescent="0.2"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3"/>
    </row>
    <row r="204" spans="29:41" x14ac:dyDescent="0.2"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3"/>
    </row>
    <row r="205" spans="29:41" x14ac:dyDescent="0.2"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3"/>
    </row>
    <row r="206" spans="29:41" x14ac:dyDescent="0.2"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3"/>
    </row>
    <row r="207" spans="29:41" x14ac:dyDescent="0.2"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3"/>
    </row>
    <row r="208" spans="29:41" x14ac:dyDescent="0.2"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3"/>
    </row>
    <row r="209" spans="29:41" x14ac:dyDescent="0.2"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3"/>
    </row>
    <row r="210" spans="29:41" x14ac:dyDescent="0.2"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3"/>
    </row>
    <row r="211" spans="29:41" x14ac:dyDescent="0.2"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3"/>
    </row>
    <row r="212" spans="29:41" x14ac:dyDescent="0.2"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3"/>
    </row>
    <row r="213" spans="29:41" x14ac:dyDescent="0.2"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3"/>
    </row>
    <row r="214" spans="29:41" x14ac:dyDescent="0.2"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3"/>
    </row>
    <row r="215" spans="29:41" x14ac:dyDescent="0.2"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3"/>
    </row>
    <row r="216" spans="29:41" x14ac:dyDescent="0.2"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3"/>
    </row>
    <row r="217" spans="29:41" x14ac:dyDescent="0.2"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3"/>
    </row>
    <row r="218" spans="29:41" x14ac:dyDescent="0.2"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3"/>
    </row>
    <row r="219" spans="29:41" x14ac:dyDescent="0.2"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3"/>
    </row>
    <row r="220" spans="29:41" x14ac:dyDescent="0.2"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3"/>
    </row>
    <row r="221" spans="29:41" x14ac:dyDescent="0.2"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3"/>
    </row>
    <row r="222" spans="29:41" x14ac:dyDescent="0.2"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3"/>
    </row>
    <row r="223" spans="29:41" x14ac:dyDescent="0.2"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3"/>
    </row>
    <row r="224" spans="29:41" x14ac:dyDescent="0.2"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3"/>
    </row>
    <row r="225" spans="29:41" x14ac:dyDescent="0.2"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3"/>
    </row>
    <row r="226" spans="29:41" x14ac:dyDescent="0.2"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3"/>
    </row>
    <row r="227" spans="29:41" x14ac:dyDescent="0.2"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3"/>
    </row>
    <row r="228" spans="29:41" x14ac:dyDescent="0.2"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3"/>
    </row>
    <row r="229" spans="29:41" x14ac:dyDescent="0.2"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3"/>
    </row>
    <row r="230" spans="29:41" x14ac:dyDescent="0.2"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3"/>
    </row>
    <row r="231" spans="29:41" x14ac:dyDescent="0.2"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3"/>
    </row>
    <row r="232" spans="29:41" x14ac:dyDescent="0.2"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3"/>
    </row>
    <row r="233" spans="29:41" x14ac:dyDescent="0.2"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3"/>
    </row>
    <row r="234" spans="29:41" x14ac:dyDescent="0.2"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3"/>
    </row>
    <row r="235" spans="29:41" x14ac:dyDescent="0.2"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3"/>
    </row>
    <row r="236" spans="29:41" x14ac:dyDescent="0.2"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3"/>
    </row>
    <row r="237" spans="29:41" x14ac:dyDescent="0.2"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3"/>
    </row>
    <row r="238" spans="29:41" x14ac:dyDescent="0.2"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3"/>
    </row>
    <row r="239" spans="29:41" x14ac:dyDescent="0.2"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3"/>
    </row>
    <row r="240" spans="29:41" x14ac:dyDescent="0.2"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3"/>
    </row>
    <row r="241" spans="1:41" x14ac:dyDescent="0.2"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3"/>
    </row>
    <row r="242" spans="1:41" x14ac:dyDescent="0.2"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3"/>
    </row>
    <row r="243" spans="1:41" x14ac:dyDescent="0.2"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3"/>
    </row>
    <row r="244" spans="1:41" x14ac:dyDescent="0.2"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3"/>
    </row>
    <row r="245" spans="1:41" x14ac:dyDescent="0.2"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3"/>
    </row>
    <row r="246" spans="1:41" x14ac:dyDescent="0.2"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3"/>
    </row>
    <row r="247" spans="1:41" x14ac:dyDescent="0.2"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3"/>
    </row>
    <row r="248" spans="1:41" x14ac:dyDescent="0.2"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3"/>
    </row>
    <row r="249" spans="1:41" x14ac:dyDescent="0.2"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3"/>
    </row>
    <row r="250" spans="1:41" x14ac:dyDescent="0.2"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3"/>
    </row>
    <row r="251" spans="1:41" x14ac:dyDescent="0.2"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3"/>
    </row>
    <row r="252" spans="1:41" x14ac:dyDescent="0.2"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3"/>
    </row>
    <row r="253" spans="1:41" x14ac:dyDescent="0.2"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3"/>
    </row>
    <row r="254" spans="1:41" x14ac:dyDescent="0.2"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3"/>
    </row>
    <row r="255" spans="1:41" x14ac:dyDescent="0.2"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3"/>
    </row>
    <row r="256" spans="1:4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</row>
    <row r="257" spans="1:38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</row>
    <row r="258" spans="1:38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</row>
    <row r="259" spans="1:38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</row>
    <row r="260" spans="1:38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</row>
    <row r="261" spans="1:38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</row>
    <row r="262" spans="1:38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</row>
    <row r="263" spans="1:38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</row>
    <row r="264" spans="1:38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</row>
    <row r="265" spans="1:38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</row>
    <row r="266" spans="1:38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</row>
    <row r="267" spans="1:38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</row>
    <row r="268" spans="1:38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</row>
    <row r="269" spans="1:38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</row>
    <row r="270" spans="1:38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</row>
    <row r="271" spans="1:38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</row>
    <row r="272" spans="1:38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</row>
    <row r="273" spans="1:38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</row>
    <row r="274" spans="1:38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</row>
    <row r="275" spans="1:38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</row>
    <row r="276" spans="1:38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</row>
    <row r="277" spans="1:38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</row>
    <row r="278" spans="1:38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</row>
    <row r="279" spans="1:38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</row>
    <row r="280" spans="1:38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</row>
    <row r="281" spans="1:38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</row>
    <row r="282" spans="1:38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</row>
    <row r="283" spans="1:38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</row>
    <row r="284" spans="1:38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</row>
    <row r="285" spans="1:38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</row>
    <row r="286" spans="1:38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</row>
    <row r="287" spans="1:38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</row>
    <row r="288" spans="1:38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</row>
    <row r="289" spans="1:38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</row>
    <row r="290" spans="1:38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</row>
    <row r="291" spans="1:38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</row>
    <row r="292" spans="1:38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</row>
    <row r="293" spans="1:38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</row>
    <row r="294" spans="1:38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</row>
    <row r="295" spans="1:38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</row>
    <row r="296" spans="1:38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</row>
    <row r="297" spans="1:38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</row>
    <row r="298" spans="1:38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</row>
    <row r="299" spans="1:38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</row>
    <row r="300" spans="1:38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</row>
    <row r="301" spans="1:38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</row>
    <row r="302" spans="1:38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</row>
    <row r="303" spans="1:38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</row>
    <row r="304" spans="1:38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</row>
    <row r="305" spans="1:38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</row>
    <row r="306" spans="1:38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</row>
    <row r="307" spans="1:38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</row>
    <row r="308" spans="1:38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</row>
    <row r="309" spans="1:38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</row>
    <row r="310" spans="1:38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</row>
    <row r="311" spans="1:38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</row>
    <row r="312" spans="1:38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</row>
    <row r="313" spans="1:38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</row>
    <row r="314" spans="1:38" x14ac:dyDescent="0.2"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</row>
    <row r="315" spans="1:38" x14ac:dyDescent="0.2"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</row>
    <row r="316" spans="1:38" x14ac:dyDescent="0.2"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</row>
    <row r="317" spans="1:38" x14ac:dyDescent="0.2"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</row>
    <row r="318" spans="1:38" x14ac:dyDescent="0.2"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</row>
    <row r="319" spans="1:38" x14ac:dyDescent="0.2"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</row>
    <row r="320" spans="1:38" x14ac:dyDescent="0.2"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</row>
    <row r="321" spans="21:38" x14ac:dyDescent="0.2"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</row>
    <row r="322" spans="21:38" x14ac:dyDescent="0.2"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</row>
    <row r="323" spans="21:38" x14ac:dyDescent="0.2"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</row>
    <row r="324" spans="21:38" x14ac:dyDescent="0.2"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</row>
    <row r="325" spans="21:38" x14ac:dyDescent="0.2"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</row>
    <row r="326" spans="21:38" x14ac:dyDescent="0.2"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</row>
    <row r="327" spans="21:38" x14ac:dyDescent="0.2"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</row>
    <row r="328" spans="21:38" x14ac:dyDescent="0.2"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</row>
    <row r="329" spans="21:38" x14ac:dyDescent="0.2"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</row>
    <row r="330" spans="21:38" x14ac:dyDescent="0.2"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</row>
    <row r="331" spans="21:38" x14ac:dyDescent="0.2"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</row>
    <row r="332" spans="21:38" x14ac:dyDescent="0.2"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</row>
    <row r="333" spans="21:38" x14ac:dyDescent="0.2"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</row>
    <row r="334" spans="21:38" x14ac:dyDescent="0.2"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</row>
    <row r="335" spans="21:38" x14ac:dyDescent="0.2"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</row>
    <row r="336" spans="21:38" x14ac:dyDescent="0.2"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</row>
    <row r="337" spans="21:38" x14ac:dyDescent="0.2"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</row>
  </sheetData>
  <sheetProtection password="DED9" sheet="1" objects="1" scenarios="1" selectLockedCells="1"/>
  <mergeCells count="222">
    <mergeCell ref="A81:D81"/>
    <mergeCell ref="E81:K81"/>
    <mergeCell ref="L81:T81"/>
    <mergeCell ref="A82:T82"/>
    <mergeCell ref="B78:C78"/>
    <mergeCell ref="E78:G78"/>
    <mergeCell ref="H78:L78"/>
    <mergeCell ref="O78:T78"/>
    <mergeCell ref="A79:T79"/>
    <mergeCell ref="A80:D80"/>
    <mergeCell ref="E80:K80"/>
    <mergeCell ref="L80:T80"/>
    <mergeCell ref="A74:G74"/>
    <mergeCell ref="H74:R74"/>
    <mergeCell ref="A75:R75"/>
    <mergeCell ref="A76:T76"/>
    <mergeCell ref="B77:L77"/>
    <mergeCell ref="O77:T77"/>
    <mergeCell ref="A69:Q69"/>
    <mergeCell ref="A70:T70"/>
    <mergeCell ref="A71:R71"/>
    <mergeCell ref="A72:T72"/>
    <mergeCell ref="A73:G73"/>
    <mergeCell ref="H73:R73"/>
    <mergeCell ref="A63:T63"/>
    <mergeCell ref="A64:Q64"/>
    <mergeCell ref="A65:Q65"/>
    <mergeCell ref="A66:Q66"/>
    <mergeCell ref="A67:Q67"/>
    <mergeCell ref="A68:Q68"/>
    <mergeCell ref="A59:N59"/>
    <mergeCell ref="O59:Q59"/>
    <mergeCell ref="A60:T60"/>
    <mergeCell ref="A61:N61"/>
    <mergeCell ref="O61:Q61"/>
    <mergeCell ref="A62:N62"/>
    <mergeCell ref="O62:Q62"/>
    <mergeCell ref="A54:T54"/>
    <mergeCell ref="A55:T55"/>
    <mergeCell ref="A56:T56"/>
    <mergeCell ref="A57:T57"/>
    <mergeCell ref="A58:N58"/>
    <mergeCell ref="O58:Q58"/>
    <mergeCell ref="A52:J52"/>
    <mergeCell ref="M52:N52"/>
    <mergeCell ref="O52:Q52"/>
    <mergeCell ref="A53:J53"/>
    <mergeCell ref="M53:N53"/>
    <mergeCell ref="O53:Q53"/>
    <mergeCell ref="A50:J50"/>
    <mergeCell ref="M50:N50"/>
    <mergeCell ref="O50:Q50"/>
    <mergeCell ref="A51:J51"/>
    <mergeCell ref="M51:N51"/>
    <mergeCell ref="O51:Q51"/>
    <mergeCell ref="A46:T46"/>
    <mergeCell ref="A47:J47"/>
    <mergeCell ref="M47:R47"/>
    <mergeCell ref="A48:J49"/>
    <mergeCell ref="M48:N48"/>
    <mergeCell ref="O48:Q48"/>
    <mergeCell ref="T48:T49"/>
    <mergeCell ref="M49:N49"/>
    <mergeCell ref="O49:Q49"/>
    <mergeCell ref="A44:J44"/>
    <mergeCell ref="K44:L44"/>
    <mergeCell ref="M44:N44"/>
    <mergeCell ref="P44:Q44"/>
    <mergeCell ref="A45:J45"/>
    <mergeCell ref="K45:L45"/>
    <mergeCell ref="M45:N45"/>
    <mergeCell ref="P45:Q45"/>
    <mergeCell ref="A42:J42"/>
    <mergeCell ref="K42:L42"/>
    <mergeCell ref="M42:N42"/>
    <mergeCell ref="P42:Q42"/>
    <mergeCell ref="A43:J43"/>
    <mergeCell ref="K43:L43"/>
    <mergeCell ref="M43:N43"/>
    <mergeCell ref="P43:Q43"/>
    <mergeCell ref="A40:J40"/>
    <mergeCell ref="K40:L41"/>
    <mergeCell ref="M40:Q40"/>
    <mergeCell ref="A41:J41"/>
    <mergeCell ref="M41:N41"/>
    <mergeCell ref="P41:Q41"/>
    <mergeCell ref="A36:J36"/>
    <mergeCell ref="M36:P36"/>
    <mergeCell ref="Q36:R36"/>
    <mergeCell ref="A37:T37"/>
    <mergeCell ref="A38:T38"/>
    <mergeCell ref="A39:T39"/>
    <mergeCell ref="A34:J34"/>
    <mergeCell ref="M34:P34"/>
    <mergeCell ref="Q34:R34"/>
    <mergeCell ref="A35:J35"/>
    <mergeCell ref="M35:P35"/>
    <mergeCell ref="Q35:R35"/>
    <mergeCell ref="A31:T31"/>
    <mergeCell ref="A32:J33"/>
    <mergeCell ref="M32:R32"/>
    <mergeCell ref="S32:S33"/>
    <mergeCell ref="T32:T33"/>
    <mergeCell ref="M33:P33"/>
    <mergeCell ref="Q33:R33"/>
    <mergeCell ref="A29:C29"/>
    <mergeCell ref="D29:G29"/>
    <mergeCell ref="H29:N29"/>
    <mergeCell ref="O29:Q29"/>
    <mergeCell ref="A30:C30"/>
    <mergeCell ref="D30:N30"/>
    <mergeCell ref="O30:Q30"/>
    <mergeCell ref="A26:N26"/>
    <mergeCell ref="O26:Q26"/>
    <mergeCell ref="A27:N27"/>
    <mergeCell ref="O27:Q27"/>
    <mergeCell ref="A28:N28"/>
    <mergeCell ref="O28:Q28"/>
    <mergeCell ref="A23:K23"/>
    <mergeCell ref="L23:N23"/>
    <mergeCell ref="O23:Q23"/>
    <mergeCell ref="A24:N24"/>
    <mergeCell ref="O24:R24"/>
    <mergeCell ref="A25:T25"/>
    <mergeCell ref="A22:B22"/>
    <mergeCell ref="C22:D22"/>
    <mergeCell ref="E22:G22"/>
    <mergeCell ref="H22:J22"/>
    <mergeCell ref="L22:N22"/>
    <mergeCell ref="O22:Q22"/>
    <mergeCell ref="A21:B21"/>
    <mergeCell ref="C21:D21"/>
    <mergeCell ref="E21:G21"/>
    <mergeCell ref="H21:J21"/>
    <mergeCell ref="L21:N21"/>
    <mergeCell ref="O21:Q21"/>
    <mergeCell ref="A20:B20"/>
    <mergeCell ref="C20:D20"/>
    <mergeCell ref="E20:G20"/>
    <mergeCell ref="H20:J20"/>
    <mergeCell ref="L20:N20"/>
    <mergeCell ref="O20:Q20"/>
    <mergeCell ref="A19:B19"/>
    <mergeCell ref="C19:D19"/>
    <mergeCell ref="E19:G19"/>
    <mergeCell ref="H19:J19"/>
    <mergeCell ref="L19:N19"/>
    <mergeCell ref="O19:Q19"/>
    <mergeCell ref="A18:B18"/>
    <mergeCell ref="C18:D18"/>
    <mergeCell ref="E18:G18"/>
    <mergeCell ref="H18:J18"/>
    <mergeCell ref="L18:N18"/>
    <mergeCell ref="O18:Q18"/>
    <mergeCell ref="A17:B17"/>
    <mergeCell ref="C17:D17"/>
    <mergeCell ref="E17:G17"/>
    <mergeCell ref="H17:J17"/>
    <mergeCell ref="L17:N17"/>
    <mergeCell ref="O17:Q17"/>
    <mergeCell ref="A16:B16"/>
    <mergeCell ref="C16:D16"/>
    <mergeCell ref="E16:G16"/>
    <mergeCell ref="H16:J16"/>
    <mergeCell ref="L16:N16"/>
    <mergeCell ref="O16:Q16"/>
    <mergeCell ref="A15:B15"/>
    <mergeCell ref="C15:D15"/>
    <mergeCell ref="E15:G15"/>
    <mergeCell ref="H15:J15"/>
    <mergeCell ref="L15:N15"/>
    <mergeCell ref="O15:Q15"/>
    <mergeCell ref="A14:B14"/>
    <mergeCell ref="C14:D14"/>
    <mergeCell ref="E14:G14"/>
    <mergeCell ref="H14:J14"/>
    <mergeCell ref="L14:N14"/>
    <mergeCell ref="O14:Q14"/>
    <mergeCell ref="A13:B13"/>
    <mergeCell ref="C13:D13"/>
    <mergeCell ref="E13:G13"/>
    <mergeCell ref="H13:J13"/>
    <mergeCell ref="L13:N13"/>
    <mergeCell ref="O13:Q13"/>
    <mergeCell ref="A12:B12"/>
    <mergeCell ref="C12:D12"/>
    <mergeCell ref="E12:G12"/>
    <mergeCell ref="H12:J12"/>
    <mergeCell ref="L12:N12"/>
    <mergeCell ref="O12:Q12"/>
    <mergeCell ref="A11:B11"/>
    <mergeCell ref="C11:D11"/>
    <mergeCell ref="E11:G11"/>
    <mergeCell ref="H11:J11"/>
    <mergeCell ref="L11:N11"/>
    <mergeCell ref="O11:Q11"/>
    <mergeCell ref="A6:T6"/>
    <mergeCell ref="A7:T7"/>
    <mergeCell ref="A8:T8"/>
    <mergeCell ref="A9:T9"/>
    <mergeCell ref="A10:B10"/>
    <mergeCell ref="C10:D10"/>
    <mergeCell ref="E10:G10"/>
    <mergeCell ref="H10:J10"/>
    <mergeCell ref="L10:N10"/>
    <mergeCell ref="O10:Q10"/>
    <mergeCell ref="A4:F4"/>
    <mergeCell ref="H4:J4"/>
    <mergeCell ref="K4:P4"/>
    <mergeCell ref="Q4:T4"/>
    <mergeCell ref="A5:F5"/>
    <mergeCell ref="H5:J5"/>
    <mergeCell ref="K5:P5"/>
    <mergeCell ref="Q5:T5"/>
    <mergeCell ref="A1:T1"/>
    <mergeCell ref="A2:J2"/>
    <mergeCell ref="K2:M2"/>
    <mergeCell ref="N2:P2"/>
    <mergeCell ref="A3:J3"/>
    <mergeCell ref="K3:M3"/>
    <mergeCell ref="N3:P3"/>
    <mergeCell ref="Q3:S3"/>
  </mergeCells>
  <pageMargins left="0.59055118110236227" right="0.39370078740157483" top="0.39370078740157483" bottom="0.39370078740157483" header="0.51181102362204722" footer="0.39370078740157483"/>
  <pageSetup paperSize="9" scale="57" fitToHeight="2" orientation="portrait" r:id="rId1"/>
  <headerFooter alignWithMargins="0">
    <oddFooter>Side &amp;P av &amp;N</oddFooter>
  </headerFooter>
  <rowBreaks count="1" manualBreakCount="1">
    <brk id="37" max="16383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4"/>
  <dimension ref="A1:CY337"/>
  <sheetViews>
    <sheetView showGridLines="0" zoomScale="80" zoomScaleNormal="80" workbookViewId="0">
      <selection activeCell="A3" sqref="A3:J3"/>
    </sheetView>
  </sheetViews>
  <sheetFormatPr baseColWidth="10" defaultColWidth="9.140625" defaultRowHeight="12.75" x14ac:dyDescent="0.2"/>
  <cols>
    <col min="1" max="1" width="3.42578125" customWidth="1"/>
    <col min="2" max="2" width="12" customWidth="1"/>
    <col min="3" max="3" width="7.28515625" customWidth="1"/>
    <col min="4" max="4" width="5" customWidth="1"/>
    <col min="5" max="5" width="11" customWidth="1"/>
    <col min="6" max="6" width="4.7109375" customWidth="1"/>
    <col min="7" max="7" width="12" customWidth="1"/>
    <col min="8" max="8" width="12.5703125" customWidth="1"/>
    <col min="9" max="9" width="6.140625" customWidth="1"/>
    <col min="10" max="10" width="6.42578125" customWidth="1"/>
    <col min="11" max="12" width="10.28515625" customWidth="1"/>
    <col min="13" max="14" width="5.28515625" customWidth="1"/>
    <col min="15" max="15" width="2.7109375" customWidth="1"/>
    <col min="16" max="16" width="3.85546875" customWidth="1"/>
    <col min="17" max="17" width="5.85546875" customWidth="1"/>
    <col min="18" max="18" width="11" customWidth="1"/>
    <col min="19" max="19" width="12.5703125" customWidth="1"/>
    <col min="20" max="20" width="12.140625" customWidth="1"/>
  </cols>
  <sheetData>
    <row r="1" spans="1:103" ht="99.95" customHeight="1" x14ac:dyDescent="0.2">
      <c r="A1" s="380" t="s">
        <v>56</v>
      </c>
      <c r="B1" s="380"/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0"/>
      <c r="O1" s="380"/>
      <c r="P1" s="380"/>
      <c r="Q1" s="380"/>
      <c r="R1" s="380"/>
      <c r="S1" s="380"/>
      <c r="T1" s="380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3"/>
      <c r="AO1" s="3"/>
    </row>
    <row r="2" spans="1:103" s="14" customFormat="1" ht="18" customHeight="1" x14ac:dyDescent="0.25">
      <c r="A2" s="619" t="s">
        <v>48</v>
      </c>
      <c r="B2" s="620"/>
      <c r="C2" s="620"/>
      <c r="D2" s="620"/>
      <c r="E2" s="620"/>
      <c r="F2" s="620"/>
      <c r="G2" s="620"/>
      <c r="H2" s="620"/>
      <c r="I2" s="620"/>
      <c r="J2" s="621"/>
      <c r="K2" s="622" t="s">
        <v>49</v>
      </c>
      <c r="L2" s="623"/>
      <c r="M2" s="624"/>
      <c r="N2" s="625" t="s">
        <v>50</v>
      </c>
      <c r="O2" s="626"/>
      <c r="P2" s="627"/>
      <c r="Q2" s="10" t="s">
        <v>51</v>
      </c>
      <c r="R2" s="8"/>
      <c r="S2" s="9"/>
      <c r="T2" s="11" t="s">
        <v>50</v>
      </c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3"/>
      <c r="AO2" s="13"/>
    </row>
    <row r="3" spans="1:103" s="1" customFormat="1" ht="36" customHeight="1" x14ac:dyDescent="0.2">
      <c r="A3" s="374"/>
      <c r="B3" s="390"/>
      <c r="C3" s="390"/>
      <c r="D3" s="390"/>
      <c r="E3" s="390"/>
      <c r="F3" s="390"/>
      <c r="G3" s="390"/>
      <c r="H3" s="390"/>
      <c r="I3" s="390"/>
      <c r="J3" s="391"/>
      <c r="K3" s="392"/>
      <c r="L3" s="393"/>
      <c r="M3" s="394"/>
      <c r="N3" s="395"/>
      <c r="O3" s="396"/>
      <c r="P3" s="397"/>
      <c r="Q3" s="398"/>
      <c r="R3" s="393"/>
      <c r="S3" s="394"/>
      <c r="T3" s="15"/>
      <c r="U3" s="16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8"/>
      <c r="AO3" s="18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</row>
    <row r="4" spans="1:103" s="22" customFormat="1" ht="18" customHeight="1" x14ac:dyDescent="0.2">
      <c r="A4" s="613" t="s">
        <v>52</v>
      </c>
      <c r="B4" s="614"/>
      <c r="C4" s="614"/>
      <c r="D4" s="614"/>
      <c r="E4" s="614"/>
      <c r="F4" s="615"/>
      <c r="G4" s="19" t="s">
        <v>53</v>
      </c>
      <c r="H4" s="616" t="s">
        <v>54</v>
      </c>
      <c r="I4" s="616"/>
      <c r="J4" s="616"/>
      <c r="K4" s="616" t="s">
        <v>55</v>
      </c>
      <c r="L4" s="617"/>
      <c r="M4" s="617"/>
      <c r="N4" s="617"/>
      <c r="O4" s="617"/>
      <c r="P4" s="617"/>
      <c r="Q4" s="616" t="s">
        <v>57</v>
      </c>
      <c r="R4" s="617"/>
      <c r="S4" s="617"/>
      <c r="T4" s="618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1"/>
      <c r="AO4" s="21"/>
    </row>
    <row r="5" spans="1:103" ht="36" customHeight="1" x14ac:dyDescent="0.2">
      <c r="A5" s="374"/>
      <c r="B5" s="375"/>
      <c r="C5" s="375"/>
      <c r="D5" s="375"/>
      <c r="E5" s="375"/>
      <c r="F5" s="376"/>
      <c r="G5" s="23"/>
      <c r="H5" s="377"/>
      <c r="I5" s="377"/>
      <c r="J5" s="377"/>
      <c r="K5" s="377"/>
      <c r="L5" s="378"/>
      <c r="M5" s="378"/>
      <c r="N5" s="378"/>
      <c r="O5" s="378"/>
      <c r="P5" s="378"/>
      <c r="Q5" s="377"/>
      <c r="R5" s="378"/>
      <c r="S5" s="378"/>
      <c r="T5" s="379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3"/>
      <c r="AO5" s="3"/>
    </row>
    <row r="6" spans="1:103" s="22" customFormat="1" ht="18" customHeight="1" x14ac:dyDescent="0.2">
      <c r="A6" s="628" t="s">
        <v>82</v>
      </c>
      <c r="B6" s="629"/>
      <c r="C6" s="629"/>
      <c r="D6" s="629"/>
      <c r="E6" s="617"/>
      <c r="F6" s="617"/>
      <c r="G6" s="617"/>
      <c r="H6" s="617"/>
      <c r="I6" s="617"/>
      <c r="J6" s="617"/>
      <c r="K6" s="617"/>
      <c r="L6" s="617"/>
      <c r="M6" s="617"/>
      <c r="N6" s="617"/>
      <c r="O6" s="617"/>
      <c r="P6" s="617"/>
      <c r="Q6" s="617"/>
      <c r="R6" s="617"/>
      <c r="S6" s="617"/>
      <c r="T6" s="618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1"/>
      <c r="AO6" s="21"/>
    </row>
    <row r="7" spans="1:103" ht="36" customHeight="1" x14ac:dyDescent="0.2">
      <c r="A7" s="409"/>
      <c r="B7" s="410"/>
      <c r="C7" s="410"/>
      <c r="D7" s="410"/>
      <c r="E7" s="410"/>
      <c r="F7" s="410"/>
      <c r="G7" s="410"/>
      <c r="H7" s="410"/>
      <c r="I7" s="410"/>
      <c r="J7" s="410"/>
      <c r="K7" s="410"/>
      <c r="L7" s="410"/>
      <c r="M7" s="410"/>
      <c r="N7" s="410"/>
      <c r="O7" s="410"/>
      <c r="P7" s="410"/>
      <c r="Q7" s="410"/>
      <c r="R7" s="410"/>
      <c r="S7" s="410"/>
      <c r="T7" s="411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3"/>
      <c r="AO7" s="3"/>
    </row>
    <row r="8" spans="1:103" ht="24" customHeight="1" x14ac:dyDescent="0.2">
      <c r="A8" s="412"/>
      <c r="B8" s="413"/>
      <c r="C8" s="413"/>
      <c r="D8" s="413"/>
      <c r="E8" s="413"/>
      <c r="F8" s="413"/>
      <c r="G8" s="413"/>
      <c r="H8" s="413"/>
      <c r="I8" s="413"/>
      <c r="J8" s="413"/>
      <c r="K8" s="413"/>
      <c r="L8" s="413"/>
      <c r="M8" s="413"/>
      <c r="N8" s="413"/>
      <c r="O8" s="413"/>
      <c r="P8" s="413"/>
      <c r="Q8" s="413"/>
      <c r="R8" s="413"/>
      <c r="S8" s="413"/>
      <c r="T8" s="413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3"/>
      <c r="AO8" s="3"/>
    </row>
    <row r="9" spans="1:103" ht="24" customHeight="1" x14ac:dyDescent="0.2">
      <c r="A9" s="630" t="s">
        <v>58</v>
      </c>
      <c r="B9" s="631"/>
      <c r="C9" s="631"/>
      <c r="D9" s="631"/>
      <c r="E9" s="631"/>
      <c r="F9" s="631"/>
      <c r="G9" s="631"/>
      <c r="H9" s="631"/>
      <c r="I9" s="631"/>
      <c r="J9" s="631"/>
      <c r="K9" s="631"/>
      <c r="L9" s="631"/>
      <c r="M9" s="631"/>
      <c r="N9" s="631"/>
      <c r="O9" s="631"/>
      <c r="P9" s="631"/>
      <c r="Q9" s="631"/>
      <c r="R9" s="631"/>
      <c r="S9" s="631"/>
      <c r="T9" s="632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3"/>
      <c r="AO9" s="3"/>
    </row>
    <row r="10" spans="1:103" s="2" customFormat="1" ht="30" customHeight="1" x14ac:dyDescent="0.2">
      <c r="A10" s="633" t="s">
        <v>32</v>
      </c>
      <c r="B10" s="634"/>
      <c r="C10" s="634" t="s">
        <v>59</v>
      </c>
      <c r="D10" s="634"/>
      <c r="E10" s="634" t="s">
        <v>67</v>
      </c>
      <c r="F10" s="634"/>
      <c r="G10" s="634"/>
      <c r="H10" s="634" t="s">
        <v>68</v>
      </c>
      <c r="I10" s="634"/>
      <c r="J10" s="634"/>
      <c r="K10" s="24" t="s">
        <v>60</v>
      </c>
      <c r="L10" s="635" t="s">
        <v>61</v>
      </c>
      <c r="M10" s="635"/>
      <c r="N10" s="635"/>
      <c r="O10" s="635" t="s">
        <v>1</v>
      </c>
      <c r="P10" s="635"/>
      <c r="Q10" s="635"/>
      <c r="R10" s="25" t="s">
        <v>62</v>
      </c>
      <c r="S10" s="25" t="s">
        <v>63</v>
      </c>
      <c r="T10" s="26" t="s">
        <v>64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4"/>
      <c r="AO10" s="4"/>
    </row>
    <row r="11" spans="1:103" ht="36" customHeight="1" x14ac:dyDescent="0.2">
      <c r="A11" s="399"/>
      <c r="B11" s="400"/>
      <c r="C11" s="401"/>
      <c r="D11" s="402"/>
      <c r="E11" s="403"/>
      <c r="F11" s="404"/>
      <c r="G11" s="404"/>
      <c r="H11" s="403"/>
      <c r="I11" s="404"/>
      <c r="J11" s="404"/>
      <c r="K11" s="28"/>
      <c r="L11" s="403"/>
      <c r="M11" s="404"/>
      <c r="N11" s="404"/>
      <c r="O11" s="405"/>
      <c r="P11" s="406"/>
      <c r="Q11" s="406"/>
      <c r="R11" s="30"/>
      <c r="S11" s="29"/>
      <c r="T11" s="31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3"/>
      <c r="AO11" s="3"/>
    </row>
    <row r="12" spans="1:103" ht="36" customHeight="1" x14ac:dyDescent="0.2">
      <c r="A12" s="420"/>
      <c r="B12" s="421"/>
      <c r="C12" s="401"/>
      <c r="D12" s="402"/>
      <c r="E12" s="403"/>
      <c r="F12" s="404"/>
      <c r="G12" s="404"/>
      <c r="H12" s="403"/>
      <c r="I12" s="404"/>
      <c r="J12" s="404"/>
      <c r="K12" s="28"/>
      <c r="L12" s="403"/>
      <c r="M12" s="404"/>
      <c r="N12" s="404"/>
      <c r="O12" s="405"/>
      <c r="P12" s="406"/>
      <c r="Q12" s="406"/>
      <c r="R12" s="30"/>
      <c r="S12" s="29"/>
      <c r="T12" s="31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3"/>
      <c r="AO12" s="3"/>
    </row>
    <row r="13" spans="1:103" ht="36" customHeight="1" x14ac:dyDescent="0.2">
      <c r="A13" s="420"/>
      <c r="B13" s="421"/>
      <c r="C13" s="401"/>
      <c r="D13" s="402"/>
      <c r="E13" s="403"/>
      <c r="F13" s="404"/>
      <c r="G13" s="404"/>
      <c r="H13" s="403"/>
      <c r="I13" s="404"/>
      <c r="J13" s="404"/>
      <c r="K13" s="28"/>
      <c r="L13" s="403"/>
      <c r="M13" s="404"/>
      <c r="N13" s="404"/>
      <c r="O13" s="405"/>
      <c r="P13" s="406"/>
      <c r="Q13" s="406"/>
      <c r="R13" s="30"/>
      <c r="S13" s="29"/>
      <c r="T13" s="31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3"/>
      <c r="AO13" s="3"/>
    </row>
    <row r="14" spans="1:103" ht="36" customHeight="1" x14ac:dyDescent="0.2">
      <c r="A14" s="611"/>
      <c r="B14" s="423"/>
      <c r="C14" s="424"/>
      <c r="D14" s="425"/>
      <c r="E14" s="426"/>
      <c r="F14" s="427"/>
      <c r="G14" s="427"/>
      <c r="H14" s="426"/>
      <c r="I14" s="427"/>
      <c r="J14" s="427"/>
      <c r="K14" s="32"/>
      <c r="L14" s="426"/>
      <c r="M14" s="427"/>
      <c r="N14" s="427"/>
      <c r="O14" s="428"/>
      <c r="P14" s="429"/>
      <c r="Q14" s="429"/>
      <c r="R14" s="34"/>
      <c r="S14" s="33"/>
      <c r="T14" s="35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3"/>
      <c r="AO14" s="3"/>
    </row>
    <row r="15" spans="1:103" ht="36" customHeight="1" x14ac:dyDescent="0.2">
      <c r="A15" s="420"/>
      <c r="B15" s="421"/>
      <c r="C15" s="401"/>
      <c r="D15" s="402"/>
      <c r="E15" s="403"/>
      <c r="F15" s="404"/>
      <c r="G15" s="404"/>
      <c r="H15" s="403"/>
      <c r="I15" s="404"/>
      <c r="J15" s="404"/>
      <c r="K15" s="28"/>
      <c r="L15" s="403"/>
      <c r="M15" s="404"/>
      <c r="N15" s="404"/>
      <c r="O15" s="405"/>
      <c r="P15" s="406"/>
      <c r="Q15" s="406"/>
      <c r="R15" s="30"/>
      <c r="S15" s="29"/>
      <c r="T15" s="31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3"/>
      <c r="AO15" s="3"/>
    </row>
    <row r="16" spans="1:103" ht="36" customHeight="1" x14ac:dyDescent="0.2">
      <c r="A16" s="420"/>
      <c r="B16" s="421"/>
      <c r="C16" s="401"/>
      <c r="D16" s="402"/>
      <c r="E16" s="403"/>
      <c r="F16" s="404"/>
      <c r="G16" s="404"/>
      <c r="H16" s="403"/>
      <c r="I16" s="404"/>
      <c r="J16" s="404"/>
      <c r="K16" s="28"/>
      <c r="L16" s="403"/>
      <c r="M16" s="404"/>
      <c r="N16" s="404"/>
      <c r="O16" s="405"/>
      <c r="P16" s="406"/>
      <c r="Q16" s="406"/>
      <c r="R16" s="30"/>
      <c r="S16" s="29"/>
      <c r="T16" s="31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3"/>
      <c r="AO16" s="3"/>
    </row>
    <row r="17" spans="1:41" ht="36" customHeight="1" x14ac:dyDescent="0.2">
      <c r="A17" s="420"/>
      <c r="B17" s="421"/>
      <c r="C17" s="401"/>
      <c r="D17" s="402"/>
      <c r="E17" s="403"/>
      <c r="F17" s="404"/>
      <c r="G17" s="404"/>
      <c r="H17" s="403"/>
      <c r="I17" s="404"/>
      <c r="J17" s="404"/>
      <c r="K17" s="28"/>
      <c r="L17" s="403"/>
      <c r="M17" s="404"/>
      <c r="N17" s="404"/>
      <c r="O17" s="405"/>
      <c r="P17" s="406"/>
      <c r="Q17" s="406"/>
      <c r="R17" s="30"/>
      <c r="S17" s="29"/>
      <c r="T17" s="31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3"/>
      <c r="AO17" s="3"/>
    </row>
    <row r="18" spans="1:41" ht="36" customHeight="1" x14ac:dyDescent="0.2">
      <c r="A18" s="420"/>
      <c r="B18" s="421"/>
      <c r="C18" s="401"/>
      <c r="D18" s="402"/>
      <c r="E18" s="403"/>
      <c r="F18" s="404"/>
      <c r="G18" s="404"/>
      <c r="H18" s="403"/>
      <c r="I18" s="404"/>
      <c r="J18" s="404"/>
      <c r="K18" s="28"/>
      <c r="L18" s="403"/>
      <c r="M18" s="404"/>
      <c r="N18" s="404"/>
      <c r="O18" s="405"/>
      <c r="P18" s="406"/>
      <c r="Q18" s="406"/>
      <c r="R18" s="30"/>
      <c r="S18" s="29"/>
      <c r="T18" s="31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3"/>
      <c r="AO18" s="3"/>
    </row>
    <row r="19" spans="1:41" ht="36" customHeight="1" x14ac:dyDescent="0.2">
      <c r="A19" s="420"/>
      <c r="B19" s="421"/>
      <c r="C19" s="401"/>
      <c r="D19" s="402"/>
      <c r="E19" s="403"/>
      <c r="F19" s="404"/>
      <c r="G19" s="404"/>
      <c r="H19" s="403"/>
      <c r="I19" s="404"/>
      <c r="J19" s="404"/>
      <c r="K19" s="28"/>
      <c r="L19" s="403"/>
      <c r="M19" s="404"/>
      <c r="N19" s="404"/>
      <c r="O19" s="405"/>
      <c r="P19" s="406"/>
      <c r="Q19" s="406"/>
      <c r="R19" s="30"/>
      <c r="S19" s="29"/>
      <c r="T19" s="31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3"/>
      <c r="AO19" s="3"/>
    </row>
    <row r="20" spans="1:41" ht="36" customHeight="1" x14ac:dyDescent="0.2">
      <c r="A20" s="420"/>
      <c r="B20" s="421"/>
      <c r="C20" s="401"/>
      <c r="D20" s="402"/>
      <c r="E20" s="403"/>
      <c r="F20" s="404"/>
      <c r="G20" s="404"/>
      <c r="H20" s="403"/>
      <c r="I20" s="404"/>
      <c r="J20" s="404"/>
      <c r="K20" s="28"/>
      <c r="L20" s="403"/>
      <c r="M20" s="404"/>
      <c r="N20" s="404"/>
      <c r="O20" s="405"/>
      <c r="P20" s="406"/>
      <c r="Q20" s="406"/>
      <c r="R20" s="30"/>
      <c r="S20" s="29"/>
      <c r="T20" s="31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3"/>
      <c r="AO20" s="3"/>
    </row>
    <row r="21" spans="1:41" ht="36" customHeight="1" x14ac:dyDescent="0.2">
      <c r="A21" s="420"/>
      <c r="B21" s="421"/>
      <c r="C21" s="401"/>
      <c r="D21" s="402"/>
      <c r="E21" s="403"/>
      <c r="F21" s="404"/>
      <c r="G21" s="404"/>
      <c r="H21" s="403"/>
      <c r="I21" s="404"/>
      <c r="J21" s="404"/>
      <c r="K21" s="28"/>
      <c r="L21" s="403"/>
      <c r="M21" s="404"/>
      <c r="N21" s="404"/>
      <c r="O21" s="405"/>
      <c r="P21" s="406"/>
      <c r="Q21" s="406"/>
      <c r="R21" s="30"/>
      <c r="S21" s="29"/>
      <c r="T21" s="31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3"/>
      <c r="AO21" s="3"/>
    </row>
    <row r="22" spans="1:41" ht="36" customHeight="1" x14ac:dyDescent="0.2">
      <c r="A22" s="420"/>
      <c r="B22" s="421"/>
      <c r="C22" s="401"/>
      <c r="D22" s="402"/>
      <c r="E22" s="403"/>
      <c r="F22" s="404"/>
      <c r="G22" s="404"/>
      <c r="H22" s="403"/>
      <c r="I22" s="404"/>
      <c r="J22" s="404"/>
      <c r="K22" s="28"/>
      <c r="L22" s="403"/>
      <c r="M22" s="404"/>
      <c r="N22" s="404"/>
      <c r="O22" s="405"/>
      <c r="P22" s="406"/>
      <c r="Q22" s="406"/>
      <c r="R22" s="30"/>
      <c r="S22" s="29"/>
      <c r="T22" s="31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3"/>
      <c r="AO22" s="3"/>
    </row>
    <row r="23" spans="1:41" ht="36" customHeight="1" x14ac:dyDescent="0.2">
      <c r="A23" s="640"/>
      <c r="B23" s="641"/>
      <c r="C23" s="641"/>
      <c r="D23" s="641"/>
      <c r="E23" s="641"/>
      <c r="F23" s="641"/>
      <c r="G23" s="641"/>
      <c r="H23" s="641"/>
      <c r="I23" s="641"/>
      <c r="J23" s="641"/>
      <c r="K23" s="641"/>
      <c r="L23" s="642" t="s">
        <v>65</v>
      </c>
      <c r="M23" s="643"/>
      <c r="N23" s="643"/>
      <c r="O23" s="435">
        <f>SUM(O11:Q22)</f>
        <v>0</v>
      </c>
      <c r="P23" s="436"/>
      <c r="Q23" s="436"/>
      <c r="R23" s="36" t="s">
        <v>3</v>
      </c>
      <c r="S23" s="37">
        <f>SUM(S11:S22)</f>
        <v>0</v>
      </c>
      <c r="T23" s="38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3"/>
      <c r="AO23" s="3"/>
    </row>
    <row r="24" spans="1:41" ht="36" customHeight="1" x14ac:dyDescent="0.25">
      <c r="A24" s="644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6"/>
      <c r="M24" s="646"/>
      <c r="N24" s="647"/>
      <c r="O24" s="648" t="s">
        <v>66</v>
      </c>
      <c r="P24" s="649"/>
      <c r="Q24" s="649"/>
      <c r="R24" s="650"/>
      <c r="S24" s="78"/>
      <c r="T24" s="39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3"/>
      <c r="AO24" s="3"/>
    </row>
    <row r="25" spans="1:41" ht="24" customHeight="1" x14ac:dyDescent="0.2">
      <c r="A25" s="412"/>
      <c r="B25" s="413"/>
      <c r="C25" s="413"/>
      <c r="D25" s="413"/>
      <c r="E25" s="413"/>
      <c r="F25" s="413"/>
      <c r="G25" s="413"/>
      <c r="H25" s="413"/>
      <c r="I25" s="413"/>
      <c r="J25" s="413"/>
      <c r="K25" s="413"/>
      <c r="L25" s="413"/>
      <c r="M25" s="413"/>
      <c r="N25" s="413"/>
      <c r="O25" s="413"/>
      <c r="P25" s="413"/>
      <c r="Q25" s="413"/>
      <c r="R25" s="413"/>
      <c r="S25" s="413"/>
      <c r="T25" s="413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3"/>
      <c r="AO25" s="3"/>
    </row>
    <row r="26" spans="1:41" s="2" customFormat="1" ht="36" customHeight="1" x14ac:dyDescent="0.2">
      <c r="A26" s="630" t="s">
        <v>44</v>
      </c>
      <c r="B26" s="631"/>
      <c r="C26" s="631"/>
      <c r="D26" s="631"/>
      <c r="E26" s="631"/>
      <c r="F26" s="631"/>
      <c r="G26" s="631"/>
      <c r="H26" s="631"/>
      <c r="I26" s="631"/>
      <c r="J26" s="631"/>
      <c r="K26" s="631"/>
      <c r="L26" s="631"/>
      <c r="M26" s="631"/>
      <c r="N26" s="631"/>
      <c r="O26" s="636" t="s">
        <v>3</v>
      </c>
      <c r="P26" s="637"/>
      <c r="Q26" s="637"/>
      <c r="R26" s="40" t="s">
        <v>41</v>
      </c>
      <c r="S26" s="40" t="s">
        <v>1</v>
      </c>
      <c r="T26" s="67" t="s">
        <v>78</v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4"/>
      <c r="AO26" s="4"/>
    </row>
    <row r="27" spans="1:41" s="2" customFormat="1" ht="36" customHeight="1" x14ac:dyDescent="0.2">
      <c r="A27" s="638" t="s">
        <v>76</v>
      </c>
      <c r="B27" s="639"/>
      <c r="C27" s="639"/>
      <c r="D27" s="639"/>
      <c r="E27" s="639"/>
      <c r="F27" s="639"/>
      <c r="G27" s="639"/>
      <c r="H27" s="639"/>
      <c r="I27" s="639"/>
      <c r="J27" s="639"/>
      <c r="K27" s="639"/>
      <c r="L27" s="639"/>
      <c r="M27" s="639"/>
      <c r="N27" s="639"/>
      <c r="O27" s="449"/>
      <c r="P27" s="450"/>
      <c r="Q27" s="450"/>
      <c r="R27" s="41">
        <v>4.05</v>
      </c>
      <c r="S27" s="42">
        <f>+O27*R27</f>
        <v>0</v>
      </c>
      <c r="T27" s="43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4"/>
      <c r="AO27" s="4"/>
    </row>
    <row r="28" spans="1:41" s="2" customFormat="1" ht="36" customHeight="1" x14ac:dyDescent="0.2">
      <c r="A28" s="638" t="s">
        <v>77</v>
      </c>
      <c r="B28" s="639"/>
      <c r="C28" s="639"/>
      <c r="D28" s="639"/>
      <c r="E28" s="639"/>
      <c r="F28" s="639"/>
      <c r="G28" s="639"/>
      <c r="H28" s="639"/>
      <c r="I28" s="639"/>
      <c r="J28" s="639"/>
      <c r="K28" s="639"/>
      <c r="L28" s="639"/>
      <c r="M28" s="639"/>
      <c r="N28" s="639"/>
      <c r="O28" s="449"/>
      <c r="P28" s="450"/>
      <c r="Q28" s="450"/>
      <c r="R28" s="41">
        <v>3.4</v>
      </c>
      <c r="S28" s="42">
        <f>+O28*R28</f>
        <v>0</v>
      </c>
      <c r="T28" s="43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4"/>
      <c r="AO28" s="4"/>
    </row>
    <row r="29" spans="1:41" s="2" customFormat="1" ht="36" customHeight="1" x14ac:dyDescent="0.2">
      <c r="A29" s="638" t="s">
        <v>10</v>
      </c>
      <c r="B29" s="639"/>
      <c r="C29" s="639"/>
      <c r="D29" s="668" t="s">
        <v>12</v>
      </c>
      <c r="E29" s="639"/>
      <c r="F29" s="639"/>
      <c r="G29" s="639"/>
      <c r="H29" s="447"/>
      <c r="I29" s="448"/>
      <c r="J29" s="448"/>
      <c r="K29" s="448"/>
      <c r="L29" s="448"/>
      <c r="M29" s="448"/>
      <c r="N29" s="448"/>
      <c r="O29" s="449"/>
      <c r="P29" s="450"/>
      <c r="Q29" s="450"/>
      <c r="R29" s="41">
        <v>1</v>
      </c>
      <c r="S29" s="42">
        <f>+O29*R29</f>
        <v>0</v>
      </c>
      <c r="T29" s="43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4"/>
      <c r="AO29" s="4"/>
    </row>
    <row r="30" spans="1:41" ht="36" customHeight="1" x14ac:dyDescent="0.2">
      <c r="A30" s="669" t="s">
        <v>40</v>
      </c>
      <c r="B30" s="670"/>
      <c r="C30" s="671"/>
      <c r="D30" s="454"/>
      <c r="E30" s="455"/>
      <c r="F30" s="455"/>
      <c r="G30" s="455"/>
      <c r="H30" s="455"/>
      <c r="I30" s="455"/>
      <c r="J30" s="455"/>
      <c r="K30" s="455"/>
      <c r="L30" s="455"/>
      <c r="M30" s="455"/>
      <c r="N30" s="456"/>
      <c r="O30" s="729"/>
      <c r="P30" s="730"/>
      <c r="Q30" s="731"/>
      <c r="R30" s="84"/>
      <c r="S30" s="82">
        <f>+O30*R30</f>
        <v>0</v>
      </c>
      <c r="T30" s="46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3"/>
      <c r="AO30" s="3"/>
    </row>
    <row r="31" spans="1:41" ht="24" customHeight="1" x14ac:dyDescent="0.2">
      <c r="A31" s="412"/>
      <c r="B31" s="413"/>
      <c r="C31" s="413"/>
      <c r="D31" s="413"/>
      <c r="E31" s="413"/>
      <c r="F31" s="413"/>
      <c r="G31" s="413"/>
      <c r="H31" s="413"/>
      <c r="I31" s="413"/>
      <c r="J31" s="413"/>
      <c r="K31" s="413"/>
      <c r="L31" s="413"/>
      <c r="M31" s="413"/>
      <c r="N31" s="413"/>
      <c r="O31" s="413"/>
      <c r="P31" s="413"/>
      <c r="Q31" s="413"/>
      <c r="R31" s="413"/>
      <c r="S31" s="413"/>
      <c r="T31" s="413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3"/>
      <c r="AO31" s="3"/>
    </row>
    <row r="32" spans="1:41" s="2" customFormat="1" ht="20.100000000000001" customHeight="1" x14ac:dyDescent="0.2">
      <c r="A32" s="655" t="s">
        <v>39</v>
      </c>
      <c r="B32" s="656"/>
      <c r="C32" s="656"/>
      <c r="D32" s="656"/>
      <c r="E32" s="656"/>
      <c r="F32" s="656"/>
      <c r="G32" s="656"/>
      <c r="H32" s="657"/>
      <c r="I32" s="657"/>
      <c r="J32" s="658"/>
      <c r="K32" s="47"/>
      <c r="L32" s="47"/>
      <c r="M32" s="663" t="s">
        <v>36</v>
      </c>
      <c r="N32" s="664"/>
      <c r="O32" s="664"/>
      <c r="P32" s="664"/>
      <c r="Q32" s="664"/>
      <c r="R32" s="664"/>
      <c r="S32" s="636" t="s">
        <v>1</v>
      </c>
      <c r="T32" s="666" t="s">
        <v>78</v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4"/>
      <c r="AO32" s="4"/>
    </row>
    <row r="33" spans="1:41" s="2" customFormat="1" ht="20.100000000000001" customHeight="1" x14ac:dyDescent="0.2">
      <c r="A33" s="659"/>
      <c r="B33" s="660"/>
      <c r="C33" s="660"/>
      <c r="D33" s="660"/>
      <c r="E33" s="660"/>
      <c r="F33" s="660"/>
      <c r="G33" s="660"/>
      <c r="H33" s="661"/>
      <c r="I33" s="661"/>
      <c r="J33" s="662"/>
      <c r="K33" s="24" t="s">
        <v>38</v>
      </c>
      <c r="L33" s="24" t="s">
        <v>41</v>
      </c>
      <c r="M33" s="672" t="s">
        <v>16</v>
      </c>
      <c r="N33" s="736"/>
      <c r="O33" s="661"/>
      <c r="P33" s="662"/>
      <c r="Q33" s="672" t="s">
        <v>18</v>
      </c>
      <c r="R33" s="662"/>
      <c r="S33" s="665"/>
      <c r="T33" s="66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4"/>
      <c r="AO33" s="4"/>
    </row>
    <row r="34" spans="1:41" s="2" customFormat="1" ht="36" customHeight="1" x14ac:dyDescent="0.2">
      <c r="A34" s="651" t="s">
        <v>31</v>
      </c>
      <c r="B34" s="652"/>
      <c r="C34" s="652"/>
      <c r="D34" s="652"/>
      <c r="E34" s="652"/>
      <c r="F34" s="652"/>
      <c r="G34" s="652"/>
      <c r="H34" s="653"/>
      <c r="I34" s="653"/>
      <c r="J34" s="654"/>
      <c r="K34" s="48"/>
      <c r="L34" s="41">
        <v>195</v>
      </c>
      <c r="M34" s="732"/>
      <c r="N34" s="733"/>
      <c r="O34" s="734"/>
      <c r="P34" s="735"/>
      <c r="Q34" s="732"/>
      <c r="R34" s="735"/>
      <c r="S34" s="42">
        <f>+K34*L34-M34-Q34</f>
        <v>0</v>
      </c>
      <c r="T34" s="43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4"/>
      <c r="AO34" s="4"/>
    </row>
    <row r="35" spans="1:41" s="2" customFormat="1" ht="36" customHeight="1" x14ac:dyDescent="0.2">
      <c r="A35" s="651" t="s">
        <v>47</v>
      </c>
      <c r="B35" s="652"/>
      <c r="C35" s="652"/>
      <c r="D35" s="652"/>
      <c r="E35" s="652"/>
      <c r="F35" s="652"/>
      <c r="G35" s="652"/>
      <c r="H35" s="653"/>
      <c r="I35" s="653"/>
      <c r="J35" s="654"/>
      <c r="K35" s="48"/>
      <c r="L35" s="41">
        <v>300</v>
      </c>
      <c r="M35" s="732"/>
      <c r="N35" s="733"/>
      <c r="O35" s="734"/>
      <c r="P35" s="735"/>
      <c r="Q35" s="732"/>
      <c r="R35" s="735"/>
      <c r="S35" s="42">
        <f>+K35*L35-M35-Q35</f>
        <v>0</v>
      </c>
      <c r="T35" s="43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4"/>
      <c r="AO35" s="4"/>
    </row>
    <row r="36" spans="1:41" s="2" customFormat="1" ht="36" customHeight="1" x14ac:dyDescent="0.2">
      <c r="A36" s="689" t="s">
        <v>13</v>
      </c>
      <c r="B36" s="690"/>
      <c r="C36" s="690"/>
      <c r="D36" s="690"/>
      <c r="E36" s="690"/>
      <c r="F36" s="690"/>
      <c r="G36" s="690"/>
      <c r="H36" s="691"/>
      <c r="I36" s="691"/>
      <c r="J36" s="692"/>
      <c r="K36" s="65"/>
      <c r="L36" s="44">
        <v>495</v>
      </c>
      <c r="M36" s="737"/>
      <c r="N36" s="738"/>
      <c r="O36" s="739"/>
      <c r="P36" s="740"/>
      <c r="Q36" s="737"/>
      <c r="R36" s="740"/>
      <c r="S36" s="81">
        <f>+K36*L36-M36-Q36</f>
        <v>0</v>
      </c>
      <c r="T36" s="46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4"/>
      <c r="AO36" s="4"/>
    </row>
    <row r="37" spans="1:41" ht="36" customHeight="1" x14ac:dyDescent="0.2">
      <c r="A37" s="497" t="s">
        <v>80</v>
      </c>
      <c r="B37" s="498"/>
      <c r="C37" s="498"/>
      <c r="D37" s="498"/>
      <c r="E37" s="498"/>
      <c r="F37" s="498"/>
      <c r="G37" s="498"/>
      <c r="H37" s="498"/>
      <c r="I37" s="498"/>
      <c r="J37" s="498"/>
      <c r="K37" s="498"/>
      <c r="L37" s="498"/>
      <c r="M37" s="498"/>
      <c r="N37" s="498"/>
      <c r="O37" s="498"/>
      <c r="P37" s="498"/>
      <c r="Q37" s="498"/>
      <c r="R37" s="498"/>
      <c r="S37" s="498"/>
      <c r="T37" s="498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49"/>
      <c r="AO37" s="3"/>
    </row>
    <row r="38" spans="1:41" ht="20.100000000000001" customHeight="1" x14ac:dyDescent="0.2">
      <c r="A38" s="499"/>
      <c r="B38" s="500"/>
      <c r="C38" s="500"/>
      <c r="D38" s="500"/>
      <c r="E38" s="500"/>
      <c r="F38" s="500"/>
      <c r="G38" s="500"/>
      <c r="H38" s="500"/>
      <c r="I38" s="500"/>
      <c r="J38" s="500"/>
      <c r="K38" s="500"/>
      <c r="L38" s="500"/>
      <c r="M38" s="500"/>
      <c r="N38" s="500"/>
      <c r="O38" s="500"/>
      <c r="P38" s="500"/>
      <c r="Q38" s="500"/>
      <c r="R38" s="500"/>
      <c r="S38" s="500"/>
      <c r="T38" s="500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3"/>
      <c r="AO38" s="3"/>
    </row>
    <row r="39" spans="1:41" s="2" customFormat="1" ht="36" customHeight="1" x14ac:dyDescent="0.2">
      <c r="A39" s="693" t="s">
        <v>69</v>
      </c>
      <c r="B39" s="694"/>
      <c r="C39" s="694"/>
      <c r="D39" s="694"/>
      <c r="E39" s="694"/>
      <c r="F39" s="694"/>
      <c r="G39" s="694"/>
      <c r="H39" s="694"/>
      <c r="I39" s="694"/>
      <c r="J39" s="694"/>
      <c r="K39" s="694"/>
      <c r="L39" s="694"/>
      <c r="M39" s="694"/>
      <c r="N39" s="694"/>
      <c r="O39" s="694"/>
      <c r="P39" s="694"/>
      <c r="Q39" s="694"/>
      <c r="R39" s="694"/>
      <c r="S39" s="694"/>
      <c r="T39" s="694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4"/>
      <c r="AO39" s="4"/>
    </row>
    <row r="40" spans="1:41" ht="19.5" customHeight="1" x14ac:dyDescent="0.2">
      <c r="A40" s="676" t="s">
        <v>15</v>
      </c>
      <c r="B40" s="677"/>
      <c r="C40" s="677"/>
      <c r="D40" s="677"/>
      <c r="E40" s="677"/>
      <c r="F40" s="677"/>
      <c r="G40" s="677"/>
      <c r="H40" s="677"/>
      <c r="I40" s="677"/>
      <c r="J40" s="678"/>
      <c r="K40" s="679" t="s">
        <v>81</v>
      </c>
      <c r="L40" s="680"/>
      <c r="M40" s="683" t="s">
        <v>32</v>
      </c>
      <c r="N40" s="616"/>
      <c r="O40" s="616"/>
      <c r="P40" s="616"/>
      <c r="Q40" s="616"/>
      <c r="R40" s="50" t="s">
        <v>34</v>
      </c>
      <c r="S40" s="50" t="s">
        <v>11</v>
      </c>
      <c r="T40" s="51" t="s">
        <v>4</v>
      </c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3"/>
      <c r="AO40" s="3"/>
    </row>
    <row r="41" spans="1:41" ht="20.100000000000001" customHeight="1" x14ac:dyDescent="0.2">
      <c r="A41" s="684" t="s">
        <v>14</v>
      </c>
      <c r="B41" s="685"/>
      <c r="C41" s="685"/>
      <c r="D41" s="685"/>
      <c r="E41" s="685"/>
      <c r="F41" s="685"/>
      <c r="G41" s="685"/>
      <c r="H41" s="685"/>
      <c r="I41" s="685"/>
      <c r="J41" s="686"/>
      <c r="K41" s="681"/>
      <c r="L41" s="682"/>
      <c r="M41" s="687" t="s">
        <v>8</v>
      </c>
      <c r="N41" s="688"/>
      <c r="O41" s="52" t="s">
        <v>2</v>
      </c>
      <c r="P41" s="675" t="s">
        <v>7</v>
      </c>
      <c r="Q41" s="634"/>
      <c r="R41" s="24" t="s">
        <v>22</v>
      </c>
      <c r="S41" s="24" t="s">
        <v>21</v>
      </c>
      <c r="T41" s="53" t="s">
        <v>37</v>
      </c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3"/>
      <c r="AO41" s="3"/>
    </row>
    <row r="42" spans="1:41" ht="36" customHeight="1" x14ac:dyDescent="0.2">
      <c r="A42" s="516"/>
      <c r="B42" s="517"/>
      <c r="C42" s="517"/>
      <c r="D42" s="517"/>
      <c r="E42" s="517"/>
      <c r="F42" s="517"/>
      <c r="G42" s="517"/>
      <c r="H42" s="517"/>
      <c r="I42" s="517"/>
      <c r="J42" s="518"/>
      <c r="K42" s="741"/>
      <c r="L42" s="518"/>
      <c r="M42" s="521"/>
      <c r="N42" s="522"/>
      <c r="O42" s="54" t="s">
        <v>2</v>
      </c>
      <c r="P42" s="523"/>
      <c r="Q42" s="524"/>
      <c r="R42" s="55"/>
      <c r="S42" s="41"/>
      <c r="T42" s="43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3"/>
      <c r="AO42" s="3"/>
    </row>
    <row r="43" spans="1:41" ht="36" customHeight="1" x14ac:dyDescent="0.2">
      <c r="A43" s="516"/>
      <c r="B43" s="517"/>
      <c r="C43" s="517"/>
      <c r="D43" s="517"/>
      <c r="E43" s="517"/>
      <c r="F43" s="517"/>
      <c r="G43" s="517"/>
      <c r="H43" s="517"/>
      <c r="I43" s="517"/>
      <c r="J43" s="518"/>
      <c r="K43" s="741"/>
      <c r="L43" s="518"/>
      <c r="M43" s="521"/>
      <c r="N43" s="522"/>
      <c r="O43" s="54" t="s">
        <v>2</v>
      </c>
      <c r="P43" s="523"/>
      <c r="Q43" s="524"/>
      <c r="R43" s="56"/>
      <c r="S43" s="41"/>
      <c r="T43" s="43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3"/>
      <c r="AO43" s="3"/>
    </row>
    <row r="44" spans="1:41" s="2" customFormat="1" ht="36" customHeight="1" x14ac:dyDescent="0.2">
      <c r="A44" s="516"/>
      <c r="B44" s="517"/>
      <c r="C44" s="517"/>
      <c r="D44" s="517"/>
      <c r="E44" s="517"/>
      <c r="F44" s="517"/>
      <c r="G44" s="517"/>
      <c r="H44" s="517"/>
      <c r="I44" s="517"/>
      <c r="J44" s="518"/>
      <c r="K44" s="741"/>
      <c r="L44" s="518"/>
      <c r="M44" s="521"/>
      <c r="N44" s="522"/>
      <c r="O44" s="54" t="s">
        <v>2</v>
      </c>
      <c r="P44" s="523"/>
      <c r="Q44" s="524"/>
      <c r="R44" s="55"/>
      <c r="S44" s="41"/>
      <c r="T44" s="43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4"/>
      <c r="AO44" s="4"/>
    </row>
    <row r="45" spans="1:41" s="2" customFormat="1" ht="36" customHeight="1" x14ac:dyDescent="0.2">
      <c r="A45" s="525"/>
      <c r="B45" s="526"/>
      <c r="C45" s="526"/>
      <c r="D45" s="526"/>
      <c r="E45" s="526"/>
      <c r="F45" s="526"/>
      <c r="G45" s="526"/>
      <c r="H45" s="526"/>
      <c r="I45" s="526"/>
      <c r="J45" s="527"/>
      <c r="K45" s="742"/>
      <c r="L45" s="527"/>
      <c r="M45" s="530"/>
      <c r="N45" s="531"/>
      <c r="O45" s="54" t="s">
        <v>2</v>
      </c>
      <c r="P45" s="532"/>
      <c r="Q45" s="533"/>
      <c r="R45" s="57"/>
      <c r="S45" s="44"/>
      <c r="T45" s="46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4"/>
      <c r="AO45" s="4"/>
    </row>
    <row r="46" spans="1:41" s="2" customFormat="1" ht="24" customHeight="1" x14ac:dyDescent="0.2">
      <c r="A46" s="534"/>
      <c r="B46" s="535"/>
      <c r="C46" s="535"/>
      <c r="D46" s="535"/>
      <c r="E46" s="535"/>
      <c r="F46" s="535"/>
      <c r="G46" s="535"/>
      <c r="H46" s="535"/>
      <c r="I46" s="535"/>
      <c r="J46" s="535"/>
      <c r="K46" s="535"/>
      <c r="L46" s="535"/>
      <c r="M46" s="535"/>
      <c r="N46" s="535"/>
      <c r="O46" s="535"/>
      <c r="P46" s="535"/>
      <c r="Q46" s="535"/>
      <c r="R46" s="535"/>
      <c r="S46" s="535"/>
      <c r="T46" s="535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4"/>
      <c r="AO46" s="4"/>
    </row>
    <row r="47" spans="1:41" s="2" customFormat="1" ht="36" customHeight="1" x14ac:dyDescent="0.2">
      <c r="A47" s="630" t="s">
        <v>30</v>
      </c>
      <c r="B47" s="631"/>
      <c r="C47" s="631"/>
      <c r="D47" s="631"/>
      <c r="E47" s="631"/>
      <c r="F47" s="631"/>
      <c r="G47" s="631"/>
      <c r="H47" s="631"/>
      <c r="I47" s="631"/>
      <c r="J47" s="631"/>
      <c r="K47" s="58"/>
      <c r="L47" s="58"/>
      <c r="M47" s="663" t="s">
        <v>9</v>
      </c>
      <c r="N47" s="664"/>
      <c r="O47" s="664"/>
      <c r="P47" s="664"/>
      <c r="Q47" s="664"/>
      <c r="R47" s="664"/>
      <c r="S47" s="59"/>
      <c r="T47" s="60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4"/>
      <c r="AO47" s="4"/>
    </row>
    <row r="48" spans="1:41" s="2" customFormat="1" ht="18" customHeight="1" x14ac:dyDescent="0.2">
      <c r="A48" s="699" t="s">
        <v>0</v>
      </c>
      <c r="B48" s="677"/>
      <c r="C48" s="677"/>
      <c r="D48" s="677"/>
      <c r="E48" s="677"/>
      <c r="F48" s="677"/>
      <c r="G48" s="677"/>
      <c r="H48" s="677"/>
      <c r="I48" s="677"/>
      <c r="J48" s="678"/>
      <c r="K48" s="61"/>
      <c r="L48" s="61"/>
      <c r="M48" s="701"/>
      <c r="N48" s="702"/>
      <c r="O48" s="703"/>
      <c r="P48" s="704"/>
      <c r="Q48" s="705"/>
      <c r="R48" s="61"/>
      <c r="S48" s="62"/>
      <c r="T48" s="706" t="s">
        <v>78</v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4"/>
      <c r="AO48" s="4"/>
    </row>
    <row r="49" spans="1:41" s="2" customFormat="1" ht="18" customHeight="1" x14ac:dyDescent="0.2">
      <c r="A49" s="700"/>
      <c r="B49" s="685"/>
      <c r="C49" s="685"/>
      <c r="D49" s="685"/>
      <c r="E49" s="685"/>
      <c r="F49" s="685"/>
      <c r="G49" s="685"/>
      <c r="H49" s="685"/>
      <c r="I49" s="685"/>
      <c r="J49" s="686"/>
      <c r="K49" s="63" t="s">
        <v>38</v>
      </c>
      <c r="L49" s="63" t="s">
        <v>43</v>
      </c>
      <c r="M49" s="708" t="s">
        <v>29</v>
      </c>
      <c r="N49" s="709"/>
      <c r="O49" s="708" t="s">
        <v>16</v>
      </c>
      <c r="P49" s="709"/>
      <c r="Q49" s="709"/>
      <c r="R49" s="63" t="s">
        <v>18</v>
      </c>
      <c r="S49" s="64" t="s">
        <v>1</v>
      </c>
      <c r="T49" s="70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4"/>
      <c r="AO49" s="4"/>
    </row>
    <row r="50" spans="1:41" s="2" customFormat="1" ht="36" customHeight="1" x14ac:dyDescent="0.2">
      <c r="A50" s="651" t="s">
        <v>5</v>
      </c>
      <c r="B50" s="652"/>
      <c r="C50" s="652"/>
      <c r="D50" s="695"/>
      <c r="E50" s="695"/>
      <c r="F50" s="695"/>
      <c r="G50" s="695"/>
      <c r="H50" s="695"/>
      <c r="I50" s="695"/>
      <c r="J50" s="696"/>
      <c r="K50" s="48"/>
      <c r="L50" s="85">
        <v>670</v>
      </c>
      <c r="M50" s="551"/>
      <c r="N50" s="552"/>
      <c r="O50" s="551"/>
      <c r="P50" s="552"/>
      <c r="Q50" s="552"/>
      <c r="R50" s="41"/>
      <c r="S50" s="42">
        <f>(K50*L50)-M50-O50-R50</f>
        <v>0</v>
      </c>
      <c r="T50" s="43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4"/>
      <c r="AO50" s="4"/>
    </row>
    <row r="51" spans="1:41" s="2" customFormat="1" ht="36" customHeight="1" x14ac:dyDescent="0.2">
      <c r="A51" s="651" t="s">
        <v>24</v>
      </c>
      <c r="B51" s="652"/>
      <c r="C51" s="652"/>
      <c r="D51" s="695"/>
      <c r="E51" s="695"/>
      <c r="F51" s="695"/>
      <c r="G51" s="695"/>
      <c r="H51" s="695"/>
      <c r="I51" s="695"/>
      <c r="J51" s="696"/>
      <c r="K51" s="48"/>
      <c r="L51" s="41">
        <v>295</v>
      </c>
      <c r="M51" s="551"/>
      <c r="N51" s="552"/>
      <c r="O51" s="551"/>
      <c r="P51" s="552"/>
      <c r="Q51" s="552"/>
      <c r="R51" s="41"/>
      <c r="S51" s="42">
        <f>(K51*L51)-M51-O51-R51</f>
        <v>0</v>
      </c>
      <c r="T51" s="43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4"/>
      <c r="AO51" s="4"/>
    </row>
    <row r="52" spans="1:41" s="2" customFormat="1" ht="36" customHeight="1" x14ac:dyDescent="0.2">
      <c r="A52" s="651" t="s">
        <v>35</v>
      </c>
      <c r="B52" s="652"/>
      <c r="C52" s="652"/>
      <c r="D52" s="695"/>
      <c r="E52" s="695"/>
      <c r="F52" s="695"/>
      <c r="G52" s="695"/>
      <c r="H52" s="695"/>
      <c r="I52" s="695"/>
      <c r="J52" s="696"/>
      <c r="K52" s="48"/>
      <c r="L52" s="41">
        <v>192</v>
      </c>
      <c r="M52" s="551"/>
      <c r="N52" s="552"/>
      <c r="O52" s="551"/>
      <c r="P52" s="552"/>
      <c r="Q52" s="552"/>
      <c r="R52" s="41"/>
      <c r="S52" s="42">
        <f>(K52*L52)-M52-O52-R52</f>
        <v>0</v>
      </c>
      <c r="T52" s="43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4"/>
      <c r="AO52" s="4"/>
    </row>
    <row r="53" spans="1:41" s="2" customFormat="1" ht="36" customHeight="1" x14ac:dyDescent="0.2">
      <c r="A53" s="525"/>
      <c r="B53" s="553"/>
      <c r="C53" s="553"/>
      <c r="D53" s="554"/>
      <c r="E53" s="554"/>
      <c r="F53" s="554"/>
      <c r="G53" s="554"/>
      <c r="H53" s="554"/>
      <c r="I53" s="554"/>
      <c r="J53" s="555"/>
      <c r="K53" s="65"/>
      <c r="L53" s="44"/>
      <c r="M53" s="556"/>
      <c r="N53" s="557"/>
      <c r="O53" s="556"/>
      <c r="P53" s="557"/>
      <c r="Q53" s="557"/>
      <c r="R53" s="44"/>
      <c r="S53" s="45">
        <f>(K53*L53)-M53-O53-R53</f>
        <v>0</v>
      </c>
      <c r="T53" s="46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4"/>
      <c r="AO53" s="4"/>
    </row>
    <row r="54" spans="1:41" s="2" customFormat="1" ht="18" customHeight="1" x14ac:dyDescent="0.2">
      <c r="A54" s="564" t="s">
        <v>23</v>
      </c>
      <c r="B54" s="565"/>
      <c r="C54" s="565"/>
      <c r="D54" s="565"/>
      <c r="E54" s="565"/>
      <c r="F54" s="565"/>
      <c r="G54" s="565"/>
      <c r="H54" s="565"/>
      <c r="I54" s="565"/>
      <c r="J54" s="565"/>
      <c r="K54" s="565"/>
      <c r="L54" s="565"/>
      <c r="M54" s="565"/>
      <c r="N54" s="565"/>
      <c r="O54" s="565"/>
      <c r="P54" s="565"/>
      <c r="Q54" s="565"/>
      <c r="R54" s="565"/>
      <c r="S54" s="565"/>
      <c r="T54" s="566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4"/>
      <c r="AO54" s="4"/>
    </row>
    <row r="55" spans="1:41" s="2" customFormat="1" ht="18" customHeight="1" x14ac:dyDescent="0.2">
      <c r="A55" s="567" t="s">
        <v>28</v>
      </c>
      <c r="B55" s="568"/>
      <c r="C55" s="568"/>
      <c r="D55" s="568"/>
      <c r="E55" s="568"/>
      <c r="F55" s="568"/>
      <c r="G55" s="568"/>
      <c r="H55" s="568"/>
      <c r="I55" s="568"/>
      <c r="J55" s="568"/>
      <c r="K55" s="568"/>
      <c r="L55" s="568"/>
      <c r="M55" s="568"/>
      <c r="N55" s="568"/>
      <c r="O55" s="568"/>
      <c r="P55" s="568"/>
      <c r="Q55" s="568"/>
      <c r="R55" s="568"/>
      <c r="S55" s="568"/>
      <c r="T55" s="569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4"/>
      <c r="AO55" s="4"/>
    </row>
    <row r="56" spans="1:41" s="2" customFormat="1" ht="18" customHeight="1" x14ac:dyDescent="0.2">
      <c r="A56" s="570" t="s">
        <v>79</v>
      </c>
      <c r="B56" s="571"/>
      <c r="C56" s="571"/>
      <c r="D56" s="571"/>
      <c r="E56" s="571"/>
      <c r="F56" s="571"/>
      <c r="G56" s="571"/>
      <c r="H56" s="571"/>
      <c r="I56" s="571"/>
      <c r="J56" s="571"/>
      <c r="K56" s="571"/>
      <c r="L56" s="571"/>
      <c r="M56" s="571"/>
      <c r="N56" s="571"/>
      <c r="O56" s="571"/>
      <c r="P56" s="571"/>
      <c r="Q56" s="571"/>
      <c r="R56" s="571"/>
      <c r="S56" s="571"/>
      <c r="T56" s="572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4"/>
      <c r="AO56" s="4"/>
    </row>
    <row r="57" spans="1:41" ht="12" customHeight="1" x14ac:dyDescent="0.2">
      <c r="A57" s="573"/>
      <c r="B57" s="574"/>
      <c r="C57" s="574"/>
      <c r="D57" s="574"/>
      <c r="E57" s="574"/>
      <c r="F57" s="574"/>
      <c r="G57" s="574"/>
      <c r="H57" s="574"/>
      <c r="I57" s="574"/>
      <c r="J57" s="574"/>
      <c r="K57" s="574"/>
      <c r="L57" s="574"/>
      <c r="M57" s="574"/>
      <c r="N57" s="574"/>
      <c r="O57" s="574"/>
      <c r="P57" s="574"/>
      <c r="Q57" s="574"/>
      <c r="R57" s="574"/>
      <c r="S57" s="574"/>
      <c r="T57" s="574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3"/>
      <c r="AO57" s="3"/>
    </row>
    <row r="58" spans="1:41" s="2" customFormat="1" ht="36" customHeight="1" x14ac:dyDescent="0.2">
      <c r="A58" s="743" t="s">
        <v>70</v>
      </c>
      <c r="B58" s="744"/>
      <c r="C58" s="744"/>
      <c r="D58" s="744"/>
      <c r="E58" s="744"/>
      <c r="F58" s="744"/>
      <c r="G58" s="744"/>
      <c r="H58" s="744"/>
      <c r="I58" s="744"/>
      <c r="J58" s="744"/>
      <c r="K58" s="725"/>
      <c r="L58" s="725"/>
      <c r="M58" s="725"/>
      <c r="N58" s="726"/>
      <c r="O58" s="727" t="s">
        <v>38</v>
      </c>
      <c r="P58" s="728"/>
      <c r="Q58" s="728"/>
      <c r="R58" s="66" t="s">
        <v>41</v>
      </c>
      <c r="S58" s="66" t="s">
        <v>1</v>
      </c>
      <c r="T58" s="67" t="s">
        <v>78</v>
      </c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4"/>
      <c r="AO58" s="4"/>
    </row>
    <row r="59" spans="1:41" s="2" customFormat="1" ht="36" customHeight="1" x14ac:dyDescent="0.2">
      <c r="A59" s="525"/>
      <c r="B59" s="553"/>
      <c r="C59" s="553"/>
      <c r="D59" s="553"/>
      <c r="E59" s="553"/>
      <c r="F59" s="553"/>
      <c r="G59" s="553"/>
      <c r="H59" s="553"/>
      <c r="I59" s="553"/>
      <c r="J59" s="553"/>
      <c r="K59" s="691"/>
      <c r="L59" s="691"/>
      <c r="M59" s="691"/>
      <c r="N59" s="692"/>
      <c r="O59" s="745"/>
      <c r="P59" s="746"/>
      <c r="Q59" s="746"/>
      <c r="R59" s="86">
        <v>80</v>
      </c>
      <c r="S59" s="45">
        <f>+O59*R59</f>
        <v>0</v>
      </c>
      <c r="T59" s="46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4"/>
      <c r="AO59" s="4"/>
    </row>
    <row r="60" spans="1:41" s="2" customFormat="1" ht="24" customHeight="1" x14ac:dyDescent="0.2">
      <c r="A60" s="747"/>
      <c r="B60" s="748"/>
      <c r="C60" s="748"/>
      <c r="D60" s="748"/>
      <c r="E60" s="748"/>
      <c r="F60" s="748"/>
      <c r="G60" s="748"/>
      <c r="H60" s="748"/>
      <c r="I60" s="748"/>
      <c r="J60" s="748"/>
      <c r="K60" s="748"/>
      <c r="L60" s="748"/>
      <c r="M60" s="748"/>
      <c r="N60" s="748"/>
      <c r="O60" s="748"/>
      <c r="P60" s="748"/>
      <c r="Q60" s="748"/>
      <c r="R60" s="748"/>
      <c r="S60" s="748"/>
      <c r="T60" s="748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4"/>
      <c r="AO60" s="4"/>
    </row>
    <row r="61" spans="1:41" s="2" customFormat="1" ht="36" customHeight="1" x14ac:dyDescent="0.2">
      <c r="A61" s="723" t="s">
        <v>71</v>
      </c>
      <c r="B61" s="724"/>
      <c r="C61" s="724"/>
      <c r="D61" s="724"/>
      <c r="E61" s="724"/>
      <c r="F61" s="724"/>
      <c r="G61" s="724"/>
      <c r="H61" s="724"/>
      <c r="I61" s="724"/>
      <c r="J61" s="724"/>
      <c r="K61" s="725"/>
      <c r="L61" s="725"/>
      <c r="M61" s="725"/>
      <c r="N61" s="726"/>
      <c r="O61" s="727" t="s">
        <v>38</v>
      </c>
      <c r="P61" s="728"/>
      <c r="Q61" s="728"/>
      <c r="R61" s="66" t="s">
        <v>41</v>
      </c>
      <c r="S61" s="66" t="s">
        <v>1</v>
      </c>
      <c r="T61" s="67" t="s">
        <v>78</v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4"/>
      <c r="AO61" s="4"/>
    </row>
    <row r="62" spans="1:41" s="2" customFormat="1" ht="36" customHeight="1" x14ac:dyDescent="0.2">
      <c r="A62" s="689" t="s">
        <v>6</v>
      </c>
      <c r="B62" s="690"/>
      <c r="C62" s="690"/>
      <c r="D62" s="690"/>
      <c r="E62" s="690"/>
      <c r="F62" s="690"/>
      <c r="G62" s="690"/>
      <c r="H62" s="690"/>
      <c r="I62" s="690"/>
      <c r="J62" s="690"/>
      <c r="K62" s="691"/>
      <c r="L62" s="691"/>
      <c r="M62" s="691"/>
      <c r="N62" s="692"/>
      <c r="O62" s="558"/>
      <c r="P62" s="559"/>
      <c r="Q62" s="559"/>
      <c r="R62" s="44">
        <v>410</v>
      </c>
      <c r="S62" s="45">
        <f>+O62*R62</f>
        <v>0</v>
      </c>
      <c r="T62" s="46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4"/>
      <c r="AO62" s="4"/>
    </row>
    <row r="63" spans="1:41" s="70" customFormat="1" ht="24" customHeight="1" x14ac:dyDescent="0.2">
      <c r="A63" s="560"/>
      <c r="B63" s="561"/>
      <c r="C63" s="561"/>
      <c r="D63" s="561"/>
      <c r="E63" s="561"/>
      <c r="F63" s="561"/>
      <c r="G63" s="561"/>
      <c r="H63" s="561"/>
      <c r="I63" s="561"/>
      <c r="J63" s="561"/>
      <c r="K63" s="561"/>
      <c r="L63" s="561"/>
      <c r="M63" s="561"/>
      <c r="N63" s="561"/>
      <c r="O63" s="561"/>
      <c r="P63" s="561"/>
      <c r="Q63" s="561"/>
      <c r="R63" s="561"/>
      <c r="S63" s="561"/>
      <c r="T63" s="561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9"/>
      <c r="AO63" s="69"/>
    </row>
    <row r="64" spans="1:41" s="2" customFormat="1" ht="30.75" customHeight="1" x14ac:dyDescent="0.2">
      <c r="A64" s="630" t="s">
        <v>26</v>
      </c>
      <c r="B64" s="631"/>
      <c r="C64" s="631"/>
      <c r="D64" s="631"/>
      <c r="E64" s="631"/>
      <c r="F64" s="631"/>
      <c r="G64" s="631"/>
      <c r="H64" s="631"/>
      <c r="I64" s="631"/>
      <c r="J64" s="631"/>
      <c r="K64" s="631"/>
      <c r="L64" s="631"/>
      <c r="M64" s="631"/>
      <c r="N64" s="631"/>
      <c r="O64" s="631"/>
      <c r="P64" s="631"/>
      <c r="Q64" s="631"/>
      <c r="R64" s="47" t="s">
        <v>25</v>
      </c>
      <c r="S64" s="47" t="s">
        <v>11</v>
      </c>
      <c r="T64" s="71" t="s">
        <v>4</v>
      </c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4"/>
      <c r="AO64" s="4"/>
    </row>
    <row r="65" spans="1:41" s="2" customFormat="1" ht="17.25" customHeight="1" x14ac:dyDescent="0.2">
      <c r="A65" s="710" t="s">
        <v>46</v>
      </c>
      <c r="B65" s="665"/>
      <c r="C65" s="665"/>
      <c r="D65" s="665"/>
      <c r="E65" s="665"/>
      <c r="F65" s="665"/>
      <c r="G65" s="665"/>
      <c r="H65" s="665"/>
      <c r="I65" s="665"/>
      <c r="J65" s="665"/>
      <c r="K65" s="665"/>
      <c r="L65" s="665"/>
      <c r="M65" s="665"/>
      <c r="N65" s="665"/>
      <c r="O65" s="665"/>
      <c r="P65" s="665"/>
      <c r="Q65" s="665"/>
      <c r="R65" s="24" t="s">
        <v>22</v>
      </c>
      <c r="S65" s="24" t="s">
        <v>21</v>
      </c>
      <c r="T65" s="53" t="s">
        <v>37</v>
      </c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4"/>
      <c r="AO65" s="4"/>
    </row>
    <row r="66" spans="1:41" s="2" customFormat="1" ht="36" customHeight="1" x14ac:dyDescent="0.2">
      <c r="A66" s="563"/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8"/>
      <c r="Q66" s="448"/>
      <c r="R66" s="55"/>
      <c r="S66" s="41"/>
      <c r="T66" s="43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4"/>
      <c r="AO66" s="4"/>
    </row>
    <row r="67" spans="1:41" s="2" customFormat="1" ht="36" customHeight="1" x14ac:dyDescent="0.2">
      <c r="A67" s="563"/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8"/>
      <c r="Q67" s="448"/>
      <c r="R67" s="55"/>
      <c r="S67" s="41"/>
      <c r="T67" s="43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4"/>
      <c r="AO67" s="4"/>
    </row>
    <row r="68" spans="1:41" s="2" customFormat="1" ht="36" customHeight="1" x14ac:dyDescent="0.2">
      <c r="A68" s="563"/>
      <c r="B68" s="448"/>
      <c r="C68" s="448"/>
      <c r="D68" s="448"/>
      <c r="E68" s="448"/>
      <c r="F68" s="448"/>
      <c r="G68" s="448"/>
      <c r="H68" s="448"/>
      <c r="I68" s="448"/>
      <c r="J68" s="448"/>
      <c r="K68" s="448"/>
      <c r="L68" s="448"/>
      <c r="M68" s="448"/>
      <c r="N68" s="448"/>
      <c r="O68" s="448"/>
      <c r="P68" s="448"/>
      <c r="Q68" s="448"/>
      <c r="R68" s="55"/>
      <c r="S68" s="41"/>
      <c r="T68" s="43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4"/>
      <c r="AO68" s="4"/>
    </row>
    <row r="69" spans="1:41" s="2" customFormat="1" ht="36" customHeight="1" x14ac:dyDescent="0.2">
      <c r="A69" s="591"/>
      <c r="B69" s="592"/>
      <c r="C69" s="592"/>
      <c r="D69" s="592"/>
      <c r="E69" s="592"/>
      <c r="F69" s="592"/>
      <c r="G69" s="592"/>
      <c r="H69" s="592"/>
      <c r="I69" s="592"/>
      <c r="J69" s="592"/>
      <c r="K69" s="592"/>
      <c r="L69" s="592"/>
      <c r="M69" s="592"/>
      <c r="N69" s="592"/>
      <c r="O69" s="592"/>
      <c r="P69" s="592"/>
      <c r="Q69" s="592"/>
      <c r="R69" s="57"/>
      <c r="S69" s="44"/>
      <c r="T69" s="46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4"/>
      <c r="AO69" s="4"/>
    </row>
    <row r="70" spans="1:41" s="2" customFormat="1" ht="24" customHeight="1" x14ac:dyDescent="0.2">
      <c r="A70" s="534"/>
      <c r="B70" s="535"/>
      <c r="C70" s="535"/>
      <c r="D70" s="535"/>
      <c r="E70" s="535"/>
      <c r="F70" s="535"/>
      <c r="G70" s="535"/>
      <c r="H70" s="535"/>
      <c r="I70" s="535"/>
      <c r="J70" s="535"/>
      <c r="K70" s="535"/>
      <c r="L70" s="535"/>
      <c r="M70" s="535"/>
      <c r="N70" s="535"/>
      <c r="O70" s="535"/>
      <c r="P70" s="535"/>
      <c r="Q70" s="535"/>
      <c r="R70" s="535"/>
      <c r="S70" s="535"/>
      <c r="T70" s="535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4"/>
      <c r="AO70" s="4"/>
    </row>
    <row r="71" spans="1:41" s="2" customFormat="1" ht="36" customHeight="1" x14ac:dyDescent="0.2">
      <c r="A71" s="719" t="s">
        <v>72</v>
      </c>
      <c r="B71" s="720"/>
      <c r="C71" s="720"/>
      <c r="D71" s="720"/>
      <c r="E71" s="720"/>
      <c r="F71" s="720"/>
      <c r="G71" s="720"/>
      <c r="H71" s="720"/>
      <c r="I71" s="720"/>
      <c r="J71" s="720"/>
      <c r="K71" s="720"/>
      <c r="L71" s="720"/>
      <c r="M71" s="720"/>
      <c r="N71" s="720"/>
      <c r="O71" s="720"/>
      <c r="P71" s="720"/>
      <c r="Q71" s="720"/>
      <c r="R71" s="720"/>
      <c r="S71" s="72">
        <f>+O23+SUM(S27:S30)+SUM(S34:S36)+SUM(S42:S45)+SUM(S50:S53)+SUM(S59)+SUM(S62)+SUM(S66:S69)</f>
        <v>0</v>
      </c>
      <c r="T71" s="73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4"/>
      <c r="AO71" s="4"/>
    </row>
    <row r="72" spans="1:41" s="2" customFormat="1" ht="24" customHeight="1" x14ac:dyDescent="0.2">
      <c r="A72" s="534"/>
      <c r="B72" s="535"/>
      <c r="C72" s="535"/>
      <c r="D72" s="535"/>
      <c r="E72" s="535"/>
      <c r="F72" s="535"/>
      <c r="G72" s="535"/>
      <c r="H72" s="535"/>
      <c r="I72" s="535"/>
      <c r="J72" s="535"/>
      <c r="K72" s="535"/>
      <c r="L72" s="535"/>
      <c r="M72" s="535"/>
      <c r="N72" s="535"/>
      <c r="O72" s="535"/>
      <c r="P72" s="535"/>
      <c r="Q72" s="535"/>
      <c r="R72" s="535"/>
      <c r="S72" s="535"/>
      <c r="T72" s="535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4"/>
      <c r="AO72" s="4"/>
    </row>
    <row r="73" spans="1:41" s="2" customFormat="1" ht="36" customHeight="1" x14ac:dyDescent="0.2">
      <c r="A73" s="721" t="s">
        <v>42</v>
      </c>
      <c r="B73" s="722"/>
      <c r="C73" s="722"/>
      <c r="D73" s="722"/>
      <c r="E73" s="722"/>
      <c r="F73" s="722"/>
      <c r="G73" s="722"/>
      <c r="H73" s="583"/>
      <c r="I73" s="584"/>
      <c r="J73" s="584"/>
      <c r="K73" s="584"/>
      <c r="L73" s="584"/>
      <c r="M73" s="584"/>
      <c r="N73" s="584"/>
      <c r="O73" s="584"/>
      <c r="P73" s="584"/>
      <c r="Q73" s="584"/>
      <c r="R73" s="584"/>
      <c r="S73" s="74"/>
      <c r="T73" s="75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4"/>
      <c r="AO73" s="4"/>
    </row>
    <row r="74" spans="1:41" s="2" customFormat="1" ht="36" customHeight="1" x14ac:dyDescent="0.2">
      <c r="A74" s="711" t="s">
        <v>20</v>
      </c>
      <c r="B74" s="712"/>
      <c r="C74" s="712"/>
      <c r="D74" s="712"/>
      <c r="E74" s="712"/>
      <c r="F74" s="712"/>
      <c r="G74" s="712"/>
      <c r="H74" s="447"/>
      <c r="I74" s="448"/>
      <c r="J74" s="448"/>
      <c r="K74" s="448"/>
      <c r="L74" s="448"/>
      <c r="M74" s="448"/>
      <c r="N74" s="448"/>
      <c r="O74" s="448"/>
      <c r="P74" s="448"/>
      <c r="Q74" s="448"/>
      <c r="R74" s="448"/>
      <c r="S74" s="41"/>
      <c r="T74" s="43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4"/>
      <c r="AO74" s="4"/>
    </row>
    <row r="75" spans="1:41" s="2" customFormat="1" ht="36" customHeight="1" x14ac:dyDescent="0.2">
      <c r="A75" s="713" t="s">
        <v>33</v>
      </c>
      <c r="B75" s="714"/>
      <c r="C75" s="714"/>
      <c r="D75" s="714"/>
      <c r="E75" s="714"/>
      <c r="F75" s="714"/>
      <c r="G75" s="714"/>
      <c r="H75" s="714"/>
      <c r="I75" s="714"/>
      <c r="J75" s="714"/>
      <c r="K75" s="714"/>
      <c r="L75" s="714"/>
      <c r="M75" s="714"/>
      <c r="N75" s="714"/>
      <c r="O75" s="714"/>
      <c r="P75" s="714"/>
      <c r="Q75" s="714"/>
      <c r="R75" s="714"/>
      <c r="S75" s="83">
        <f>S71-S73-S74</f>
        <v>0</v>
      </c>
      <c r="T75" s="76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4"/>
      <c r="AO75" s="4"/>
    </row>
    <row r="76" spans="1:41" ht="10.7" customHeight="1" x14ac:dyDescent="0.2">
      <c r="A76" s="589"/>
      <c r="B76" s="590"/>
      <c r="C76" s="590"/>
      <c r="D76" s="590"/>
      <c r="E76" s="590"/>
      <c r="F76" s="590"/>
      <c r="G76" s="590"/>
      <c r="H76" s="590"/>
      <c r="I76" s="590"/>
      <c r="J76" s="590"/>
      <c r="K76" s="590"/>
      <c r="L76" s="590"/>
      <c r="M76" s="590"/>
      <c r="N76" s="590"/>
      <c r="O76" s="590"/>
      <c r="P76" s="590"/>
      <c r="Q76" s="590"/>
      <c r="R76" s="590"/>
      <c r="S76" s="590"/>
      <c r="T76" s="590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3"/>
      <c r="AO76" s="3"/>
    </row>
    <row r="77" spans="1:41" ht="16.7" customHeight="1" x14ac:dyDescent="0.25">
      <c r="A77" s="79"/>
      <c r="B77" s="607" t="s">
        <v>17</v>
      </c>
      <c r="C77" s="608"/>
      <c r="D77" s="608"/>
      <c r="E77" s="608"/>
      <c r="F77" s="608"/>
      <c r="G77" s="608"/>
      <c r="H77" s="608"/>
      <c r="I77" s="608"/>
      <c r="J77" s="608"/>
      <c r="K77" s="608"/>
      <c r="L77" s="608"/>
      <c r="M77" s="77"/>
      <c r="N77" s="80"/>
      <c r="O77" s="607" t="s">
        <v>45</v>
      </c>
      <c r="P77" s="608"/>
      <c r="Q77" s="608"/>
      <c r="R77" s="608"/>
      <c r="S77" s="608"/>
      <c r="T77" s="608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3"/>
      <c r="AO77" s="3"/>
    </row>
    <row r="78" spans="1:41" ht="16.7" customHeight="1" x14ac:dyDescent="0.25">
      <c r="A78" s="79"/>
      <c r="B78" s="607" t="s">
        <v>19</v>
      </c>
      <c r="C78" s="608"/>
      <c r="D78" s="79"/>
      <c r="E78" s="607" t="s">
        <v>73</v>
      </c>
      <c r="F78" s="608"/>
      <c r="G78" s="608"/>
      <c r="H78" s="609"/>
      <c r="I78" s="610"/>
      <c r="J78" s="610"/>
      <c r="K78" s="610"/>
      <c r="L78" s="610"/>
      <c r="M78" s="77"/>
      <c r="N78" s="80"/>
      <c r="O78" s="607" t="s">
        <v>27</v>
      </c>
      <c r="P78" s="608"/>
      <c r="Q78" s="608"/>
      <c r="R78" s="608"/>
      <c r="S78" s="608"/>
      <c r="T78" s="608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3"/>
      <c r="AO78" s="3"/>
    </row>
    <row r="79" spans="1:41" ht="9.1999999999999993" customHeight="1" x14ac:dyDescent="0.2">
      <c r="A79" s="573"/>
      <c r="B79" s="574"/>
      <c r="C79" s="574"/>
      <c r="D79" s="574"/>
      <c r="E79" s="574"/>
      <c r="F79" s="574"/>
      <c r="G79" s="574"/>
      <c r="H79" s="574"/>
      <c r="I79" s="574"/>
      <c r="J79" s="574"/>
      <c r="K79" s="574"/>
      <c r="L79" s="574"/>
      <c r="M79" s="574"/>
      <c r="N79" s="574"/>
      <c r="O79" s="574"/>
      <c r="P79" s="574"/>
      <c r="Q79" s="574"/>
      <c r="R79" s="574"/>
      <c r="S79" s="574"/>
      <c r="T79" s="574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3"/>
      <c r="AO79" s="3"/>
    </row>
    <row r="80" spans="1:41" ht="15.2" customHeight="1" x14ac:dyDescent="0.2">
      <c r="A80" s="715" t="s">
        <v>32</v>
      </c>
      <c r="B80" s="716"/>
      <c r="C80" s="716"/>
      <c r="D80" s="716"/>
      <c r="E80" s="715" t="s">
        <v>74</v>
      </c>
      <c r="F80" s="716"/>
      <c r="G80" s="716"/>
      <c r="H80" s="716"/>
      <c r="I80" s="716"/>
      <c r="J80" s="716"/>
      <c r="K80" s="716"/>
      <c r="L80" s="717" t="s">
        <v>75</v>
      </c>
      <c r="M80" s="718"/>
      <c r="N80" s="718"/>
      <c r="O80" s="718"/>
      <c r="P80" s="718"/>
      <c r="Q80" s="718"/>
      <c r="R80" s="718"/>
      <c r="S80" s="718"/>
      <c r="T80" s="718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3"/>
      <c r="AO80" s="3"/>
    </row>
    <row r="81" spans="1:41" ht="39.950000000000003" customHeight="1" x14ac:dyDescent="0.2">
      <c r="A81" s="612"/>
      <c r="B81" s="602"/>
      <c r="C81" s="602"/>
      <c r="D81" s="602"/>
      <c r="E81" s="603"/>
      <c r="F81" s="604"/>
      <c r="G81" s="604"/>
      <c r="H81" s="604"/>
      <c r="I81" s="604"/>
      <c r="J81" s="604"/>
      <c r="K81" s="604"/>
      <c r="L81" s="605"/>
      <c r="M81" s="606"/>
      <c r="N81" s="606"/>
      <c r="O81" s="606"/>
      <c r="P81" s="606"/>
      <c r="Q81" s="606"/>
      <c r="R81" s="606"/>
      <c r="S81" s="606"/>
      <c r="T81" s="606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3"/>
      <c r="AO81" s="3"/>
    </row>
    <row r="82" spans="1:41" s="2" customFormat="1" ht="30" customHeight="1" x14ac:dyDescent="0.2">
      <c r="A82" s="595"/>
      <c r="B82" s="596"/>
      <c r="C82" s="596"/>
      <c r="D82" s="596"/>
      <c r="E82" s="596"/>
      <c r="F82" s="596"/>
      <c r="G82" s="596"/>
      <c r="H82" s="596"/>
      <c r="I82" s="596"/>
      <c r="J82" s="596"/>
      <c r="K82" s="596"/>
      <c r="L82" s="596"/>
      <c r="M82" s="596"/>
      <c r="N82" s="596"/>
      <c r="O82" s="596"/>
      <c r="P82" s="596"/>
      <c r="Q82" s="596"/>
      <c r="R82" s="596"/>
      <c r="S82" s="596"/>
      <c r="T82" s="596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4"/>
      <c r="AO82" s="4"/>
    </row>
    <row r="83" spans="1:41" x14ac:dyDescent="0.2"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3"/>
      <c r="AO83" s="3"/>
    </row>
    <row r="84" spans="1:41" x14ac:dyDescent="0.2"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3"/>
      <c r="AO84" s="3"/>
    </row>
    <row r="85" spans="1:41" x14ac:dyDescent="0.2"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3"/>
      <c r="AO85" s="3"/>
    </row>
    <row r="86" spans="1:41" x14ac:dyDescent="0.2"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3"/>
      <c r="AO86" s="3"/>
    </row>
    <row r="87" spans="1:41" x14ac:dyDescent="0.2"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3"/>
      <c r="AO87" s="3"/>
    </row>
    <row r="88" spans="1:41" x14ac:dyDescent="0.2"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3"/>
      <c r="AO88" s="3"/>
    </row>
    <row r="89" spans="1:41" x14ac:dyDescent="0.2"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3"/>
      <c r="AO89" s="3"/>
    </row>
    <row r="90" spans="1:41" x14ac:dyDescent="0.2"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3"/>
      <c r="AO90" s="3"/>
    </row>
    <row r="91" spans="1:41" x14ac:dyDescent="0.2"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3"/>
      <c r="AO91" s="3"/>
    </row>
    <row r="92" spans="1:41" x14ac:dyDescent="0.2"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3"/>
      <c r="AO92" s="3"/>
    </row>
    <row r="93" spans="1:41" x14ac:dyDescent="0.2"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3"/>
      <c r="AO93" s="3"/>
    </row>
    <row r="94" spans="1:41" x14ac:dyDescent="0.2"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3"/>
      <c r="AO94" s="3"/>
    </row>
    <row r="95" spans="1:41" x14ac:dyDescent="0.2"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3"/>
      <c r="AO95" s="3"/>
    </row>
    <row r="96" spans="1:41" x14ac:dyDescent="0.2"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3"/>
      <c r="AO96" s="3"/>
    </row>
    <row r="97" spans="21:41" x14ac:dyDescent="0.2"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3"/>
      <c r="AO97" s="3"/>
    </row>
    <row r="98" spans="21:41" x14ac:dyDescent="0.2"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3"/>
      <c r="AO98" s="3"/>
    </row>
    <row r="99" spans="21:41" x14ac:dyDescent="0.2"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3"/>
      <c r="AO99" s="3"/>
    </row>
    <row r="100" spans="21:41" x14ac:dyDescent="0.2"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3"/>
      <c r="AO100" s="3"/>
    </row>
    <row r="101" spans="21:41" x14ac:dyDescent="0.2"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3"/>
      <c r="AO101" s="3"/>
    </row>
    <row r="102" spans="21:41" x14ac:dyDescent="0.2"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3"/>
      <c r="AO102" s="3"/>
    </row>
    <row r="103" spans="21:41" x14ac:dyDescent="0.2"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3"/>
      <c r="AO103" s="3"/>
    </row>
    <row r="104" spans="21:41" x14ac:dyDescent="0.2"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3"/>
      <c r="AO104" s="3"/>
    </row>
    <row r="105" spans="21:41" x14ac:dyDescent="0.2"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3"/>
      <c r="AO105" s="3"/>
    </row>
    <row r="106" spans="21:41" x14ac:dyDescent="0.2"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3"/>
      <c r="AO106" s="3"/>
    </row>
    <row r="107" spans="21:41" x14ac:dyDescent="0.2"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3"/>
      <c r="AO107" s="3"/>
    </row>
    <row r="108" spans="21:41" x14ac:dyDescent="0.2"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3"/>
      <c r="AO108" s="3"/>
    </row>
    <row r="109" spans="21:41" x14ac:dyDescent="0.2"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3"/>
      <c r="AO109" s="3"/>
    </row>
    <row r="110" spans="21:41" x14ac:dyDescent="0.2"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3"/>
      <c r="AO110" s="3"/>
    </row>
    <row r="111" spans="21:41" x14ac:dyDescent="0.2"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3"/>
      <c r="AO111" s="3"/>
    </row>
    <row r="112" spans="21:41" x14ac:dyDescent="0.2"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3"/>
      <c r="AO112" s="3"/>
    </row>
    <row r="113" spans="21:41" x14ac:dyDescent="0.2"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3"/>
      <c r="AO113" s="3"/>
    </row>
    <row r="114" spans="21:41" x14ac:dyDescent="0.2"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3"/>
      <c r="AO114" s="3"/>
    </row>
    <row r="115" spans="21:41" x14ac:dyDescent="0.2"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3"/>
      <c r="AO115" s="3"/>
    </row>
    <row r="116" spans="21:41" x14ac:dyDescent="0.2"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3"/>
      <c r="AO116" s="3"/>
    </row>
    <row r="117" spans="21:41" x14ac:dyDescent="0.2"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3"/>
      <c r="AO117" s="3"/>
    </row>
    <row r="118" spans="21:41" x14ac:dyDescent="0.2"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3"/>
      <c r="AO118" s="3"/>
    </row>
    <row r="119" spans="21:41" x14ac:dyDescent="0.2"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3"/>
      <c r="AO119" s="3"/>
    </row>
    <row r="120" spans="21:41" x14ac:dyDescent="0.2"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3"/>
      <c r="AO120" s="3"/>
    </row>
    <row r="121" spans="21:41" x14ac:dyDescent="0.2"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3"/>
      <c r="AO121" s="3"/>
    </row>
    <row r="122" spans="21:41" x14ac:dyDescent="0.2"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3"/>
      <c r="AO122" s="3"/>
    </row>
    <row r="123" spans="21:41" x14ac:dyDescent="0.2"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3"/>
      <c r="AO123" s="3"/>
    </row>
    <row r="124" spans="21:41" x14ac:dyDescent="0.2"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3"/>
      <c r="AO124" s="3"/>
    </row>
    <row r="125" spans="21:41" x14ac:dyDescent="0.2"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3"/>
      <c r="AO125" s="3"/>
    </row>
    <row r="126" spans="21:41" x14ac:dyDescent="0.2"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3"/>
      <c r="AO126" s="3"/>
    </row>
    <row r="127" spans="21:41" x14ac:dyDescent="0.2"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3"/>
      <c r="AO127" s="3"/>
    </row>
    <row r="128" spans="21:41" x14ac:dyDescent="0.2"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3"/>
      <c r="AO128" s="3"/>
    </row>
    <row r="129" spans="21:41" x14ac:dyDescent="0.2"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3"/>
      <c r="AO129" s="3"/>
    </row>
    <row r="130" spans="21:41" x14ac:dyDescent="0.2"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3"/>
      <c r="AO130" s="3"/>
    </row>
    <row r="131" spans="21:41" x14ac:dyDescent="0.2"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3"/>
      <c r="AO131" s="3"/>
    </row>
    <row r="132" spans="21:41" x14ac:dyDescent="0.2"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3"/>
      <c r="AO132" s="3"/>
    </row>
    <row r="133" spans="21:41" x14ac:dyDescent="0.2"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3"/>
      <c r="AO133" s="3"/>
    </row>
    <row r="134" spans="21:41" x14ac:dyDescent="0.2"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3"/>
      <c r="AO134" s="3"/>
    </row>
    <row r="135" spans="21:41" x14ac:dyDescent="0.2"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3"/>
      <c r="AO135" s="3"/>
    </row>
    <row r="136" spans="21:41" x14ac:dyDescent="0.2"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3"/>
      <c r="AO136" s="3"/>
    </row>
    <row r="137" spans="21:41" x14ac:dyDescent="0.2"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3"/>
      <c r="AO137" s="3"/>
    </row>
    <row r="138" spans="21:41" x14ac:dyDescent="0.2"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3"/>
      <c r="AO138" s="3"/>
    </row>
    <row r="139" spans="21:41" x14ac:dyDescent="0.2"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3"/>
      <c r="AO139" s="3"/>
    </row>
    <row r="140" spans="21:41" x14ac:dyDescent="0.2"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3"/>
      <c r="AO140" s="3"/>
    </row>
    <row r="141" spans="21:41" x14ac:dyDescent="0.2"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3"/>
      <c r="AO141" s="3"/>
    </row>
    <row r="142" spans="21:41" x14ac:dyDescent="0.2"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3"/>
      <c r="AO142" s="3"/>
    </row>
    <row r="143" spans="21:41" x14ac:dyDescent="0.2"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3"/>
      <c r="AO143" s="3"/>
    </row>
    <row r="144" spans="21:41" x14ac:dyDescent="0.2"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3"/>
      <c r="AO144" s="3"/>
    </row>
    <row r="145" spans="21:41" x14ac:dyDescent="0.2"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3"/>
      <c r="AO145" s="3"/>
    </row>
    <row r="146" spans="21:41" x14ac:dyDescent="0.2"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3"/>
      <c r="AO146" s="3"/>
    </row>
    <row r="147" spans="21:41" x14ac:dyDescent="0.2"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3"/>
      <c r="AO147" s="3"/>
    </row>
    <row r="148" spans="21:41" x14ac:dyDescent="0.2"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3"/>
      <c r="AO148" s="3"/>
    </row>
    <row r="149" spans="21:41" x14ac:dyDescent="0.2"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3"/>
      <c r="AO149" s="3"/>
    </row>
    <row r="150" spans="21:41" x14ac:dyDescent="0.2"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3"/>
      <c r="AO150" s="3"/>
    </row>
    <row r="151" spans="21:41" x14ac:dyDescent="0.2"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3"/>
      <c r="AO151" s="3"/>
    </row>
    <row r="152" spans="21:41" x14ac:dyDescent="0.2"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3"/>
      <c r="AO152" s="3"/>
    </row>
    <row r="153" spans="21:41" x14ac:dyDescent="0.2"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3"/>
      <c r="AO153" s="3"/>
    </row>
    <row r="154" spans="21:41" x14ac:dyDescent="0.2"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3"/>
      <c r="AO154" s="3"/>
    </row>
    <row r="155" spans="21:41" x14ac:dyDescent="0.2"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3"/>
      <c r="AO155" s="3"/>
    </row>
    <row r="156" spans="21:41" x14ac:dyDescent="0.2"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3"/>
      <c r="AO156" s="3"/>
    </row>
    <row r="157" spans="21:41" x14ac:dyDescent="0.2"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3"/>
      <c r="AO157" s="3"/>
    </row>
    <row r="158" spans="21:41" x14ac:dyDescent="0.2"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3"/>
      <c r="AO158" s="3"/>
    </row>
    <row r="159" spans="21:41" x14ac:dyDescent="0.2"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3"/>
      <c r="AO159" s="3"/>
    </row>
    <row r="160" spans="21:41" x14ac:dyDescent="0.2"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3"/>
      <c r="AO160" s="3"/>
    </row>
    <row r="161" spans="21:41" x14ac:dyDescent="0.2"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3"/>
      <c r="AO161" s="3"/>
    </row>
    <row r="162" spans="21:41" x14ac:dyDescent="0.2"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3"/>
      <c r="AO162" s="3"/>
    </row>
    <row r="163" spans="21:41" x14ac:dyDescent="0.2"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3"/>
      <c r="AO163" s="3"/>
    </row>
    <row r="164" spans="21:41" x14ac:dyDescent="0.2"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3"/>
      <c r="AO164" s="3"/>
    </row>
    <row r="165" spans="21:41" x14ac:dyDescent="0.2"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3"/>
      <c r="AO165" s="3"/>
    </row>
    <row r="166" spans="21:41" x14ac:dyDescent="0.2"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3"/>
      <c r="AO166" s="3"/>
    </row>
    <row r="167" spans="21:41" x14ac:dyDescent="0.2"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3"/>
      <c r="AO167" s="3"/>
    </row>
    <row r="168" spans="21:41" x14ac:dyDescent="0.2"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3"/>
      <c r="AO168" s="3"/>
    </row>
    <row r="169" spans="21:41" x14ac:dyDescent="0.2"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3"/>
      <c r="AO169" s="3"/>
    </row>
    <row r="170" spans="21:41" x14ac:dyDescent="0.2"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3"/>
      <c r="AO170" s="3"/>
    </row>
    <row r="171" spans="21:41" x14ac:dyDescent="0.2"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3"/>
      <c r="AO171" s="3"/>
    </row>
    <row r="172" spans="21:41" x14ac:dyDescent="0.2"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3"/>
      <c r="AO172" s="3"/>
    </row>
    <row r="173" spans="21:41" x14ac:dyDescent="0.2"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3"/>
    </row>
    <row r="174" spans="21:41" x14ac:dyDescent="0.2"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3"/>
    </row>
    <row r="175" spans="21:41" x14ac:dyDescent="0.2"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3"/>
    </row>
    <row r="176" spans="21:41" x14ac:dyDescent="0.2"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3"/>
    </row>
    <row r="177" spans="29:41" x14ac:dyDescent="0.2"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3"/>
    </row>
    <row r="178" spans="29:41" x14ac:dyDescent="0.2"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3"/>
    </row>
    <row r="179" spans="29:41" x14ac:dyDescent="0.2"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3"/>
    </row>
    <row r="180" spans="29:41" x14ac:dyDescent="0.2"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3"/>
    </row>
    <row r="181" spans="29:41" x14ac:dyDescent="0.2"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3"/>
    </row>
    <row r="182" spans="29:41" x14ac:dyDescent="0.2"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3"/>
    </row>
    <row r="183" spans="29:41" x14ac:dyDescent="0.2"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3"/>
    </row>
    <row r="184" spans="29:41" x14ac:dyDescent="0.2"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3"/>
    </row>
    <row r="185" spans="29:41" x14ac:dyDescent="0.2"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3"/>
    </row>
    <row r="186" spans="29:41" x14ac:dyDescent="0.2"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3"/>
    </row>
    <row r="187" spans="29:41" x14ac:dyDescent="0.2"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3"/>
    </row>
    <row r="188" spans="29:41" x14ac:dyDescent="0.2"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3"/>
    </row>
    <row r="189" spans="29:41" x14ac:dyDescent="0.2"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3"/>
    </row>
    <row r="190" spans="29:41" x14ac:dyDescent="0.2"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3"/>
    </row>
    <row r="191" spans="29:41" x14ac:dyDescent="0.2"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3"/>
    </row>
    <row r="192" spans="29:41" x14ac:dyDescent="0.2"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3"/>
    </row>
    <row r="193" spans="29:41" x14ac:dyDescent="0.2"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3"/>
    </row>
    <row r="194" spans="29:41" x14ac:dyDescent="0.2"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3"/>
    </row>
    <row r="195" spans="29:41" x14ac:dyDescent="0.2"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3"/>
    </row>
    <row r="196" spans="29:41" x14ac:dyDescent="0.2"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3"/>
    </row>
    <row r="197" spans="29:41" x14ac:dyDescent="0.2"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3"/>
    </row>
    <row r="198" spans="29:41" x14ac:dyDescent="0.2"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3"/>
    </row>
    <row r="199" spans="29:41" x14ac:dyDescent="0.2"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3"/>
    </row>
    <row r="200" spans="29:41" x14ac:dyDescent="0.2"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3"/>
    </row>
    <row r="201" spans="29:41" x14ac:dyDescent="0.2"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3"/>
    </row>
    <row r="202" spans="29:41" x14ac:dyDescent="0.2"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3"/>
    </row>
    <row r="203" spans="29:41" x14ac:dyDescent="0.2"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3"/>
    </row>
    <row r="204" spans="29:41" x14ac:dyDescent="0.2"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3"/>
    </row>
    <row r="205" spans="29:41" x14ac:dyDescent="0.2"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3"/>
    </row>
    <row r="206" spans="29:41" x14ac:dyDescent="0.2"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3"/>
    </row>
    <row r="207" spans="29:41" x14ac:dyDescent="0.2"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3"/>
    </row>
    <row r="208" spans="29:41" x14ac:dyDescent="0.2"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3"/>
    </row>
    <row r="209" spans="29:41" x14ac:dyDescent="0.2"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3"/>
    </row>
    <row r="210" spans="29:41" x14ac:dyDescent="0.2"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3"/>
    </row>
    <row r="211" spans="29:41" x14ac:dyDescent="0.2"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3"/>
    </row>
    <row r="212" spans="29:41" x14ac:dyDescent="0.2"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3"/>
    </row>
    <row r="213" spans="29:41" x14ac:dyDescent="0.2"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3"/>
    </row>
    <row r="214" spans="29:41" x14ac:dyDescent="0.2"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3"/>
    </row>
    <row r="215" spans="29:41" x14ac:dyDescent="0.2"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3"/>
    </row>
    <row r="216" spans="29:41" x14ac:dyDescent="0.2"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3"/>
    </row>
    <row r="217" spans="29:41" x14ac:dyDescent="0.2"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3"/>
    </row>
    <row r="218" spans="29:41" x14ac:dyDescent="0.2"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3"/>
    </row>
    <row r="219" spans="29:41" x14ac:dyDescent="0.2"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3"/>
    </row>
    <row r="220" spans="29:41" x14ac:dyDescent="0.2"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3"/>
    </row>
    <row r="221" spans="29:41" x14ac:dyDescent="0.2"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3"/>
    </row>
    <row r="222" spans="29:41" x14ac:dyDescent="0.2"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3"/>
    </row>
    <row r="223" spans="29:41" x14ac:dyDescent="0.2"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3"/>
    </row>
    <row r="224" spans="29:41" x14ac:dyDescent="0.2"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3"/>
    </row>
    <row r="225" spans="29:41" x14ac:dyDescent="0.2"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3"/>
    </row>
    <row r="226" spans="29:41" x14ac:dyDescent="0.2"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3"/>
    </row>
    <row r="227" spans="29:41" x14ac:dyDescent="0.2"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3"/>
    </row>
    <row r="228" spans="29:41" x14ac:dyDescent="0.2"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3"/>
    </row>
    <row r="229" spans="29:41" x14ac:dyDescent="0.2"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3"/>
    </row>
    <row r="230" spans="29:41" x14ac:dyDescent="0.2"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3"/>
    </row>
    <row r="231" spans="29:41" x14ac:dyDescent="0.2"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3"/>
    </row>
    <row r="232" spans="29:41" x14ac:dyDescent="0.2"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3"/>
    </row>
    <row r="233" spans="29:41" x14ac:dyDescent="0.2"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3"/>
    </row>
    <row r="234" spans="29:41" x14ac:dyDescent="0.2"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3"/>
    </row>
    <row r="235" spans="29:41" x14ac:dyDescent="0.2"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3"/>
    </row>
    <row r="236" spans="29:41" x14ac:dyDescent="0.2"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3"/>
    </row>
    <row r="237" spans="29:41" x14ac:dyDescent="0.2"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3"/>
    </row>
    <row r="238" spans="29:41" x14ac:dyDescent="0.2"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3"/>
    </row>
    <row r="239" spans="29:41" x14ac:dyDescent="0.2"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3"/>
    </row>
    <row r="240" spans="29:41" x14ac:dyDescent="0.2"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3"/>
    </row>
    <row r="241" spans="1:41" x14ac:dyDescent="0.2"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3"/>
    </row>
    <row r="242" spans="1:41" x14ac:dyDescent="0.2"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3"/>
    </row>
    <row r="243" spans="1:41" x14ac:dyDescent="0.2"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3"/>
    </row>
    <row r="244" spans="1:41" x14ac:dyDescent="0.2"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3"/>
    </row>
    <row r="245" spans="1:41" x14ac:dyDescent="0.2"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3"/>
    </row>
    <row r="246" spans="1:41" x14ac:dyDescent="0.2"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3"/>
    </row>
    <row r="247" spans="1:41" x14ac:dyDescent="0.2"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3"/>
    </row>
    <row r="248" spans="1:41" x14ac:dyDescent="0.2"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3"/>
    </row>
    <row r="249" spans="1:41" x14ac:dyDescent="0.2"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3"/>
    </row>
    <row r="250" spans="1:41" x14ac:dyDescent="0.2"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3"/>
    </row>
    <row r="251" spans="1:41" x14ac:dyDescent="0.2"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3"/>
    </row>
    <row r="252" spans="1:41" x14ac:dyDescent="0.2"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3"/>
    </row>
    <row r="253" spans="1:41" x14ac:dyDescent="0.2"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3"/>
    </row>
    <row r="254" spans="1:41" x14ac:dyDescent="0.2"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3"/>
    </row>
    <row r="255" spans="1:41" x14ac:dyDescent="0.2"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3"/>
    </row>
    <row r="256" spans="1:4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</row>
    <row r="257" spans="1:38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</row>
    <row r="258" spans="1:38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</row>
    <row r="259" spans="1:38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</row>
    <row r="260" spans="1:38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</row>
    <row r="261" spans="1:38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</row>
    <row r="262" spans="1:38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</row>
    <row r="263" spans="1:38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</row>
    <row r="264" spans="1:38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</row>
    <row r="265" spans="1:38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</row>
    <row r="266" spans="1:38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</row>
    <row r="267" spans="1:38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</row>
    <row r="268" spans="1:38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</row>
    <row r="269" spans="1:38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</row>
    <row r="270" spans="1:38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</row>
    <row r="271" spans="1:38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</row>
    <row r="272" spans="1:38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</row>
    <row r="273" spans="1:38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</row>
    <row r="274" spans="1:38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</row>
    <row r="275" spans="1:38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</row>
    <row r="276" spans="1:38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</row>
    <row r="277" spans="1:38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</row>
    <row r="278" spans="1:38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</row>
    <row r="279" spans="1:38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</row>
    <row r="280" spans="1:38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</row>
    <row r="281" spans="1:38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</row>
    <row r="282" spans="1:38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</row>
    <row r="283" spans="1:38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</row>
    <row r="284" spans="1:38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</row>
    <row r="285" spans="1:38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</row>
    <row r="286" spans="1:38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</row>
    <row r="287" spans="1:38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</row>
    <row r="288" spans="1:38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</row>
    <row r="289" spans="1:38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</row>
    <row r="290" spans="1:38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</row>
    <row r="291" spans="1:38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</row>
    <row r="292" spans="1:38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</row>
    <row r="293" spans="1:38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</row>
    <row r="294" spans="1:38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</row>
    <row r="295" spans="1:38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</row>
    <row r="296" spans="1:38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</row>
    <row r="297" spans="1:38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</row>
    <row r="298" spans="1:38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</row>
    <row r="299" spans="1:38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</row>
    <row r="300" spans="1:38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</row>
    <row r="301" spans="1:38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</row>
    <row r="302" spans="1:38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</row>
    <row r="303" spans="1:38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</row>
    <row r="304" spans="1:38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</row>
    <row r="305" spans="1:38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</row>
    <row r="306" spans="1:38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</row>
    <row r="307" spans="1:38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</row>
    <row r="308" spans="1:38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</row>
    <row r="309" spans="1:38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</row>
    <row r="310" spans="1:38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</row>
    <row r="311" spans="1:38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</row>
    <row r="312" spans="1:38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</row>
    <row r="313" spans="1:38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</row>
    <row r="314" spans="1:38" x14ac:dyDescent="0.2"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</row>
    <row r="315" spans="1:38" x14ac:dyDescent="0.2"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</row>
    <row r="316" spans="1:38" x14ac:dyDescent="0.2"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</row>
    <row r="317" spans="1:38" x14ac:dyDescent="0.2"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</row>
    <row r="318" spans="1:38" x14ac:dyDescent="0.2"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</row>
    <row r="319" spans="1:38" x14ac:dyDescent="0.2"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</row>
    <row r="320" spans="1:38" x14ac:dyDescent="0.2"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</row>
    <row r="321" spans="21:38" x14ac:dyDescent="0.2"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</row>
    <row r="322" spans="21:38" x14ac:dyDescent="0.2"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</row>
    <row r="323" spans="21:38" x14ac:dyDescent="0.2"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</row>
    <row r="324" spans="21:38" x14ac:dyDescent="0.2"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</row>
    <row r="325" spans="21:38" x14ac:dyDescent="0.2"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</row>
    <row r="326" spans="21:38" x14ac:dyDescent="0.2"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</row>
    <row r="327" spans="21:38" x14ac:dyDescent="0.2"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</row>
    <row r="328" spans="21:38" x14ac:dyDescent="0.2"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</row>
    <row r="329" spans="21:38" x14ac:dyDescent="0.2"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</row>
    <row r="330" spans="21:38" x14ac:dyDescent="0.2"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</row>
    <row r="331" spans="21:38" x14ac:dyDescent="0.2"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</row>
    <row r="332" spans="21:38" x14ac:dyDescent="0.2"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</row>
    <row r="333" spans="21:38" x14ac:dyDescent="0.2"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</row>
    <row r="334" spans="21:38" x14ac:dyDescent="0.2"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</row>
    <row r="335" spans="21:38" x14ac:dyDescent="0.2"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</row>
    <row r="336" spans="21:38" x14ac:dyDescent="0.2"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</row>
    <row r="337" spans="21:38" x14ac:dyDescent="0.2"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</row>
  </sheetData>
  <sheetProtection password="DED9" sheet="1" objects="1" scenarios="1" selectLockedCells="1"/>
  <mergeCells count="222">
    <mergeCell ref="A5:F5"/>
    <mergeCell ref="H5:J5"/>
    <mergeCell ref="K5:P5"/>
    <mergeCell ref="Q5:T5"/>
    <mergeCell ref="A1:T1"/>
    <mergeCell ref="A2:J2"/>
    <mergeCell ref="K2:M2"/>
    <mergeCell ref="N2:P2"/>
    <mergeCell ref="A3:J3"/>
    <mergeCell ref="K3:M3"/>
    <mergeCell ref="N3:P3"/>
    <mergeCell ref="Q3:S3"/>
    <mergeCell ref="A4:F4"/>
    <mergeCell ref="H4:J4"/>
    <mergeCell ref="K4:P4"/>
    <mergeCell ref="Q4:T4"/>
    <mergeCell ref="A6:T6"/>
    <mergeCell ref="A7:T7"/>
    <mergeCell ref="A8:T8"/>
    <mergeCell ref="A9:T9"/>
    <mergeCell ref="A10:B10"/>
    <mergeCell ref="C10:D10"/>
    <mergeCell ref="E10:G10"/>
    <mergeCell ref="H10:J10"/>
    <mergeCell ref="L10:N10"/>
    <mergeCell ref="O10:Q10"/>
    <mergeCell ref="A11:B11"/>
    <mergeCell ref="C11:D11"/>
    <mergeCell ref="E11:G11"/>
    <mergeCell ref="H11:J11"/>
    <mergeCell ref="L11:N11"/>
    <mergeCell ref="O11:Q11"/>
    <mergeCell ref="A12:B12"/>
    <mergeCell ref="C12:D12"/>
    <mergeCell ref="E12:G12"/>
    <mergeCell ref="H12:J12"/>
    <mergeCell ref="L12:N12"/>
    <mergeCell ref="O12:Q12"/>
    <mergeCell ref="A13:B13"/>
    <mergeCell ref="C13:D13"/>
    <mergeCell ref="E13:G13"/>
    <mergeCell ref="H13:J13"/>
    <mergeCell ref="L13:N13"/>
    <mergeCell ref="O13:Q13"/>
    <mergeCell ref="A14:B14"/>
    <mergeCell ref="C14:D14"/>
    <mergeCell ref="E14:G14"/>
    <mergeCell ref="H14:J14"/>
    <mergeCell ref="L14:N14"/>
    <mergeCell ref="O14:Q14"/>
    <mergeCell ref="A15:B15"/>
    <mergeCell ref="C15:D15"/>
    <mergeCell ref="E15:G15"/>
    <mergeCell ref="H15:J15"/>
    <mergeCell ref="L15:N15"/>
    <mergeCell ref="O15:Q15"/>
    <mergeCell ref="A16:B16"/>
    <mergeCell ref="C16:D16"/>
    <mergeCell ref="E16:G16"/>
    <mergeCell ref="H16:J16"/>
    <mergeCell ref="L16:N16"/>
    <mergeCell ref="O16:Q16"/>
    <mergeCell ref="A17:B17"/>
    <mergeCell ref="C17:D17"/>
    <mergeCell ref="E17:G17"/>
    <mergeCell ref="H17:J17"/>
    <mergeCell ref="L17:N17"/>
    <mergeCell ref="O17:Q17"/>
    <mergeCell ref="A18:B18"/>
    <mergeCell ref="C18:D18"/>
    <mergeCell ref="E18:G18"/>
    <mergeCell ref="H18:J18"/>
    <mergeCell ref="L18:N18"/>
    <mergeCell ref="O18:Q18"/>
    <mergeCell ref="A19:B19"/>
    <mergeCell ref="C19:D19"/>
    <mergeCell ref="E19:G19"/>
    <mergeCell ref="H19:J19"/>
    <mergeCell ref="L19:N19"/>
    <mergeCell ref="O19:Q19"/>
    <mergeCell ref="A20:B20"/>
    <mergeCell ref="C20:D20"/>
    <mergeCell ref="E20:G20"/>
    <mergeCell ref="H20:J20"/>
    <mergeCell ref="L20:N20"/>
    <mergeCell ref="O20:Q20"/>
    <mergeCell ref="A21:B21"/>
    <mergeCell ref="C21:D21"/>
    <mergeCell ref="E21:G21"/>
    <mergeCell ref="H21:J21"/>
    <mergeCell ref="L21:N21"/>
    <mergeCell ref="O21:Q21"/>
    <mergeCell ref="A22:B22"/>
    <mergeCell ref="C22:D22"/>
    <mergeCell ref="E22:G22"/>
    <mergeCell ref="H22:J22"/>
    <mergeCell ref="L22:N22"/>
    <mergeCell ref="O22:Q22"/>
    <mergeCell ref="A23:K23"/>
    <mergeCell ref="L23:N23"/>
    <mergeCell ref="O23:Q23"/>
    <mergeCell ref="A24:N24"/>
    <mergeCell ref="O24:R24"/>
    <mergeCell ref="A25:T25"/>
    <mergeCell ref="A26:N26"/>
    <mergeCell ref="O26:Q26"/>
    <mergeCell ref="A27:N27"/>
    <mergeCell ref="O27:Q27"/>
    <mergeCell ref="A28:N28"/>
    <mergeCell ref="O28:Q28"/>
    <mergeCell ref="A29:C29"/>
    <mergeCell ref="D29:G29"/>
    <mergeCell ref="H29:N29"/>
    <mergeCell ref="O29:Q29"/>
    <mergeCell ref="A30:C30"/>
    <mergeCell ref="D30:N30"/>
    <mergeCell ref="O30:Q30"/>
    <mergeCell ref="A31:T31"/>
    <mergeCell ref="A32:J33"/>
    <mergeCell ref="M32:R32"/>
    <mergeCell ref="S32:S33"/>
    <mergeCell ref="T32:T33"/>
    <mergeCell ref="M33:P33"/>
    <mergeCell ref="Q33:R33"/>
    <mergeCell ref="A34:J34"/>
    <mergeCell ref="M34:P34"/>
    <mergeCell ref="Q34:R34"/>
    <mergeCell ref="A35:J35"/>
    <mergeCell ref="M35:P35"/>
    <mergeCell ref="Q35:R35"/>
    <mergeCell ref="A36:J36"/>
    <mergeCell ref="M36:P36"/>
    <mergeCell ref="Q36:R36"/>
    <mergeCell ref="A37:T37"/>
    <mergeCell ref="A38:T38"/>
    <mergeCell ref="A39:T39"/>
    <mergeCell ref="M40:Q40"/>
    <mergeCell ref="M41:N41"/>
    <mergeCell ref="P41:Q41"/>
    <mergeCell ref="M42:N42"/>
    <mergeCell ref="P42:Q42"/>
    <mergeCell ref="A41:J41"/>
    <mergeCell ref="A40:J40"/>
    <mergeCell ref="K40:L41"/>
    <mergeCell ref="M43:N43"/>
    <mergeCell ref="P43:Q43"/>
    <mergeCell ref="K43:L43"/>
    <mergeCell ref="K42:L42"/>
    <mergeCell ref="A42:J42"/>
    <mergeCell ref="A43:J43"/>
    <mergeCell ref="M44:N44"/>
    <mergeCell ref="P44:Q44"/>
    <mergeCell ref="M45:N45"/>
    <mergeCell ref="P45:Q45"/>
    <mergeCell ref="A46:T46"/>
    <mergeCell ref="A47:J47"/>
    <mergeCell ref="M47:R47"/>
    <mergeCell ref="A48:J49"/>
    <mergeCell ref="M48:N48"/>
    <mergeCell ref="O48:Q48"/>
    <mergeCell ref="T48:T49"/>
    <mergeCell ref="M49:N49"/>
    <mergeCell ref="O49:Q49"/>
    <mergeCell ref="A44:J44"/>
    <mergeCell ref="A45:J45"/>
    <mergeCell ref="K44:L44"/>
    <mergeCell ref="K45:L45"/>
    <mergeCell ref="A50:J50"/>
    <mergeCell ref="M50:N50"/>
    <mergeCell ref="O50:Q50"/>
    <mergeCell ref="A51:J51"/>
    <mergeCell ref="M51:N51"/>
    <mergeCell ref="O51:Q51"/>
    <mergeCell ref="A52:J52"/>
    <mergeCell ref="M52:N52"/>
    <mergeCell ref="O52:Q52"/>
    <mergeCell ref="A53:J53"/>
    <mergeCell ref="M53:N53"/>
    <mergeCell ref="O53:Q53"/>
    <mergeCell ref="A54:T54"/>
    <mergeCell ref="A55:T55"/>
    <mergeCell ref="A56:T56"/>
    <mergeCell ref="A57:T57"/>
    <mergeCell ref="A58:N58"/>
    <mergeCell ref="O58:Q58"/>
    <mergeCell ref="A59:N59"/>
    <mergeCell ref="O59:Q59"/>
    <mergeCell ref="A60:T60"/>
    <mergeCell ref="A61:N61"/>
    <mergeCell ref="O61:Q61"/>
    <mergeCell ref="A62:N62"/>
    <mergeCell ref="O62:Q62"/>
    <mergeCell ref="A63:T63"/>
    <mergeCell ref="A64:Q64"/>
    <mergeCell ref="A65:Q65"/>
    <mergeCell ref="A66:Q66"/>
    <mergeCell ref="A67:Q67"/>
    <mergeCell ref="A68:Q68"/>
    <mergeCell ref="A69:Q69"/>
    <mergeCell ref="A70:T70"/>
    <mergeCell ref="A71:R71"/>
    <mergeCell ref="A72:T72"/>
    <mergeCell ref="A73:G73"/>
    <mergeCell ref="H73:R73"/>
    <mergeCell ref="A74:G74"/>
    <mergeCell ref="H74:R74"/>
    <mergeCell ref="A75:R75"/>
    <mergeCell ref="A76:T76"/>
    <mergeCell ref="B77:L77"/>
    <mergeCell ref="O77:T77"/>
    <mergeCell ref="A81:D81"/>
    <mergeCell ref="E81:K81"/>
    <mergeCell ref="L81:T81"/>
    <mergeCell ref="A82:T82"/>
    <mergeCell ref="B78:C78"/>
    <mergeCell ref="E78:G78"/>
    <mergeCell ref="H78:L78"/>
    <mergeCell ref="O78:T78"/>
    <mergeCell ref="A79:T79"/>
    <mergeCell ref="A80:D80"/>
    <mergeCell ref="E80:K80"/>
    <mergeCell ref="L80:T80"/>
  </mergeCells>
  <pageMargins left="0.59055118110236227" right="0.39370078740157483" top="0.39370078740157483" bottom="0.39370078740157483" header="0.51181102362204722" footer="0.39370078740157483"/>
  <pageSetup paperSize="9" scale="57" fitToHeight="2" orientation="portrait" r:id="rId1"/>
  <headerFooter alignWithMargins="0">
    <oddFooter>Side &amp;P av &amp;N</oddFooter>
  </headerFooter>
  <rowBreaks count="1" manualBreakCount="1">
    <brk id="37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6</vt:i4>
      </vt:variant>
      <vt:variant>
        <vt:lpstr>Navngitte områder</vt:lpstr>
      </vt:variant>
      <vt:variant>
        <vt:i4>5</vt:i4>
      </vt:variant>
    </vt:vector>
  </HeadingPairs>
  <TitlesOfParts>
    <vt:vector size="11" baseType="lpstr">
      <vt:lpstr>Fra 01.01.2022</vt:lpstr>
      <vt:lpstr>Fra 01.01.2017</vt:lpstr>
      <vt:lpstr>Fra 01.01.2016</vt:lpstr>
      <vt:lpstr>Fra 01.01.2015</vt:lpstr>
      <vt:lpstr>Fra 01.01.2014</vt:lpstr>
      <vt:lpstr>Fra 01.01.2013</vt:lpstr>
      <vt:lpstr>'Fra 01.01.2013'!Utskriftsområde</vt:lpstr>
      <vt:lpstr>'Fra 01.01.2014'!Utskriftsområde</vt:lpstr>
      <vt:lpstr>'Fra 01.01.2015'!Utskriftsområde</vt:lpstr>
      <vt:lpstr>'Fra 01.01.2016'!Utskriftsområde</vt:lpstr>
      <vt:lpstr>'Fra 01.01.2017'!Utskriftsområde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</dc:creator>
  <cp:lastModifiedBy>Tore Ausland</cp:lastModifiedBy>
  <cp:lastPrinted>2022-05-10T09:50:44Z</cp:lastPrinted>
  <dcterms:created xsi:type="dcterms:W3CDTF">2007-03-09T14:33:12Z</dcterms:created>
  <dcterms:modified xsi:type="dcterms:W3CDTF">2022-05-12T06:20:47Z</dcterms:modified>
</cp:coreProperties>
</file>