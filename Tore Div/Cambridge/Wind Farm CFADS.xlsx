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mnuas-my.sharepoint.com/personal/ta_vikenklynge_no/Documents/Skrivebord/Tore Div/Cambridge/"/>
    </mc:Choice>
  </mc:AlternateContent>
  <xr:revisionPtr revIDLastSave="0" documentId="8_{62E80677-BB3E-45FF-9B72-A883D5B776A8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Cash Flows" sheetId="1" r:id="rId1"/>
    <sheet name="Capital Structure" sheetId="2" r:id="rId2"/>
    <sheet name="APV" sheetId="5" r:id="rId3"/>
    <sheet name="Chart" sheetId="3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9" i="5" l="1"/>
  <c r="B16" i="1"/>
  <c r="B2" i="5"/>
  <c r="B3" i="5"/>
  <c r="C16" i="1"/>
  <c r="C2" i="5"/>
  <c r="C3" i="5"/>
  <c r="D4" i="1"/>
  <c r="D5" i="1"/>
  <c r="D6" i="1"/>
  <c r="D7" i="1"/>
  <c r="D8" i="1"/>
  <c r="D9" i="1"/>
  <c r="D10" i="1"/>
  <c r="D11" i="1"/>
  <c r="D12" i="1"/>
  <c r="D13" i="1"/>
  <c r="D14" i="1"/>
  <c r="D16" i="1"/>
  <c r="D2" i="5"/>
  <c r="D3" i="5"/>
  <c r="E3" i="1"/>
  <c r="E4" i="1"/>
  <c r="E5" i="1"/>
  <c r="E6" i="1"/>
  <c r="E7" i="1"/>
  <c r="E8" i="1"/>
  <c r="E9" i="1"/>
  <c r="E10" i="1"/>
  <c r="E11" i="1"/>
  <c r="E12" i="1"/>
  <c r="E13" i="1"/>
  <c r="E14" i="1"/>
  <c r="E16" i="1"/>
  <c r="E2" i="5"/>
  <c r="E3" i="5"/>
  <c r="F3" i="1"/>
  <c r="F4" i="1"/>
  <c r="F5" i="1"/>
  <c r="F6" i="1"/>
  <c r="F7" i="1"/>
  <c r="F8" i="1"/>
  <c r="F9" i="1"/>
  <c r="F10" i="1"/>
  <c r="F11" i="1"/>
  <c r="F12" i="1"/>
  <c r="F13" i="1"/>
  <c r="F14" i="1"/>
  <c r="F16" i="1"/>
  <c r="F2" i="5"/>
  <c r="F3" i="5"/>
  <c r="G3" i="1"/>
  <c r="G4" i="1"/>
  <c r="G5" i="1"/>
  <c r="G6" i="1"/>
  <c r="G7" i="1"/>
  <c r="G8" i="1"/>
  <c r="G9" i="1"/>
  <c r="G10" i="1"/>
  <c r="G11" i="1"/>
  <c r="G12" i="1"/>
  <c r="G13" i="1"/>
  <c r="G14" i="1"/>
  <c r="G16" i="1"/>
  <c r="G2" i="5"/>
  <c r="G3" i="5"/>
  <c r="H3" i="1"/>
  <c r="H4" i="1"/>
  <c r="H5" i="1"/>
  <c r="H6" i="1"/>
  <c r="H7" i="1"/>
  <c r="H8" i="1"/>
  <c r="H9" i="1"/>
  <c r="H10" i="1"/>
  <c r="H11" i="1"/>
  <c r="H12" i="1"/>
  <c r="H13" i="1"/>
  <c r="H14" i="1"/>
  <c r="H16" i="1"/>
  <c r="H2" i="5"/>
  <c r="H3" i="5"/>
  <c r="I3" i="1"/>
  <c r="I4" i="1"/>
  <c r="I5" i="1"/>
  <c r="I6" i="1"/>
  <c r="I7" i="1"/>
  <c r="I8" i="1"/>
  <c r="I9" i="1"/>
  <c r="I10" i="1"/>
  <c r="I11" i="1"/>
  <c r="I12" i="1"/>
  <c r="I13" i="1"/>
  <c r="I14" i="1"/>
  <c r="I16" i="1"/>
  <c r="I2" i="5"/>
  <c r="I3" i="5"/>
  <c r="J3" i="1"/>
  <c r="J4" i="1"/>
  <c r="J5" i="1"/>
  <c r="J6" i="1"/>
  <c r="J7" i="1"/>
  <c r="J8" i="1"/>
  <c r="J9" i="1"/>
  <c r="J10" i="1"/>
  <c r="J11" i="1"/>
  <c r="J12" i="1"/>
  <c r="J13" i="1"/>
  <c r="J14" i="1"/>
  <c r="J16" i="1"/>
  <c r="J2" i="5"/>
  <c r="J3" i="5"/>
  <c r="K3" i="1"/>
  <c r="K4" i="1"/>
  <c r="K5" i="1"/>
  <c r="K6" i="1"/>
  <c r="K7" i="1"/>
  <c r="K8" i="1"/>
  <c r="K9" i="1"/>
  <c r="K10" i="1"/>
  <c r="K11" i="1"/>
  <c r="K12" i="1"/>
  <c r="K13" i="1"/>
  <c r="K14" i="1"/>
  <c r="K16" i="1"/>
  <c r="K2" i="5"/>
  <c r="K3" i="5"/>
  <c r="L3" i="1"/>
  <c r="L4" i="1"/>
  <c r="L5" i="1"/>
  <c r="L6" i="1"/>
  <c r="L7" i="1"/>
  <c r="L8" i="1"/>
  <c r="L9" i="1"/>
  <c r="L10" i="1"/>
  <c r="L11" i="1"/>
  <c r="L12" i="1"/>
  <c r="L13" i="1"/>
  <c r="L14" i="1"/>
  <c r="L16" i="1"/>
  <c r="L2" i="5"/>
  <c r="L3" i="5"/>
  <c r="M3" i="1"/>
  <c r="M4" i="1"/>
  <c r="M5" i="1"/>
  <c r="M6" i="1"/>
  <c r="M7" i="1"/>
  <c r="M8" i="1"/>
  <c r="M9" i="1"/>
  <c r="M10" i="1"/>
  <c r="M11" i="1"/>
  <c r="M12" i="1"/>
  <c r="M13" i="1"/>
  <c r="M14" i="1"/>
  <c r="M16" i="1"/>
  <c r="M2" i="5"/>
  <c r="M3" i="5"/>
  <c r="N3" i="1"/>
  <c r="N4" i="1"/>
  <c r="N5" i="1"/>
  <c r="N6" i="1"/>
  <c r="N7" i="1"/>
  <c r="N8" i="1"/>
  <c r="N9" i="1"/>
  <c r="N10" i="1"/>
  <c r="N11" i="1"/>
  <c r="N12" i="1"/>
  <c r="N13" i="1"/>
  <c r="N14" i="1"/>
  <c r="N16" i="1"/>
  <c r="N2" i="5"/>
  <c r="N3" i="5"/>
  <c r="O3" i="1"/>
  <c r="O4" i="1"/>
  <c r="O5" i="1"/>
  <c r="O6" i="1"/>
  <c r="O7" i="1"/>
  <c r="O8" i="1"/>
  <c r="O9" i="1"/>
  <c r="O10" i="1"/>
  <c r="O11" i="1"/>
  <c r="O12" i="1"/>
  <c r="O13" i="1"/>
  <c r="O14" i="1"/>
  <c r="O16" i="1"/>
  <c r="O2" i="5"/>
  <c r="O3" i="5"/>
  <c r="P3" i="1"/>
  <c r="P4" i="1"/>
  <c r="P5" i="1"/>
  <c r="P6" i="1"/>
  <c r="P7" i="1"/>
  <c r="P8" i="1"/>
  <c r="P9" i="1"/>
  <c r="P10" i="1"/>
  <c r="P11" i="1"/>
  <c r="P12" i="1"/>
  <c r="P13" i="1"/>
  <c r="P14" i="1"/>
  <c r="P16" i="1"/>
  <c r="P2" i="5"/>
  <c r="P3" i="5"/>
  <c r="Q3" i="1"/>
  <c r="Q4" i="1"/>
  <c r="Q5" i="1"/>
  <c r="Q6" i="1"/>
  <c r="Q7" i="1"/>
  <c r="Q8" i="1"/>
  <c r="Q9" i="1"/>
  <c r="Q10" i="1"/>
  <c r="Q11" i="1"/>
  <c r="Q12" i="1"/>
  <c r="Q13" i="1"/>
  <c r="Q14" i="1"/>
  <c r="Q16" i="1"/>
  <c r="Q2" i="5"/>
  <c r="Q3" i="5"/>
  <c r="R3" i="1"/>
  <c r="R4" i="1"/>
  <c r="R5" i="1"/>
  <c r="R6" i="1"/>
  <c r="R7" i="1"/>
  <c r="R8" i="1"/>
  <c r="R9" i="1"/>
  <c r="R10" i="1"/>
  <c r="R11" i="1"/>
  <c r="R12" i="1"/>
  <c r="R13" i="1"/>
  <c r="R14" i="1"/>
  <c r="R16" i="1"/>
  <c r="R2" i="5"/>
  <c r="R3" i="5"/>
  <c r="B4" i="5"/>
  <c r="C8" i="2"/>
  <c r="D21" i="2"/>
  <c r="D9" i="5"/>
  <c r="D10" i="5"/>
  <c r="D11" i="5"/>
  <c r="D2" i="2"/>
  <c r="D8" i="2"/>
  <c r="E21" i="2"/>
  <c r="E9" i="5"/>
  <c r="E10" i="5"/>
  <c r="E11" i="5"/>
  <c r="E2" i="2"/>
  <c r="E8" i="2"/>
  <c r="F21" i="2"/>
  <c r="F9" i="5"/>
  <c r="F10" i="5"/>
  <c r="F11" i="5"/>
  <c r="F3" i="2"/>
  <c r="F5" i="2"/>
  <c r="G7" i="2"/>
  <c r="G21" i="2"/>
  <c r="G9" i="5"/>
  <c r="G10" i="5"/>
  <c r="G11" i="5"/>
  <c r="G6" i="2"/>
  <c r="G5" i="2"/>
  <c r="H7" i="2"/>
  <c r="H21" i="2"/>
  <c r="H9" i="5"/>
  <c r="H10" i="5"/>
  <c r="H11" i="5"/>
  <c r="H6" i="2"/>
  <c r="H5" i="2"/>
  <c r="I7" i="2"/>
  <c r="I21" i="2"/>
  <c r="I9" i="5"/>
  <c r="I10" i="5"/>
  <c r="I11" i="5"/>
  <c r="I6" i="2"/>
  <c r="I5" i="2"/>
  <c r="J7" i="2"/>
  <c r="J21" i="2"/>
  <c r="J9" i="5"/>
  <c r="J10" i="5"/>
  <c r="J11" i="5"/>
  <c r="J6" i="2"/>
  <c r="J5" i="2"/>
  <c r="K7" i="2"/>
  <c r="K21" i="2"/>
  <c r="K9" i="5"/>
  <c r="K10" i="5"/>
  <c r="K11" i="5"/>
  <c r="K6" i="2"/>
  <c r="K5" i="2"/>
  <c r="L7" i="2"/>
  <c r="L21" i="2"/>
  <c r="L9" i="5"/>
  <c r="L10" i="5"/>
  <c r="L11" i="5"/>
  <c r="L6" i="2"/>
  <c r="L5" i="2"/>
  <c r="M7" i="2"/>
  <c r="M21" i="2"/>
  <c r="M9" i="5"/>
  <c r="M10" i="5"/>
  <c r="M11" i="5"/>
  <c r="M6" i="2"/>
  <c r="M5" i="2"/>
  <c r="N7" i="2"/>
  <c r="N21" i="2"/>
  <c r="N9" i="5"/>
  <c r="N10" i="5"/>
  <c r="N11" i="5"/>
  <c r="N6" i="2"/>
  <c r="N5" i="2"/>
  <c r="O7" i="2"/>
  <c r="O21" i="2"/>
  <c r="O9" i="5"/>
  <c r="O10" i="5"/>
  <c r="O11" i="5"/>
  <c r="O6" i="2"/>
  <c r="O5" i="2"/>
  <c r="P7" i="2"/>
  <c r="P21" i="2"/>
  <c r="P9" i="5"/>
  <c r="P10" i="5"/>
  <c r="P11" i="5"/>
  <c r="P6" i="2"/>
  <c r="P5" i="2"/>
  <c r="Q7" i="2"/>
  <c r="Q21" i="2"/>
  <c r="Q9" i="5"/>
  <c r="Q10" i="5"/>
  <c r="Q11" i="5"/>
  <c r="Q6" i="2"/>
  <c r="Q5" i="2"/>
  <c r="R7" i="2"/>
  <c r="R21" i="2"/>
  <c r="R9" i="5"/>
  <c r="R10" i="5"/>
  <c r="R11" i="5"/>
  <c r="B12" i="5"/>
  <c r="B15" i="5"/>
  <c r="C9" i="5"/>
  <c r="B9" i="5"/>
  <c r="B5" i="5"/>
  <c r="B28" i="2"/>
  <c r="C28" i="2"/>
  <c r="D22" i="2"/>
  <c r="D26" i="2"/>
  <c r="D28" i="2"/>
  <c r="E22" i="2"/>
  <c r="E26" i="2"/>
  <c r="E28" i="2"/>
  <c r="F22" i="2"/>
  <c r="F26" i="2"/>
  <c r="F28" i="2"/>
  <c r="G22" i="2"/>
  <c r="G26" i="2"/>
  <c r="G28" i="2"/>
  <c r="H22" i="2"/>
  <c r="H26" i="2"/>
  <c r="H28" i="2"/>
  <c r="I22" i="2"/>
  <c r="I26" i="2"/>
  <c r="I27" i="2"/>
  <c r="I28" i="2"/>
  <c r="J22" i="2"/>
  <c r="J23" i="2"/>
  <c r="J24" i="2"/>
  <c r="J25" i="2"/>
  <c r="J26" i="2"/>
  <c r="J27" i="2"/>
  <c r="J28" i="2"/>
  <c r="K22" i="2"/>
  <c r="K24" i="2"/>
  <c r="K25" i="2"/>
  <c r="K26" i="2"/>
  <c r="K27" i="2"/>
  <c r="K28" i="2"/>
  <c r="L22" i="2"/>
  <c r="L24" i="2"/>
  <c r="L25" i="2"/>
  <c r="L26" i="2"/>
  <c r="L27" i="2"/>
  <c r="L28" i="2"/>
  <c r="M22" i="2"/>
  <c r="M24" i="2"/>
  <c r="M25" i="2"/>
  <c r="M26" i="2"/>
  <c r="M27" i="2"/>
  <c r="M28" i="2"/>
  <c r="N22" i="2"/>
  <c r="N24" i="2"/>
  <c r="N25" i="2"/>
  <c r="N26" i="2"/>
  <c r="N27" i="2"/>
  <c r="N28" i="2"/>
  <c r="O22" i="2"/>
  <c r="O24" i="2"/>
  <c r="O25" i="2"/>
  <c r="O26" i="2"/>
  <c r="O27" i="2"/>
  <c r="O28" i="2"/>
  <c r="P22" i="2"/>
  <c r="P24" i="2"/>
  <c r="P25" i="2"/>
  <c r="P26" i="2"/>
  <c r="P27" i="2"/>
  <c r="P28" i="2"/>
  <c r="Q22" i="2"/>
  <c r="Q24" i="2"/>
  <c r="Q25" i="2"/>
  <c r="Q26" i="2"/>
  <c r="Q27" i="2"/>
  <c r="Q28" i="2"/>
  <c r="R22" i="2"/>
  <c r="R24" i="2"/>
  <c r="R25" i="2"/>
  <c r="R26" i="2"/>
  <c r="R27" i="2"/>
  <c r="R28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I23" i="2"/>
  <c r="H23" i="2"/>
  <c r="C22" i="2"/>
  <c r="C24" i="2"/>
  <c r="D24" i="2"/>
  <c r="E23" i="2"/>
  <c r="E24" i="2"/>
  <c r="F23" i="2"/>
  <c r="F24" i="2"/>
  <c r="G23" i="2"/>
  <c r="G24" i="2"/>
  <c r="H24" i="2"/>
  <c r="I24" i="2"/>
  <c r="B22" i="2"/>
  <c r="B24" i="2"/>
  <c r="C12" i="2"/>
  <c r="C16" i="2"/>
  <c r="D12" i="2"/>
  <c r="D16" i="2"/>
  <c r="E12" i="2"/>
  <c r="E16" i="2"/>
  <c r="F8" i="2"/>
  <c r="F12" i="2"/>
  <c r="F16" i="2"/>
  <c r="G8" i="2"/>
  <c r="G12" i="2"/>
  <c r="G16" i="2"/>
  <c r="H8" i="2"/>
  <c r="H12" i="2"/>
  <c r="H16" i="2"/>
  <c r="I8" i="2"/>
  <c r="I12" i="2"/>
  <c r="I16" i="2"/>
  <c r="J8" i="2"/>
  <c r="J12" i="2"/>
  <c r="J16" i="2"/>
  <c r="K8" i="2"/>
  <c r="K12" i="2"/>
  <c r="K16" i="2"/>
  <c r="L8" i="2"/>
  <c r="L12" i="2"/>
  <c r="L16" i="2"/>
  <c r="M8" i="2"/>
  <c r="M12" i="2"/>
  <c r="M16" i="2"/>
  <c r="N8" i="2"/>
  <c r="N12" i="2"/>
  <c r="N16" i="2"/>
  <c r="O8" i="2"/>
  <c r="O12" i="2"/>
  <c r="O16" i="2"/>
  <c r="P8" i="2"/>
  <c r="P12" i="2"/>
  <c r="P16" i="2"/>
  <c r="Q8" i="2"/>
  <c r="Q12" i="2"/>
  <c r="Q16" i="2"/>
  <c r="R6" i="2"/>
  <c r="R5" i="2"/>
  <c r="R8" i="2"/>
  <c r="R12" i="2"/>
  <c r="R16" i="2"/>
  <c r="B12" i="2"/>
  <c r="B16" i="2"/>
  <c r="C14" i="2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B14" i="2"/>
</calcChain>
</file>

<file path=xl/sharedStrings.xml><?xml version="1.0" encoding="utf-8"?>
<sst xmlns="http://schemas.openxmlformats.org/spreadsheetml/2006/main" count="54" uniqueCount="47">
  <si>
    <t>Years</t>
  </si>
  <si>
    <t>Quantities sold (MWH)</t>
  </si>
  <si>
    <t xml:space="preserve"> x Price</t>
  </si>
  <si>
    <t xml:space="preserve"> = Sales</t>
  </si>
  <si>
    <t xml:space="preserve"> = EBITDA</t>
  </si>
  <si>
    <t xml:space="preserve"> - Depreciation</t>
  </si>
  <si>
    <t xml:space="preserve"> = EBIT</t>
  </si>
  <si>
    <t xml:space="preserve"> - Taxes</t>
  </si>
  <si>
    <t xml:space="preserve"> = NOPAT</t>
  </si>
  <si>
    <t xml:space="preserve"> + Depreciation</t>
  </si>
  <si>
    <t>Working Capital</t>
  </si>
  <si>
    <t xml:space="preserve"> - Change in WC</t>
  </si>
  <si>
    <t xml:space="preserve"> = Operating CF</t>
  </si>
  <si>
    <t>Emission rights</t>
  </si>
  <si>
    <t xml:space="preserve"> - Investment expenditures</t>
  </si>
  <si>
    <t xml:space="preserve"> = CF Available for Debt Service</t>
  </si>
  <si>
    <t>Debt Tranche 1</t>
  </si>
  <si>
    <t>Debt Tranche 2</t>
  </si>
  <si>
    <t>Total Debt</t>
  </si>
  <si>
    <t>Initial Equity</t>
  </si>
  <si>
    <t>Total Equity</t>
  </si>
  <si>
    <t>Capital Invested</t>
  </si>
  <si>
    <t>Interest Payment</t>
  </si>
  <si>
    <t>Principal Repayment</t>
  </si>
  <si>
    <t>Gearing</t>
  </si>
  <si>
    <t>EBIT</t>
  </si>
  <si>
    <t>Interest Expenses</t>
  </si>
  <si>
    <t>Income Before Tax</t>
  </si>
  <si>
    <t>Taxable Income</t>
  </si>
  <si>
    <t>Losses Carried Forward (3 years max)</t>
  </si>
  <si>
    <t>Tax</t>
  </si>
  <si>
    <t>Net Income</t>
  </si>
  <si>
    <t>Dividends</t>
  </si>
  <si>
    <t>Retained Earnings Each Year</t>
  </si>
  <si>
    <t>Cumulative Retained Earnings</t>
  </si>
  <si>
    <t>CF Available for Debt Service</t>
  </si>
  <si>
    <t>NPV Base Case</t>
  </si>
  <si>
    <t>IRR</t>
  </si>
  <si>
    <t>PV of CFADS</t>
  </si>
  <si>
    <t>Ra</t>
  </si>
  <si>
    <t>Ba</t>
  </si>
  <si>
    <t>Tax Shield</t>
  </si>
  <si>
    <t>PV of Tax Shield</t>
  </si>
  <si>
    <t>Rd Tranche 1</t>
  </si>
  <si>
    <t>Rd Tranche 2</t>
  </si>
  <si>
    <t>Sum of PV TS</t>
  </si>
  <si>
    <t>APV [NPV Base Case + Sum of PV TS]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</si>
</sst>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2" borderId="1" xfId="0" applyFont="1" applyFill="1" applyBorder="1"/>
    <xf numFmtId="0" fontId="1" fillId="2" borderId="1" xfId="0" quotePrefix="1" applyFont="1" applyFill="1" applyBorder="1"/>
    <xf numFmtId="0" fontId="2" fillId="2" borderId="1" xfId="0" quotePrefix="1" applyFont="1" applyFill="1" applyBorder="1"/>
    <xf numFmtId="0" fontId="5" fillId="0" borderId="0" xfId="0" applyFont="1"/>
    <xf numFmtId="0" fontId="6" fillId="0" borderId="0" xfId="0" applyFont="1"/>
    <xf numFmtId="10" fontId="6" fillId="0" borderId="0" xfId="0" applyNumberFormat="1" applyFont="1"/>
    <xf numFmtId="3" fontId="1" fillId="2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/>
    <xf numFmtId="3" fontId="2" fillId="2" borderId="1" xfId="0" applyNumberFormat="1" applyFont="1" applyFill="1" applyBorder="1"/>
    <xf numFmtId="3" fontId="0" fillId="0" borderId="0" xfId="0" applyNumberFormat="1"/>
    <xf numFmtId="3" fontId="6" fillId="0" borderId="0" xfId="0" applyNumberFormat="1" applyFont="1"/>
    <xf numFmtId="4" fontId="6" fillId="0" borderId="0" xfId="0" applyNumberFormat="1" applyFont="1"/>
    <xf numFmtId="4" fontId="1" fillId="2" borderId="1" xfId="0" applyNumberFormat="1" applyFont="1" applyFill="1" applyBorder="1"/>
    <xf numFmtId="0" fontId="7" fillId="0" borderId="0" xfId="0" applyFont="1"/>
    <xf numFmtId="3" fontId="7" fillId="0" borderId="0" xfId="0" applyNumberFormat="1" applyFont="1"/>
    <xf numFmtId="2" fontId="2" fillId="2" borderId="1" xfId="0" applyNumberFormat="1" applyFont="1" applyFill="1" applyBorder="1"/>
    <xf numFmtId="2" fontId="1" fillId="2" borderId="1" xfId="0" applyNumberFormat="1" applyFont="1" applyFill="1" applyBorder="1"/>
    <xf numFmtId="2" fontId="0" fillId="0" borderId="0" xfId="0" applyNumberFormat="1"/>
  </cellXfs>
  <cellStyles count="21">
    <cellStyle name="Benyttet hyperkobling" xfId="2" builtinId="9" hidden="1"/>
    <cellStyle name="Benyttet hyperkobling" xfId="4" builtinId="9" hidden="1"/>
    <cellStyle name="Benyttet hyperkobling" xfId="6" builtinId="9" hidden="1"/>
    <cellStyle name="Benyttet hyperkobling" xfId="8" builtinId="9" hidden="1"/>
    <cellStyle name="Benyttet hyperkobling" xfId="10" builtinId="9" hidden="1"/>
    <cellStyle name="Benyttet hyperkobling" xfId="12" builtinId="9" hidden="1"/>
    <cellStyle name="Benyttet hyperkobling" xfId="14" builtinId="9" hidden="1"/>
    <cellStyle name="Benyttet hyperkobling" xfId="16" builtinId="9" hidden="1"/>
    <cellStyle name="Benyttet hyperkobling" xfId="18" builtinId="9" hidden="1"/>
    <cellStyle name="Benyttet hyperkobling" xfId="20" builtinId="9" hidden="1"/>
    <cellStyle name="Hyperkobling" xfId="1" builtinId="8" hidden="1"/>
    <cellStyle name="Hyperkobling" xfId="3" builtinId="8" hidden="1"/>
    <cellStyle name="Hyperkobling" xfId="5" builtinId="8" hidden="1"/>
    <cellStyle name="Hyperkobling" xfId="7" builtinId="8" hidden="1"/>
    <cellStyle name="Hyperkobling" xfId="9" builtinId="8" hidden="1"/>
    <cellStyle name="Hyperkobling" xfId="11" builtinId="8" hidden="1"/>
    <cellStyle name="Hyperkobling" xfId="13" builtinId="8" hidden="1"/>
    <cellStyle name="Hyperkobling" xfId="15" builtinId="8" hidden="1"/>
    <cellStyle name="Hyperkobling" xfId="17" builtinId="8" hidden="1"/>
    <cellStyle name="Hyperkobling" xfId="1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v>Equity</c:v>
          </c:tx>
          <c:invertIfNegative val="0"/>
          <c:val>
            <c:numRef>
              <c:f>'Capital Structure'!$B$12:$R$12</c:f>
              <c:numCache>
                <c:formatCode>#,##0</c:formatCode>
                <c:ptCount val="17"/>
                <c:pt idx="0">
                  <c:v>6000000</c:v>
                </c:pt>
                <c:pt idx="1">
                  <c:v>6000000</c:v>
                </c:pt>
                <c:pt idx="2">
                  <c:v>5431466.666666667</c:v>
                </c:pt>
                <c:pt idx="3">
                  <c:v>4755405.333333333</c:v>
                </c:pt>
                <c:pt idx="4">
                  <c:v>3958303.0799999982</c:v>
                </c:pt>
                <c:pt idx="5">
                  <c:v>3956954.292866664</c:v>
                </c:pt>
                <c:pt idx="6">
                  <c:v>4067202.4405929958</c:v>
                </c:pt>
                <c:pt idx="7">
                  <c:v>4256482.4078839896</c:v>
                </c:pt>
                <c:pt idx="8">
                  <c:v>4441346.5145219257</c:v>
                </c:pt>
                <c:pt idx="9">
                  <c:v>4701969.5860730736</c:v>
                </c:pt>
                <c:pt idx="10">
                  <c:v>5022495.9394930135</c:v>
                </c:pt>
                <c:pt idx="11">
                  <c:v>5403110.0194642525</c:v>
                </c:pt>
                <c:pt idx="12">
                  <c:v>5691995.5745450361</c:v>
                </c:pt>
                <c:pt idx="13">
                  <c:v>6015729.7692020312</c:v>
                </c:pt>
                <c:pt idx="14">
                  <c:v>6374485.9455288807</c:v>
                </c:pt>
                <c:pt idx="15">
                  <c:v>6768440.0457506338</c:v>
                </c:pt>
                <c:pt idx="16">
                  <c:v>7197770.6512257122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0-604C-8A9B-B6CAF24BC0DD}"/>
            </c:ext>
          </c:extLst>
        </c:ser>
        <c:ser>
          <c:idx val="1"/>
          <c:order val="1"/>
          <c:tx>
            <c:v>Debt Tranche 1</c:v>
          </c:tx>
          <c:invertIfNegative val="0"/>
          <c:val>
            <c:numRef>
              <c:f>'Capital Structure'!$B$2:$R$2</c:f>
              <c:numCache>
                <c:formatCode>#,##0</c:formatCode>
                <c:ptCount val="17"/>
                <c:pt idx="0">
                  <c:v>0</c:v>
                </c:pt>
                <c:pt idx="1">
                  <c:v>14000000</c:v>
                </c:pt>
                <c:pt idx="2">
                  <c:v>15400000.000000002</c:v>
                </c:pt>
                <c:pt idx="3">
                  <c:v>16940000.000000004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40-604C-8A9B-B6CAF24BC0DD}"/>
            </c:ext>
          </c:extLst>
        </c:ser>
        <c:ser>
          <c:idx val="2"/>
          <c:order val="2"/>
          <c:tx>
            <c:v>Debt Tranche 2</c:v>
          </c:tx>
          <c:invertIfNegative val="0"/>
          <c:val>
            <c:numRef>
              <c:f>'Capital Structure'!$B$5:$R$5</c:f>
              <c:numCache>
                <c:formatCode>#,##0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18634000</c:v>
                </c:pt>
                <c:pt idx="5">
                  <c:v>17081166.666666668</c:v>
                </c:pt>
                <c:pt idx="6">
                  <c:v>15528333.333333334</c:v>
                </c:pt>
                <c:pt idx="7">
                  <c:v>13975500</c:v>
                </c:pt>
                <c:pt idx="8">
                  <c:v>12422666.666666666</c:v>
                </c:pt>
                <c:pt idx="9">
                  <c:v>10869833.333333332</c:v>
                </c:pt>
                <c:pt idx="10">
                  <c:v>9316999.9999999981</c:v>
                </c:pt>
                <c:pt idx="11">
                  <c:v>7764166.6666666651</c:v>
                </c:pt>
                <c:pt idx="12">
                  <c:v>6211333.3333333321</c:v>
                </c:pt>
                <c:pt idx="13">
                  <c:v>4658499.9999999991</c:v>
                </c:pt>
                <c:pt idx="14">
                  <c:v>3105666.666666666</c:v>
                </c:pt>
                <c:pt idx="15">
                  <c:v>1552833.3333333328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40-604C-8A9B-B6CAF24BC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034840"/>
        <c:axId val="213032880"/>
      </c:barChart>
      <c:catAx>
        <c:axId val="213034840"/>
        <c:scaling>
          <c:orientation val="minMax"/>
        </c:scaling>
        <c:delete val="0"/>
        <c:axPos val="b"/>
        <c:majorTickMark val="out"/>
        <c:minorTickMark val="none"/>
        <c:tickLblPos val="nextTo"/>
        <c:crossAx val="213032880"/>
        <c:crosses val="autoZero"/>
        <c:auto val="1"/>
        <c:lblAlgn val="ctr"/>
        <c:lblOffset val="100"/>
        <c:noMultiLvlLbl val="0"/>
      </c:catAx>
      <c:valAx>
        <c:axId val="21303288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213034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4</xdr:row>
      <xdr:rowOff>6350</xdr:rowOff>
    </xdr:from>
    <xdr:to>
      <xdr:col>6</xdr:col>
      <xdr:colOff>457200</xdr:colOff>
      <xdr:row>18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A17" sqref="A17"/>
    </sheetView>
  </sheetViews>
  <sheetFormatPr baseColWidth="10" defaultColWidth="11" defaultRowHeight="15.75" x14ac:dyDescent="0.25"/>
  <cols>
    <col min="1" max="1" width="24.375" bestFit="1" customWidth="1"/>
    <col min="2" max="18" width="11" style="12"/>
  </cols>
  <sheetData>
    <row r="1" spans="1:18" x14ac:dyDescent="0.25">
      <c r="A1" s="1" t="s">
        <v>0</v>
      </c>
      <c r="B1" s="9">
        <v>0</v>
      </c>
      <c r="C1" s="9">
        <v>1</v>
      </c>
      <c r="D1" s="9">
        <v>2</v>
      </c>
      <c r="E1" s="9">
        <v>3</v>
      </c>
      <c r="F1" s="9">
        <v>4</v>
      </c>
      <c r="G1" s="9">
        <v>5</v>
      </c>
      <c r="H1" s="9">
        <v>6</v>
      </c>
      <c r="I1" s="9">
        <v>7</v>
      </c>
      <c r="J1" s="9">
        <v>8</v>
      </c>
      <c r="K1" s="9">
        <v>9</v>
      </c>
      <c r="L1" s="9">
        <v>10</v>
      </c>
      <c r="M1" s="9">
        <v>11</v>
      </c>
      <c r="N1" s="9">
        <v>12</v>
      </c>
      <c r="O1" s="9">
        <v>13</v>
      </c>
      <c r="P1" s="9">
        <v>14</v>
      </c>
      <c r="Q1" s="9">
        <v>15</v>
      </c>
      <c r="R1" s="9">
        <v>16</v>
      </c>
    </row>
    <row r="2" spans="1:18" x14ac:dyDescent="0.25">
      <c r="A2" s="3" t="s">
        <v>1</v>
      </c>
      <c r="B2" s="10"/>
      <c r="C2" s="11"/>
      <c r="D2" s="11">
        <v>88000</v>
      </c>
      <c r="E2" s="11">
        <v>88000</v>
      </c>
      <c r="F2" s="11">
        <v>88000</v>
      </c>
      <c r="G2" s="11">
        <v>88000</v>
      </c>
      <c r="H2" s="11">
        <v>88000</v>
      </c>
      <c r="I2" s="11">
        <v>88000</v>
      </c>
      <c r="J2" s="11">
        <v>88000</v>
      </c>
      <c r="K2" s="11">
        <v>88000</v>
      </c>
      <c r="L2" s="11">
        <v>88000</v>
      </c>
      <c r="M2" s="11">
        <v>88000</v>
      </c>
      <c r="N2" s="11">
        <v>88000</v>
      </c>
      <c r="O2" s="11">
        <v>88000</v>
      </c>
      <c r="P2" s="11">
        <v>88000</v>
      </c>
      <c r="Q2" s="11">
        <v>88000</v>
      </c>
      <c r="R2" s="11">
        <v>88000</v>
      </c>
    </row>
    <row r="3" spans="1:18" s="20" customFormat="1" x14ac:dyDescent="0.25">
      <c r="A3" s="18" t="s">
        <v>2</v>
      </c>
      <c r="B3" s="19"/>
      <c r="C3" s="18"/>
      <c r="D3" s="18">
        <v>30</v>
      </c>
      <c r="E3" s="18">
        <f>D3*1.015</f>
        <v>30.449999999999996</v>
      </c>
      <c r="F3" s="18">
        <f>E3*1.015</f>
        <v>30.906749999999992</v>
      </c>
      <c r="G3" s="18">
        <f t="shared" ref="G3:R3" si="0">F3*1.015</f>
        <v>31.370351249999988</v>
      </c>
      <c r="H3" s="18">
        <f t="shared" si="0"/>
        <v>31.840906518749986</v>
      </c>
      <c r="I3" s="18">
        <f t="shared" si="0"/>
        <v>32.318520116531232</v>
      </c>
      <c r="J3" s="18">
        <f t="shared" si="0"/>
        <v>32.803297918279199</v>
      </c>
      <c r="K3" s="18">
        <f t="shared" si="0"/>
        <v>33.295347387053383</v>
      </c>
      <c r="L3" s="18">
        <f t="shared" si="0"/>
        <v>33.794777597859181</v>
      </c>
      <c r="M3" s="18">
        <f t="shared" si="0"/>
        <v>34.301699261827068</v>
      </c>
      <c r="N3" s="18">
        <f t="shared" si="0"/>
        <v>34.816224750754472</v>
      </c>
      <c r="O3" s="18">
        <f t="shared" si="0"/>
        <v>35.338468122015783</v>
      </c>
      <c r="P3" s="18">
        <f t="shared" si="0"/>
        <v>35.868545143846013</v>
      </c>
      <c r="Q3" s="18">
        <f t="shared" si="0"/>
        <v>36.406573321003698</v>
      </c>
      <c r="R3" s="18">
        <f t="shared" si="0"/>
        <v>36.952671920818752</v>
      </c>
    </row>
    <row r="4" spans="1:18" x14ac:dyDescent="0.25">
      <c r="A4" s="4" t="s">
        <v>3</v>
      </c>
      <c r="B4" s="10"/>
      <c r="C4" s="11"/>
      <c r="D4" s="11">
        <f>D2*D3</f>
        <v>2640000</v>
      </c>
      <c r="E4" s="11">
        <f t="shared" ref="E4:R4" si="1">E2*E3</f>
        <v>2679599.9999999995</v>
      </c>
      <c r="F4" s="11">
        <f t="shared" si="1"/>
        <v>2719793.9999999991</v>
      </c>
      <c r="G4" s="11">
        <f t="shared" si="1"/>
        <v>2760590.9099999988</v>
      </c>
      <c r="H4" s="11">
        <f t="shared" si="1"/>
        <v>2801999.7736499989</v>
      </c>
      <c r="I4" s="11">
        <f t="shared" si="1"/>
        <v>2844029.7702547484</v>
      </c>
      <c r="J4" s="11">
        <f t="shared" si="1"/>
        <v>2886690.2168085696</v>
      </c>
      <c r="K4" s="11">
        <f t="shared" si="1"/>
        <v>2929990.5700606978</v>
      </c>
      <c r="L4" s="11">
        <f t="shared" si="1"/>
        <v>2973940.4286116078</v>
      </c>
      <c r="M4" s="11">
        <f t="shared" si="1"/>
        <v>3018549.5350407818</v>
      </c>
      <c r="N4" s="11">
        <f t="shared" si="1"/>
        <v>3063827.7780663935</v>
      </c>
      <c r="O4" s="11">
        <f t="shared" si="1"/>
        <v>3109785.1947373888</v>
      </c>
      <c r="P4" s="11">
        <f t="shared" si="1"/>
        <v>3156431.9726584493</v>
      </c>
      <c r="Q4" s="11">
        <f t="shared" si="1"/>
        <v>3203778.4522483256</v>
      </c>
      <c r="R4" s="11">
        <f t="shared" si="1"/>
        <v>3251835.1290320503</v>
      </c>
    </row>
    <row r="5" spans="1:18" x14ac:dyDescent="0.25">
      <c r="A5" s="4" t="s">
        <v>4</v>
      </c>
      <c r="B5" s="10"/>
      <c r="C5" s="11"/>
      <c r="D5" s="11">
        <f>D4*0.82</f>
        <v>2164800</v>
      </c>
      <c r="E5" s="11">
        <f t="shared" ref="E5:R5" si="2">E4*0.82</f>
        <v>2197271.9999999995</v>
      </c>
      <c r="F5" s="11">
        <f t="shared" si="2"/>
        <v>2230231.0799999991</v>
      </c>
      <c r="G5" s="11">
        <f t="shared" si="2"/>
        <v>2263684.5461999988</v>
      </c>
      <c r="H5" s="11">
        <f t="shared" si="2"/>
        <v>2297639.8143929988</v>
      </c>
      <c r="I5" s="11">
        <f t="shared" si="2"/>
        <v>2332104.4116088934</v>
      </c>
      <c r="J5" s="11">
        <f t="shared" si="2"/>
        <v>2367085.9777830271</v>
      </c>
      <c r="K5" s="11">
        <f t="shared" si="2"/>
        <v>2402592.267449772</v>
      </c>
      <c r="L5" s="11">
        <f t="shared" si="2"/>
        <v>2438631.1514615184</v>
      </c>
      <c r="M5" s="11">
        <f t="shared" si="2"/>
        <v>2475210.618733441</v>
      </c>
      <c r="N5" s="11">
        <f t="shared" si="2"/>
        <v>2512338.7780144424</v>
      </c>
      <c r="O5" s="11">
        <f t="shared" si="2"/>
        <v>2550023.8596846587</v>
      </c>
      <c r="P5" s="11">
        <f t="shared" si="2"/>
        <v>2588274.2175799282</v>
      </c>
      <c r="Q5" s="11">
        <f t="shared" si="2"/>
        <v>2627098.330843627</v>
      </c>
      <c r="R5" s="11">
        <f t="shared" si="2"/>
        <v>2666504.805806281</v>
      </c>
    </row>
    <row r="6" spans="1:18" x14ac:dyDescent="0.25">
      <c r="A6" s="5" t="s">
        <v>5</v>
      </c>
      <c r="B6" s="10"/>
      <c r="C6" s="11"/>
      <c r="D6" s="11">
        <f>20000000/15</f>
        <v>1333333.3333333333</v>
      </c>
      <c r="E6" s="11">
        <f t="shared" ref="E6:R6" si="3">20000000/15</f>
        <v>1333333.3333333333</v>
      </c>
      <c r="F6" s="11">
        <f t="shared" si="3"/>
        <v>1333333.3333333333</v>
      </c>
      <c r="G6" s="11">
        <f t="shared" si="3"/>
        <v>1333333.3333333333</v>
      </c>
      <c r="H6" s="11">
        <f t="shared" si="3"/>
        <v>1333333.3333333333</v>
      </c>
      <c r="I6" s="11">
        <f t="shared" si="3"/>
        <v>1333333.3333333333</v>
      </c>
      <c r="J6" s="11">
        <f t="shared" si="3"/>
        <v>1333333.3333333333</v>
      </c>
      <c r="K6" s="11">
        <f t="shared" si="3"/>
        <v>1333333.3333333333</v>
      </c>
      <c r="L6" s="11">
        <f t="shared" si="3"/>
        <v>1333333.3333333333</v>
      </c>
      <c r="M6" s="11">
        <f t="shared" si="3"/>
        <v>1333333.3333333333</v>
      </c>
      <c r="N6" s="11">
        <f t="shared" si="3"/>
        <v>1333333.3333333333</v>
      </c>
      <c r="O6" s="11">
        <f t="shared" si="3"/>
        <v>1333333.3333333333</v>
      </c>
      <c r="P6" s="11">
        <f t="shared" si="3"/>
        <v>1333333.3333333333</v>
      </c>
      <c r="Q6" s="11">
        <f t="shared" si="3"/>
        <v>1333333.3333333333</v>
      </c>
      <c r="R6" s="11">
        <f t="shared" si="3"/>
        <v>1333333.3333333333</v>
      </c>
    </row>
    <row r="7" spans="1:18" x14ac:dyDescent="0.25">
      <c r="A7" s="4" t="s">
        <v>6</v>
      </c>
      <c r="B7" s="10"/>
      <c r="C7" s="11"/>
      <c r="D7" s="11">
        <f>D5-D6</f>
        <v>831466.66666666674</v>
      </c>
      <c r="E7" s="11">
        <f t="shared" ref="E7:R7" si="4">E5-E6</f>
        <v>863938.66666666628</v>
      </c>
      <c r="F7" s="11">
        <f t="shared" si="4"/>
        <v>896897.74666666589</v>
      </c>
      <c r="G7" s="11">
        <f t="shared" si="4"/>
        <v>930351.21286666556</v>
      </c>
      <c r="H7" s="11">
        <f t="shared" si="4"/>
        <v>964306.48105966556</v>
      </c>
      <c r="I7" s="11">
        <f t="shared" si="4"/>
        <v>998771.07827556017</v>
      </c>
      <c r="J7" s="11">
        <f t="shared" si="4"/>
        <v>1033752.6444496938</v>
      </c>
      <c r="K7" s="11">
        <f t="shared" si="4"/>
        <v>1069258.9341164387</v>
      </c>
      <c r="L7" s="11">
        <f t="shared" si="4"/>
        <v>1105297.8181281851</v>
      </c>
      <c r="M7" s="11">
        <f t="shared" si="4"/>
        <v>1141877.2854001077</v>
      </c>
      <c r="N7" s="11">
        <f t="shared" si="4"/>
        <v>1179005.4446811092</v>
      </c>
      <c r="O7" s="11">
        <f t="shared" si="4"/>
        <v>1216690.5263513254</v>
      </c>
      <c r="P7" s="11">
        <f t="shared" si="4"/>
        <v>1254940.884246595</v>
      </c>
      <c r="Q7" s="11">
        <f t="shared" si="4"/>
        <v>1293764.9975102937</v>
      </c>
      <c r="R7" s="11">
        <f t="shared" si="4"/>
        <v>1333171.4724729478</v>
      </c>
    </row>
    <row r="8" spans="1:18" x14ac:dyDescent="0.25">
      <c r="A8" s="5" t="s">
        <v>7</v>
      </c>
      <c r="B8" s="10"/>
      <c r="C8" s="11"/>
      <c r="D8" s="11">
        <f>D7*0.25</f>
        <v>207866.66666666669</v>
      </c>
      <c r="E8" s="11">
        <f t="shared" ref="E8:R8" si="5">E7*0.25</f>
        <v>215984.66666666657</v>
      </c>
      <c r="F8" s="11">
        <f t="shared" si="5"/>
        <v>224224.43666666647</v>
      </c>
      <c r="G8" s="11">
        <f t="shared" si="5"/>
        <v>232587.80321666639</v>
      </c>
      <c r="H8" s="11">
        <f t="shared" si="5"/>
        <v>241076.62026491639</v>
      </c>
      <c r="I8" s="11">
        <f t="shared" si="5"/>
        <v>249692.76956889004</v>
      </c>
      <c r="J8" s="11">
        <f t="shared" si="5"/>
        <v>258438.16111242346</v>
      </c>
      <c r="K8" s="11">
        <f t="shared" si="5"/>
        <v>267314.73352910968</v>
      </c>
      <c r="L8" s="11">
        <f t="shared" si="5"/>
        <v>276324.45453204628</v>
      </c>
      <c r="M8" s="11">
        <f t="shared" si="5"/>
        <v>285469.32135002693</v>
      </c>
      <c r="N8" s="11">
        <f t="shared" si="5"/>
        <v>294751.36117027729</v>
      </c>
      <c r="O8" s="11">
        <f t="shared" si="5"/>
        <v>304172.63158783136</v>
      </c>
      <c r="P8" s="11">
        <f t="shared" si="5"/>
        <v>313735.22106164874</v>
      </c>
      <c r="Q8" s="11">
        <f t="shared" si="5"/>
        <v>323441.24937757343</v>
      </c>
      <c r="R8" s="11">
        <f t="shared" si="5"/>
        <v>333292.86811823695</v>
      </c>
    </row>
    <row r="9" spans="1:18" x14ac:dyDescent="0.25">
      <c r="A9" s="4" t="s">
        <v>8</v>
      </c>
      <c r="B9" s="10"/>
      <c r="C9" s="11"/>
      <c r="D9" s="11">
        <f>D7-D8</f>
        <v>623600</v>
      </c>
      <c r="E9" s="11">
        <f t="shared" ref="E9:R9" si="6">E7-E8</f>
        <v>647953.99999999977</v>
      </c>
      <c r="F9" s="11">
        <f t="shared" si="6"/>
        <v>672673.30999999936</v>
      </c>
      <c r="G9" s="11">
        <f t="shared" si="6"/>
        <v>697763.40964999911</v>
      </c>
      <c r="H9" s="11">
        <f t="shared" si="6"/>
        <v>723229.86079474911</v>
      </c>
      <c r="I9" s="11">
        <f t="shared" si="6"/>
        <v>749078.30870667007</v>
      </c>
      <c r="J9" s="11">
        <f t="shared" si="6"/>
        <v>775314.48333727033</v>
      </c>
      <c r="K9" s="11">
        <f t="shared" si="6"/>
        <v>801944.20058732899</v>
      </c>
      <c r="L9" s="11">
        <f t="shared" si="6"/>
        <v>828973.36359613878</v>
      </c>
      <c r="M9" s="11">
        <f t="shared" si="6"/>
        <v>856407.96405008086</v>
      </c>
      <c r="N9" s="11">
        <f t="shared" si="6"/>
        <v>884254.08351083193</v>
      </c>
      <c r="O9" s="11">
        <f t="shared" si="6"/>
        <v>912517.89476349414</v>
      </c>
      <c r="P9" s="11">
        <f t="shared" si="6"/>
        <v>941205.66318494617</v>
      </c>
      <c r="Q9" s="11">
        <f t="shared" si="6"/>
        <v>970323.74813272036</v>
      </c>
      <c r="R9" s="11">
        <f t="shared" si="6"/>
        <v>999878.60435471078</v>
      </c>
    </row>
    <row r="10" spans="1:18" x14ac:dyDescent="0.25">
      <c r="A10" s="5" t="s">
        <v>9</v>
      </c>
      <c r="B10" s="10"/>
      <c r="C10" s="11"/>
      <c r="D10" s="11">
        <f>D6</f>
        <v>1333333.3333333333</v>
      </c>
      <c r="E10" s="11">
        <f t="shared" ref="E10:Q10" si="7">E6</f>
        <v>1333333.3333333333</v>
      </c>
      <c r="F10" s="11">
        <f t="shared" si="7"/>
        <v>1333333.3333333333</v>
      </c>
      <c r="G10" s="11">
        <f t="shared" si="7"/>
        <v>1333333.3333333333</v>
      </c>
      <c r="H10" s="11">
        <f t="shared" si="7"/>
        <v>1333333.3333333333</v>
      </c>
      <c r="I10" s="11">
        <f t="shared" si="7"/>
        <v>1333333.3333333333</v>
      </c>
      <c r="J10" s="11">
        <f t="shared" si="7"/>
        <v>1333333.3333333333</v>
      </c>
      <c r="K10" s="11">
        <f t="shared" si="7"/>
        <v>1333333.3333333333</v>
      </c>
      <c r="L10" s="11">
        <f t="shared" si="7"/>
        <v>1333333.3333333333</v>
      </c>
      <c r="M10" s="11">
        <f t="shared" si="7"/>
        <v>1333333.3333333333</v>
      </c>
      <c r="N10" s="11">
        <f t="shared" si="7"/>
        <v>1333333.3333333333</v>
      </c>
      <c r="O10" s="11">
        <f t="shared" si="7"/>
        <v>1333333.3333333333</v>
      </c>
      <c r="P10" s="11">
        <f t="shared" si="7"/>
        <v>1333333.3333333333</v>
      </c>
      <c r="Q10" s="11">
        <f t="shared" si="7"/>
        <v>1333333.3333333333</v>
      </c>
      <c r="R10" s="11">
        <f>R6</f>
        <v>1333333.3333333333</v>
      </c>
    </row>
    <row r="11" spans="1:18" x14ac:dyDescent="0.25">
      <c r="A11" s="3" t="s">
        <v>10</v>
      </c>
      <c r="B11" s="11">
        <v>0</v>
      </c>
      <c r="C11" s="11">
        <v>0</v>
      </c>
      <c r="D11" s="11">
        <f>D4*20/365</f>
        <v>144657.53424657535</v>
      </c>
      <c r="E11" s="11">
        <f t="shared" ref="E11:R11" si="8">E4*20/365</f>
        <v>146827.39726027395</v>
      </c>
      <c r="F11" s="11">
        <f t="shared" si="8"/>
        <v>149029.80821917806</v>
      </c>
      <c r="G11" s="11">
        <f t="shared" si="8"/>
        <v>151265.25534246568</v>
      </c>
      <c r="H11" s="11">
        <f t="shared" si="8"/>
        <v>153534.23417260268</v>
      </c>
      <c r="I11" s="11">
        <f t="shared" si="8"/>
        <v>155837.24768519169</v>
      </c>
      <c r="J11" s="11">
        <f t="shared" si="8"/>
        <v>158174.80640046956</v>
      </c>
      <c r="K11" s="11">
        <f t="shared" si="8"/>
        <v>160547.42849647661</v>
      </c>
      <c r="L11" s="11">
        <f t="shared" si="8"/>
        <v>162955.63992392371</v>
      </c>
      <c r="M11" s="11">
        <f t="shared" si="8"/>
        <v>165399.97452278255</v>
      </c>
      <c r="N11" s="11">
        <f t="shared" si="8"/>
        <v>167880.97414062428</v>
      </c>
      <c r="O11" s="11">
        <f t="shared" si="8"/>
        <v>170399.18875273364</v>
      </c>
      <c r="P11" s="11">
        <f t="shared" si="8"/>
        <v>172955.17658402462</v>
      </c>
      <c r="Q11" s="11">
        <f t="shared" si="8"/>
        <v>175549.50423278497</v>
      </c>
      <c r="R11" s="11">
        <f t="shared" si="8"/>
        <v>178182.74679627671</v>
      </c>
    </row>
    <row r="12" spans="1:18" x14ac:dyDescent="0.25">
      <c r="A12" s="5" t="s">
        <v>11</v>
      </c>
      <c r="B12" s="10"/>
      <c r="C12" s="11">
        <v>0</v>
      </c>
      <c r="D12" s="11">
        <f>D11-C11</f>
        <v>144657.53424657535</v>
      </c>
      <c r="E12" s="11">
        <f t="shared" ref="E12:R12" si="9">E11-D11</f>
        <v>2169.863013698603</v>
      </c>
      <c r="F12" s="11">
        <f t="shared" si="9"/>
        <v>2202.4109589041036</v>
      </c>
      <c r="G12" s="11">
        <f t="shared" si="9"/>
        <v>2235.447123287624</v>
      </c>
      <c r="H12" s="11">
        <f t="shared" si="9"/>
        <v>2268.978830136999</v>
      </c>
      <c r="I12" s="11">
        <f t="shared" si="9"/>
        <v>2303.0135125890083</v>
      </c>
      <c r="J12" s="11">
        <f t="shared" si="9"/>
        <v>2337.5587152778753</v>
      </c>
      <c r="K12" s="11">
        <f t="shared" si="9"/>
        <v>2372.6220960070495</v>
      </c>
      <c r="L12" s="11">
        <f t="shared" si="9"/>
        <v>2408.211427447095</v>
      </c>
      <c r="M12" s="11">
        <f t="shared" si="9"/>
        <v>2444.3345988588408</v>
      </c>
      <c r="N12" s="11">
        <f t="shared" si="9"/>
        <v>2480.999617841735</v>
      </c>
      <c r="O12" s="11">
        <f t="shared" si="9"/>
        <v>2518.2146121093538</v>
      </c>
      <c r="P12" s="11">
        <f t="shared" si="9"/>
        <v>2555.9878312909859</v>
      </c>
      <c r="Q12" s="11">
        <f t="shared" si="9"/>
        <v>2594.3276487603434</v>
      </c>
      <c r="R12" s="11">
        <f t="shared" si="9"/>
        <v>2633.2425634917454</v>
      </c>
    </row>
    <row r="13" spans="1:18" x14ac:dyDescent="0.25">
      <c r="A13" s="4" t="s">
        <v>12</v>
      </c>
      <c r="B13" s="10"/>
      <c r="C13" s="11"/>
      <c r="D13" s="11">
        <f>D9+D10-D12</f>
        <v>1812275.7990867579</v>
      </c>
      <c r="E13" s="11">
        <f t="shared" ref="E13:R13" si="10">E9+E10-E12</f>
        <v>1979117.4703196343</v>
      </c>
      <c r="F13" s="11">
        <f t="shared" si="10"/>
        <v>2003804.2323744285</v>
      </c>
      <c r="G13" s="11">
        <f t="shared" si="10"/>
        <v>2028861.2958600447</v>
      </c>
      <c r="H13" s="11">
        <f t="shared" si="10"/>
        <v>2054294.2152979453</v>
      </c>
      <c r="I13" s="11">
        <f t="shared" si="10"/>
        <v>2080108.6285274143</v>
      </c>
      <c r="J13" s="11">
        <f t="shared" si="10"/>
        <v>2106310.2579553258</v>
      </c>
      <c r="K13" s="11">
        <f t="shared" si="10"/>
        <v>2132904.9118246553</v>
      </c>
      <c r="L13" s="11">
        <f t="shared" si="10"/>
        <v>2159898.4855020251</v>
      </c>
      <c r="M13" s="11">
        <f t="shared" si="10"/>
        <v>2187296.9627845553</v>
      </c>
      <c r="N13" s="11">
        <f t="shared" si="10"/>
        <v>2215106.4172263234</v>
      </c>
      <c r="O13" s="11">
        <f t="shared" si="10"/>
        <v>2243333.0134847183</v>
      </c>
      <c r="P13" s="11">
        <f t="shared" si="10"/>
        <v>2271983.0086869886</v>
      </c>
      <c r="Q13" s="11">
        <f t="shared" si="10"/>
        <v>2301062.7538172933</v>
      </c>
      <c r="R13" s="11">
        <f t="shared" si="10"/>
        <v>2330578.6951245526</v>
      </c>
    </row>
    <row r="14" spans="1:18" x14ac:dyDescent="0.25">
      <c r="A14" s="2" t="s">
        <v>13</v>
      </c>
      <c r="B14" s="10"/>
      <c r="C14" s="11"/>
      <c r="D14" s="11">
        <f>D2*0.8*5</f>
        <v>352000</v>
      </c>
      <c r="E14" s="11">
        <f t="shared" ref="E14:R14" si="11">E2*0.8*5</f>
        <v>352000</v>
      </c>
      <c r="F14" s="11">
        <f t="shared" si="11"/>
        <v>352000</v>
      </c>
      <c r="G14" s="11">
        <f t="shared" si="11"/>
        <v>352000</v>
      </c>
      <c r="H14" s="11">
        <f t="shared" si="11"/>
        <v>352000</v>
      </c>
      <c r="I14" s="11">
        <f t="shared" si="11"/>
        <v>352000</v>
      </c>
      <c r="J14" s="11">
        <f t="shared" si="11"/>
        <v>352000</v>
      </c>
      <c r="K14" s="11">
        <f t="shared" si="11"/>
        <v>352000</v>
      </c>
      <c r="L14" s="11">
        <f t="shared" si="11"/>
        <v>352000</v>
      </c>
      <c r="M14" s="11">
        <f t="shared" si="11"/>
        <v>352000</v>
      </c>
      <c r="N14" s="11">
        <f t="shared" si="11"/>
        <v>352000</v>
      </c>
      <c r="O14" s="11">
        <f t="shared" si="11"/>
        <v>352000</v>
      </c>
      <c r="P14" s="11">
        <f t="shared" si="11"/>
        <v>352000</v>
      </c>
      <c r="Q14" s="11">
        <f t="shared" si="11"/>
        <v>352000</v>
      </c>
      <c r="R14" s="11">
        <f t="shared" si="11"/>
        <v>352000</v>
      </c>
    </row>
    <row r="15" spans="1:18" x14ac:dyDescent="0.25">
      <c r="A15" s="5" t="s">
        <v>14</v>
      </c>
      <c r="B15" s="11">
        <v>6000000</v>
      </c>
      <c r="C15" s="11">
        <v>14000000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</row>
    <row r="16" spans="1:18" x14ac:dyDescent="0.25">
      <c r="A16" s="4" t="s">
        <v>15</v>
      </c>
      <c r="B16" s="10">
        <f>B13+B14-B15</f>
        <v>-6000000</v>
      </c>
      <c r="C16" s="10">
        <f t="shared" ref="C16:R16" si="12">C13+C14-C15</f>
        <v>-14000000</v>
      </c>
      <c r="D16" s="10">
        <f t="shared" si="12"/>
        <v>2164275.7990867579</v>
      </c>
      <c r="E16" s="10">
        <f t="shared" si="12"/>
        <v>2331117.4703196343</v>
      </c>
      <c r="F16" s="10">
        <f t="shared" si="12"/>
        <v>2355804.2323744288</v>
      </c>
      <c r="G16" s="10">
        <f t="shared" si="12"/>
        <v>2380861.2958600447</v>
      </c>
      <c r="H16" s="10">
        <f t="shared" si="12"/>
        <v>2406294.2152979453</v>
      </c>
      <c r="I16" s="10">
        <f t="shared" si="12"/>
        <v>2432108.6285274141</v>
      </c>
      <c r="J16" s="10">
        <f t="shared" si="12"/>
        <v>2458310.2579553258</v>
      </c>
      <c r="K16" s="10">
        <f t="shared" si="12"/>
        <v>2484904.9118246553</v>
      </c>
      <c r="L16" s="10">
        <f t="shared" si="12"/>
        <v>2511898.4855020251</v>
      </c>
      <c r="M16" s="10">
        <f t="shared" si="12"/>
        <v>2539296.9627845553</v>
      </c>
      <c r="N16" s="10">
        <f t="shared" si="12"/>
        <v>2567106.4172263234</v>
      </c>
      <c r="O16" s="10">
        <f t="shared" si="12"/>
        <v>2595333.0134847183</v>
      </c>
      <c r="P16" s="10">
        <f t="shared" si="12"/>
        <v>2623983.0086869886</v>
      </c>
      <c r="Q16" s="10">
        <f t="shared" si="12"/>
        <v>2653062.7538172933</v>
      </c>
      <c r="R16" s="10">
        <f t="shared" si="12"/>
        <v>2682578.6951245526</v>
      </c>
    </row>
  </sheetData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8"/>
  <sheetViews>
    <sheetView topLeftCell="A6" workbookViewId="0">
      <selection activeCell="A29" sqref="A29"/>
    </sheetView>
  </sheetViews>
  <sheetFormatPr baseColWidth="10" defaultColWidth="11" defaultRowHeight="15.75" x14ac:dyDescent="0.25"/>
  <cols>
    <col min="1" max="1" width="27" bestFit="1" customWidth="1"/>
    <col min="2" max="18" width="11" style="12"/>
  </cols>
  <sheetData>
    <row r="1" spans="1:18" x14ac:dyDescent="0.25">
      <c r="A1" s="1" t="s">
        <v>0</v>
      </c>
      <c r="B1" s="9">
        <v>0</v>
      </c>
      <c r="C1" s="9">
        <v>1</v>
      </c>
      <c r="D1" s="9">
        <v>2</v>
      </c>
      <c r="E1" s="9">
        <v>3</v>
      </c>
      <c r="F1" s="9">
        <v>4</v>
      </c>
      <c r="G1" s="9">
        <v>5</v>
      </c>
      <c r="H1" s="9">
        <v>6</v>
      </c>
      <c r="I1" s="9">
        <v>7</v>
      </c>
      <c r="J1" s="9">
        <v>8</v>
      </c>
      <c r="K1" s="9">
        <v>9</v>
      </c>
      <c r="L1" s="9">
        <v>10</v>
      </c>
      <c r="M1" s="9">
        <v>11</v>
      </c>
      <c r="N1" s="9">
        <v>12</v>
      </c>
      <c r="O1" s="9">
        <v>13</v>
      </c>
      <c r="P1" s="9">
        <v>14</v>
      </c>
      <c r="Q1" s="9">
        <v>15</v>
      </c>
      <c r="R1" s="9">
        <v>16</v>
      </c>
    </row>
    <row r="2" spans="1:18" x14ac:dyDescent="0.25">
      <c r="A2" s="3" t="s">
        <v>16</v>
      </c>
      <c r="B2" s="11">
        <v>0</v>
      </c>
      <c r="C2" s="11">
        <v>14000000</v>
      </c>
      <c r="D2" s="11">
        <f>C2*1.1</f>
        <v>15400000.000000002</v>
      </c>
      <c r="E2" s="11">
        <f>D2*1.1</f>
        <v>16940000.000000004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>
        <v>0</v>
      </c>
      <c r="L2" s="11">
        <v>0</v>
      </c>
      <c r="M2" s="11">
        <v>0</v>
      </c>
      <c r="N2" s="11">
        <v>0</v>
      </c>
      <c r="O2" s="11">
        <v>0</v>
      </c>
      <c r="P2" s="11">
        <v>0</v>
      </c>
      <c r="Q2" s="11">
        <v>0</v>
      </c>
      <c r="R2" s="11">
        <v>0</v>
      </c>
    </row>
    <row r="3" spans="1:18" x14ac:dyDescent="0.25">
      <c r="A3" s="3" t="s">
        <v>22</v>
      </c>
      <c r="B3" s="11">
        <v>0</v>
      </c>
      <c r="C3" s="11">
        <v>0</v>
      </c>
      <c r="D3" s="11">
        <v>0</v>
      </c>
      <c r="E3" s="11">
        <v>0</v>
      </c>
      <c r="F3" s="11">
        <f>C2*0.1+D2*0.1+E2*0.1</f>
        <v>4634000</v>
      </c>
      <c r="G3" s="11">
        <v>0</v>
      </c>
      <c r="H3" s="11">
        <v>0</v>
      </c>
      <c r="I3" s="11">
        <v>0</v>
      </c>
      <c r="J3" s="11">
        <v>0</v>
      </c>
      <c r="K3" s="11">
        <v>0</v>
      </c>
      <c r="L3" s="11">
        <v>0</v>
      </c>
      <c r="M3" s="11">
        <v>0</v>
      </c>
      <c r="N3" s="11">
        <v>0</v>
      </c>
      <c r="O3" s="11">
        <v>0</v>
      </c>
      <c r="P3" s="11">
        <v>0</v>
      </c>
      <c r="Q3" s="11">
        <v>0</v>
      </c>
      <c r="R3" s="11">
        <v>0</v>
      </c>
    </row>
    <row r="4" spans="1:18" x14ac:dyDescent="0.25">
      <c r="A4" s="5" t="s">
        <v>23</v>
      </c>
      <c r="B4" s="11">
        <v>0</v>
      </c>
      <c r="C4" s="11">
        <v>0</v>
      </c>
      <c r="D4" s="11">
        <v>0</v>
      </c>
      <c r="E4" s="11">
        <v>0</v>
      </c>
      <c r="F4" s="11">
        <v>14000000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</row>
    <row r="5" spans="1:18" x14ac:dyDescent="0.25">
      <c r="A5" s="5" t="s">
        <v>17</v>
      </c>
      <c r="B5" s="11">
        <v>0</v>
      </c>
      <c r="C5" s="11">
        <v>0</v>
      </c>
      <c r="D5" s="11">
        <v>0</v>
      </c>
      <c r="E5" s="11">
        <v>0</v>
      </c>
      <c r="F5" s="11">
        <f>F3+F4</f>
        <v>18634000</v>
      </c>
      <c r="G5" s="11">
        <f>F5-G6</f>
        <v>17081166.666666668</v>
      </c>
      <c r="H5" s="11">
        <f t="shared" ref="H5:R5" si="0">G5-H6</f>
        <v>15528333.333333334</v>
      </c>
      <c r="I5" s="11">
        <f t="shared" si="0"/>
        <v>13975500</v>
      </c>
      <c r="J5" s="11">
        <f t="shared" si="0"/>
        <v>12422666.666666666</v>
      </c>
      <c r="K5" s="11">
        <f t="shared" si="0"/>
        <v>10869833.333333332</v>
      </c>
      <c r="L5" s="11">
        <f t="shared" si="0"/>
        <v>9316999.9999999981</v>
      </c>
      <c r="M5" s="11">
        <f t="shared" si="0"/>
        <v>7764166.6666666651</v>
      </c>
      <c r="N5" s="11">
        <f t="shared" si="0"/>
        <v>6211333.3333333321</v>
      </c>
      <c r="O5" s="11">
        <f t="shared" si="0"/>
        <v>4658499.9999999991</v>
      </c>
      <c r="P5" s="11">
        <f t="shared" si="0"/>
        <v>3105666.666666666</v>
      </c>
      <c r="Q5" s="11">
        <f t="shared" si="0"/>
        <v>1552833.3333333328</v>
      </c>
      <c r="R5" s="11">
        <f t="shared" si="0"/>
        <v>0</v>
      </c>
    </row>
    <row r="6" spans="1:18" x14ac:dyDescent="0.25">
      <c r="A6" s="5" t="s">
        <v>23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f>$F$5/12</f>
        <v>1552833.3333333333</v>
      </c>
      <c r="H6" s="11">
        <f t="shared" ref="H6:R6" si="1">$F$5/12</f>
        <v>1552833.3333333333</v>
      </c>
      <c r="I6" s="11">
        <f t="shared" si="1"/>
        <v>1552833.3333333333</v>
      </c>
      <c r="J6" s="11">
        <f t="shared" si="1"/>
        <v>1552833.3333333333</v>
      </c>
      <c r="K6" s="11">
        <f t="shared" si="1"/>
        <v>1552833.3333333333</v>
      </c>
      <c r="L6" s="11">
        <f t="shared" si="1"/>
        <v>1552833.3333333333</v>
      </c>
      <c r="M6" s="11">
        <f t="shared" si="1"/>
        <v>1552833.3333333333</v>
      </c>
      <c r="N6" s="11">
        <f t="shared" si="1"/>
        <v>1552833.3333333333</v>
      </c>
      <c r="O6" s="11">
        <f t="shared" si="1"/>
        <v>1552833.3333333333</v>
      </c>
      <c r="P6" s="11">
        <f t="shared" si="1"/>
        <v>1552833.3333333333</v>
      </c>
      <c r="Q6" s="11">
        <f t="shared" si="1"/>
        <v>1552833.3333333333</v>
      </c>
      <c r="R6" s="11">
        <f t="shared" si="1"/>
        <v>1552833.3333333333</v>
      </c>
    </row>
    <row r="7" spans="1:18" x14ac:dyDescent="0.25">
      <c r="A7" s="5" t="s">
        <v>22</v>
      </c>
      <c r="B7" s="11">
        <v>0</v>
      </c>
      <c r="C7" s="11">
        <v>0</v>
      </c>
      <c r="D7" s="11">
        <v>0</v>
      </c>
      <c r="E7" s="11">
        <v>0</v>
      </c>
      <c r="F7" s="11">
        <v>0</v>
      </c>
      <c r="G7" s="11">
        <f>F5*0.05</f>
        <v>931700</v>
      </c>
      <c r="H7" s="11">
        <f t="shared" ref="H7:R7" si="2">G5*0.05</f>
        <v>854058.33333333349</v>
      </c>
      <c r="I7" s="11">
        <f t="shared" si="2"/>
        <v>776416.66666666674</v>
      </c>
      <c r="J7" s="11">
        <f t="shared" si="2"/>
        <v>698775</v>
      </c>
      <c r="K7" s="11">
        <f t="shared" si="2"/>
        <v>621133.33333333337</v>
      </c>
      <c r="L7" s="11">
        <f t="shared" si="2"/>
        <v>543491.66666666663</v>
      </c>
      <c r="M7" s="11">
        <f t="shared" si="2"/>
        <v>465849.99999999994</v>
      </c>
      <c r="N7" s="11">
        <f t="shared" si="2"/>
        <v>388208.33333333326</v>
      </c>
      <c r="O7" s="11">
        <f t="shared" si="2"/>
        <v>310566.66666666663</v>
      </c>
      <c r="P7" s="11">
        <f t="shared" si="2"/>
        <v>232924.99999999997</v>
      </c>
      <c r="Q7" s="11">
        <f t="shared" si="2"/>
        <v>155283.33333333331</v>
      </c>
      <c r="R7" s="11">
        <f t="shared" si="2"/>
        <v>77641.666666666642</v>
      </c>
    </row>
    <row r="8" spans="1:18" x14ac:dyDescent="0.25">
      <c r="A8" s="4" t="s">
        <v>18</v>
      </c>
      <c r="B8" s="11">
        <v>0</v>
      </c>
      <c r="C8" s="11">
        <f>C2</f>
        <v>14000000</v>
      </c>
      <c r="D8" s="11">
        <f>D2</f>
        <v>15400000.000000002</v>
      </c>
      <c r="E8" s="11">
        <f>E2</f>
        <v>16940000.000000004</v>
      </c>
      <c r="F8" s="11">
        <f>F5</f>
        <v>18634000</v>
      </c>
      <c r="G8" s="11">
        <f>G5</f>
        <v>17081166.666666668</v>
      </c>
      <c r="H8" s="11">
        <f t="shared" ref="H8:R8" si="3">H5</f>
        <v>15528333.333333334</v>
      </c>
      <c r="I8" s="11">
        <f t="shared" si="3"/>
        <v>13975500</v>
      </c>
      <c r="J8" s="11">
        <f t="shared" si="3"/>
        <v>12422666.666666666</v>
      </c>
      <c r="K8" s="11">
        <f t="shared" si="3"/>
        <v>10869833.333333332</v>
      </c>
      <c r="L8" s="11">
        <f t="shared" si="3"/>
        <v>9316999.9999999981</v>
      </c>
      <c r="M8" s="11">
        <f t="shared" si="3"/>
        <v>7764166.6666666651</v>
      </c>
      <c r="N8" s="11">
        <f t="shared" si="3"/>
        <v>6211333.3333333321</v>
      </c>
      <c r="O8" s="11">
        <f t="shared" si="3"/>
        <v>4658499.9999999991</v>
      </c>
      <c r="P8" s="11">
        <f t="shared" si="3"/>
        <v>3105666.666666666</v>
      </c>
      <c r="Q8" s="11">
        <f t="shared" si="3"/>
        <v>1552833.3333333328</v>
      </c>
      <c r="R8" s="11">
        <f t="shared" si="3"/>
        <v>0</v>
      </c>
    </row>
    <row r="9" spans="1:18" x14ac:dyDescent="0.25">
      <c r="A9" s="5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</row>
    <row r="10" spans="1:18" x14ac:dyDescent="0.25">
      <c r="A10" s="5" t="s">
        <v>19</v>
      </c>
      <c r="B10" s="11">
        <v>6000000</v>
      </c>
      <c r="C10" s="11">
        <v>6000000</v>
      </c>
      <c r="D10" s="11">
        <v>6000000</v>
      </c>
      <c r="E10" s="11">
        <v>6000000</v>
      </c>
      <c r="F10" s="11">
        <v>6000000</v>
      </c>
      <c r="G10" s="11">
        <v>6000000</v>
      </c>
      <c r="H10" s="11">
        <v>6000000</v>
      </c>
      <c r="I10" s="11">
        <v>6000000</v>
      </c>
      <c r="J10" s="11">
        <v>6000000</v>
      </c>
      <c r="K10" s="11">
        <v>6000000</v>
      </c>
      <c r="L10" s="11">
        <v>6000000</v>
      </c>
      <c r="M10" s="11">
        <v>6000000</v>
      </c>
      <c r="N10" s="11">
        <v>6000000</v>
      </c>
      <c r="O10" s="11">
        <v>6000000</v>
      </c>
      <c r="P10" s="11">
        <v>6000000</v>
      </c>
      <c r="Q10" s="11">
        <v>6000000</v>
      </c>
      <c r="R10" s="11">
        <v>6000000</v>
      </c>
    </row>
    <row r="11" spans="1:18" x14ac:dyDescent="0.25">
      <c r="A11" s="3" t="s">
        <v>34</v>
      </c>
      <c r="B11" s="11">
        <f>SUM(B28)</f>
        <v>0</v>
      </c>
      <c r="C11" s="11">
        <f>SUM(B28:C28)</f>
        <v>0</v>
      </c>
      <c r="D11" s="11">
        <f>SUM(B28:D28)</f>
        <v>-568533.33333333326</v>
      </c>
      <c r="E11" s="11">
        <f>SUM(B28:E28)</f>
        <v>-1244594.6666666672</v>
      </c>
      <c r="F11" s="11">
        <f>SUM(B28:F28)</f>
        <v>-2041696.9200000018</v>
      </c>
      <c r="G11" s="11">
        <f>SUM(B28:G28)</f>
        <v>-2043045.7071333362</v>
      </c>
      <c r="H11" s="11">
        <f>SUM(B28:H28)</f>
        <v>-1932797.5594070042</v>
      </c>
      <c r="I11" s="11">
        <f>SUM(B28:I28)</f>
        <v>-1743517.5921160104</v>
      </c>
      <c r="J11" s="11">
        <f>SUM(B28:J28)</f>
        <v>-1558653.4854780743</v>
      </c>
      <c r="K11" s="11">
        <f>SUM(B28:K28)</f>
        <v>-1298030.4139269264</v>
      </c>
      <c r="L11" s="11">
        <f>SUM(B28:L28)</f>
        <v>-977504.06050698622</v>
      </c>
      <c r="M11" s="11">
        <f>SUM(B28:M28)</f>
        <v>-596889.98053574702</v>
      </c>
      <c r="N11" s="11">
        <f>SUM(B28:N28)</f>
        <v>-308004.42545496358</v>
      </c>
      <c r="O11" s="11">
        <f>SUM(B28:O28)</f>
        <v>15729.769202031428</v>
      </c>
      <c r="P11" s="11">
        <f>SUM(B28:P28)</f>
        <v>374485.9455288811</v>
      </c>
      <c r="Q11" s="11">
        <f>SUM(B28:Q28)</f>
        <v>768440.04575063381</v>
      </c>
      <c r="R11" s="11">
        <f>SUM(B28:R28)</f>
        <v>1197770.6512257124</v>
      </c>
    </row>
    <row r="12" spans="1:18" x14ac:dyDescent="0.25">
      <c r="A12" s="4" t="s">
        <v>20</v>
      </c>
      <c r="B12" s="11">
        <f>B10+B11</f>
        <v>6000000</v>
      </c>
      <c r="C12" s="11">
        <f t="shared" ref="C12:R12" si="4">C10+C11</f>
        <v>6000000</v>
      </c>
      <c r="D12" s="11">
        <f t="shared" si="4"/>
        <v>5431466.666666667</v>
      </c>
      <c r="E12" s="11">
        <f t="shared" si="4"/>
        <v>4755405.333333333</v>
      </c>
      <c r="F12" s="11">
        <f t="shared" si="4"/>
        <v>3958303.0799999982</v>
      </c>
      <c r="G12" s="11">
        <f t="shared" si="4"/>
        <v>3956954.292866664</v>
      </c>
      <c r="H12" s="11">
        <f t="shared" si="4"/>
        <v>4067202.4405929958</v>
      </c>
      <c r="I12" s="11">
        <f t="shared" si="4"/>
        <v>4256482.4078839896</v>
      </c>
      <c r="J12" s="11">
        <f t="shared" si="4"/>
        <v>4441346.5145219257</v>
      </c>
      <c r="K12" s="11">
        <f t="shared" si="4"/>
        <v>4701969.5860730736</v>
      </c>
      <c r="L12" s="11">
        <f t="shared" si="4"/>
        <v>5022495.9394930135</v>
      </c>
      <c r="M12" s="11">
        <f t="shared" si="4"/>
        <v>5403110.0194642525</v>
      </c>
      <c r="N12" s="11">
        <f t="shared" si="4"/>
        <v>5691995.5745450361</v>
      </c>
      <c r="O12" s="11">
        <f t="shared" si="4"/>
        <v>6015729.7692020312</v>
      </c>
      <c r="P12" s="11">
        <f t="shared" si="4"/>
        <v>6374485.9455288807</v>
      </c>
      <c r="Q12" s="11">
        <f t="shared" si="4"/>
        <v>6768440.0457506338</v>
      </c>
      <c r="R12" s="11">
        <f t="shared" si="4"/>
        <v>7197770.6512257122</v>
      </c>
    </row>
    <row r="13" spans="1:18" x14ac:dyDescent="0.25">
      <c r="A13" s="5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x14ac:dyDescent="0.25">
      <c r="A14" s="2" t="s">
        <v>21</v>
      </c>
      <c r="B14" s="11">
        <f>B8+B12</f>
        <v>6000000</v>
      </c>
      <c r="C14" s="11">
        <f t="shared" ref="C14:R14" si="5">C8+C12</f>
        <v>20000000</v>
      </c>
      <c r="D14" s="11">
        <f t="shared" si="5"/>
        <v>20831466.666666668</v>
      </c>
      <c r="E14" s="11">
        <f t="shared" si="5"/>
        <v>21695405.333333336</v>
      </c>
      <c r="F14" s="11">
        <f t="shared" si="5"/>
        <v>22592303.079999998</v>
      </c>
      <c r="G14" s="11">
        <f t="shared" si="5"/>
        <v>21038120.959533334</v>
      </c>
      <c r="H14" s="11">
        <f t="shared" si="5"/>
        <v>19595535.773926329</v>
      </c>
      <c r="I14" s="11">
        <f t="shared" si="5"/>
        <v>18231982.407883991</v>
      </c>
      <c r="J14" s="11">
        <f t="shared" si="5"/>
        <v>16864013.181188591</v>
      </c>
      <c r="K14" s="11">
        <f t="shared" si="5"/>
        <v>15571802.919406407</v>
      </c>
      <c r="L14" s="11">
        <f t="shared" si="5"/>
        <v>14339495.939493012</v>
      </c>
      <c r="M14" s="11">
        <f t="shared" si="5"/>
        <v>13167276.686130919</v>
      </c>
      <c r="N14" s="11">
        <f t="shared" si="5"/>
        <v>11903328.907878369</v>
      </c>
      <c r="O14" s="11">
        <f t="shared" si="5"/>
        <v>10674229.769202031</v>
      </c>
      <c r="P14" s="11">
        <f t="shared" si="5"/>
        <v>9480152.6121955477</v>
      </c>
      <c r="Q14" s="11">
        <f t="shared" si="5"/>
        <v>8321273.3790839668</v>
      </c>
      <c r="R14" s="11">
        <f t="shared" si="5"/>
        <v>7197770.6512257122</v>
      </c>
    </row>
    <row r="15" spans="1:18" x14ac:dyDescent="0.25">
      <c r="A15" s="5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</row>
    <row r="16" spans="1:18" s="6" customFormat="1" x14ac:dyDescent="0.25">
      <c r="A16" s="4" t="s">
        <v>24</v>
      </c>
      <c r="B16" s="15">
        <f>B8/B12</f>
        <v>0</v>
      </c>
      <c r="C16" s="15">
        <f t="shared" ref="C16:R16" si="6">C8/C12</f>
        <v>2.3333333333333335</v>
      </c>
      <c r="D16" s="15">
        <f t="shared" si="6"/>
        <v>2.8353299293008645</v>
      </c>
      <c r="E16" s="15">
        <f t="shared" si="6"/>
        <v>3.5622620602407826</v>
      </c>
      <c r="F16" s="15">
        <f t="shared" si="6"/>
        <v>4.7075728218365755</v>
      </c>
      <c r="G16" s="15">
        <f t="shared" si="6"/>
        <v>4.3167460128259423</v>
      </c>
      <c r="H16" s="15">
        <f t="shared" si="6"/>
        <v>3.8179396182377663</v>
      </c>
      <c r="I16" s="15">
        <f t="shared" si="6"/>
        <v>3.2833449456091119</v>
      </c>
      <c r="J16" s="15">
        <f t="shared" si="6"/>
        <v>2.7970496393488142</v>
      </c>
      <c r="K16" s="15">
        <f t="shared" si="6"/>
        <v>2.3117617275809415</v>
      </c>
      <c r="L16" s="15">
        <f t="shared" si="6"/>
        <v>1.8550537645512732</v>
      </c>
      <c r="M16" s="15">
        <f t="shared" si="6"/>
        <v>1.4369810421584797</v>
      </c>
      <c r="N16" s="15">
        <f t="shared" si="6"/>
        <v>1.091240014505775</v>
      </c>
      <c r="O16" s="15">
        <f t="shared" si="6"/>
        <v>0.7743865131458415</v>
      </c>
      <c r="P16" s="15">
        <f t="shared" si="6"/>
        <v>0.48720268476629197</v>
      </c>
      <c r="Q16" s="15">
        <f t="shared" si="6"/>
        <v>0.22942263251755235</v>
      </c>
      <c r="R16" s="15">
        <f t="shared" si="6"/>
        <v>0</v>
      </c>
    </row>
    <row r="19" spans="1:18" x14ac:dyDescent="0.25">
      <c r="A19" s="1" t="s">
        <v>0</v>
      </c>
      <c r="B19" s="9">
        <v>0</v>
      </c>
      <c r="C19" s="9">
        <v>1</v>
      </c>
      <c r="D19" s="9">
        <v>2</v>
      </c>
      <c r="E19" s="9">
        <v>3</v>
      </c>
      <c r="F19" s="9">
        <v>4</v>
      </c>
      <c r="G19" s="9">
        <v>5</v>
      </c>
      <c r="H19" s="9">
        <v>6</v>
      </c>
      <c r="I19" s="9">
        <v>7</v>
      </c>
      <c r="J19" s="9">
        <v>8</v>
      </c>
      <c r="K19" s="9">
        <v>9</v>
      </c>
      <c r="L19" s="9">
        <v>10</v>
      </c>
      <c r="M19" s="9">
        <v>11</v>
      </c>
      <c r="N19" s="9">
        <v>12</v>
      </c>
      <c r="O19" s="9">
        <v>13</v>
      </c>
      <c r="P19" s="9">
        <v>14</v>
      </c>
      <c r="Q19" s="9">
        <v>15</v>
      </c>
      <c r="R19" s="9">
        <v>16</v>
      </c>
    </row>
    <row r="20" spans="1:18" x14ac:dyDescent="0.25">
      <c r="A20" s="3" t="s">
        <v>25</v>
      </c>
      <c r="B20" s="11">
        <v>0</v>
      </c>
      <c r="C20" s="11">
        <v>0</v>
      </c>
      <c r="D20" s="11">
        <v>831466.66666666674</v>
      </c>
      <c r="E20" s="11">
        <v>863938.66666666628</v>
      </c>
      <c r="F20" s="11">
        <v>896897.74666666589</v>
      </c>
      <c r="G20" s="11">
        <v>930351.21286666556</v>
      </c>
      <c r="H20" s="11">
        <v>964306.48105966556</v>
      </c>
      <c r="I20" s="11">
        <v>998771.07827556017</v>
      </c>
      <c r="J20" s="11">
        <v>1033752.6444496938</v>
      </c>
      <c r="K20" s="11">
        <v>1069258.9341164387</v>
      </c>
      <c r="L20" s="11">
        <v>1105297.8181281851</v>
      </c>
      <c r="M20" s="11">
        <v>1141877.2854001077</v>
      </c>
      <c r="N20" s="11">
        <v>1179005.4446811092</v>
      </c>
      <c r="O20" s="11">
        <v>1216690.5263513254</v>
      </c>
      <c r="P20" s="11">
        <v>1254940.884246595</v>
      </c>
      <c r="Q20" s="11">
        <v>1293764.9975102937</v>
      </c>
      <c r="R20" s="11">
        <v>1333171.4724729478</v>
      </c>
    </row>
    <row r="21" spans="1:18" x14ac:dyDescent="0.25">
      <c r="A21" s="3" t="s">
        <v>26</v>
      </c>
      <c r="B21" s="11">
        <v>0</v>
      </c>
      <c r="C21" s="11">
        <v>0</v>
      </c>
      <c r="D21" s="11">
        <f>C8*0.1</f>
        <v>1400000</v>
      </c>
      <c r="E21" s="11">
        <f>D8*0.1</f>
        <v>1540000.0000000002</v>
      </c>
      <c r="F21" s="11">
        <f>E8*0.1</f>
        <v>1694000.0000000005</v>
      </c>
      <c r="G21" s="11">
        <f>G7</f>
        <v>931700</v>
      </c>
      <c r="H21" s="11">
        <f t="shared" ref="H21:R21" si="7">H7</f>
        <v>854058.33333333349</v>
      </c>
      <c r="I21" s="11">
        <f t="shared" si="7"/>
        <v>776416.66666666674</v>
      </c>
      <c r="J21" s="11">
        <f t="shared" si="7"/>
        <v>698775</v>
      </c>
      <c r="K21" s="11">
        <f t="shared" si="7"/>
        <v>621133.33333333337</v>
      </c>
      <c r="L21" s="11">
        <f t="shared" si="7"/>
        <v>543491.66666666663</v>
      </c>
      <c r="M21" s="11">
        <f t="shared" si="7"/>
        <v>465849.99999999994</v>
      </c>
      <c r="N21" s="11">
        <f t="shared" si="7"/>
        <v>388208.33333333326</v>
      </c>
      <c r="O21" s="11">
        <f t="shared" si="7"/>
        <v>310566.66666666663</v>
      </c>
      <c r="P21" s="11">
        <f t="shared" si="7"/>
        <v>232924.99999999997</v>
      </c>
      <c r="Q21" s="11">
        <f t="shared" si="7"/>
        <v>155283.33333333331</v>
      </c>
      <c r="R21" s="11">
        <f t="shared" si="7"/>
        <v>77641.666666666642</v>
      </c>
    </row>
    <row r="22" spans="1:18" x14ac:dyDescent="0.25">
      <c r="A22" s="5" t="s">
        <v>27</v>
      </c>
      <c r="B22" s="11">
        <f>B20-B21</f>
        <v>0</v>
      </c>
      <c r="C22" s="11">
        <f t="shared" ref="C22:R22" si="8">C20-C21</f>
        <v>0</v>
      </c>
      <c r="D22" s="11">
        <f t="shared" si="8"/>
        <v>-568533.33333333326</v>
      </c>
      <c r="E22" s="11">
        <f t="shared" si="8"/>
        <v>-676061.33333333395</v>
      </c>
      <c r="F22" s="11">
        <f t="shared" si="8"/>
        <v>-797102.25333333458</v>
      </c>
      <c r="G22" s="11">
        <f t="shared" si="8"/>
        <v>-1348.7871333344374</v>
      </c>
      <c r="H22" s="11">
        <f t="shared" si="8"/>
        <v>110248.14772633207</v>
      </c>
      <c r="I22" s="11">
        <f t="shared" si="8"/>
        <v>222354.41160889342</v>
      </c>
      <c r="J22" s="11">
        <f t="shared" si="8"/>
        <v>334977.64444969385</v>
      </c>
      <c r="K22" s="11">
        <f t="shared" si="8"/>
        <v>448125.60078310536</v>
      </c>
      <c r="L22" s="11">
        <f t="shared" si="8"/>
        <v>561806.15146151849</v>
      </c>
      <c r="M22" s="11">
        <f t="shared" si="8"/>
        <v>676027.28540010774</v>
      </c>
      <c r="N22" s="11">
        <f t="shared" si="8"/>
        <v>790797.11134777591</v>
      </c>
      <c r="O22" s="11">
        <f t="shared" si="8"/>
        <v>906123.85968465882</v>
      </c>
      <c r="P22" s="11">
        <f t="shared" si="8"/>
        <v>1022015.884246595</v>
      </c>
      <c r="Q22" s="11">
        <f t="shared" si="8"/>
        <v>1138481.6641769605</v>
      </c>
      <c r="R22" s="11">
        <f t="shared" si="8"/>
        <v>1255529.805806281</v>
      </c>
    </row>
    <row r="23" spans="1:18" x14ac:dyDescent="0.25">
      <c r="A23" s="5" t="s">
        <v>29</v>
      </c>
      <c r="B23" s="11">
        <v>0</v>
      </c>
      <c r="C23" s="11">
        <v>0</v>
      </c>
      <c r="D23" s="11">
        <v>0</v>
      </c>
      <c r="E23" s="11">
        <f>D22</f>
        <v>-568533.33333333326</v>
      </c>
      <c r="F23" s="11">
        <f>D22+E22</f>
        <v>-1244594.6666666672</v>
      </c>
      <c r="G23" s="11">
        <f>D22+E22+F22</f>
        <v>-2041696.9200000018</v>
      </c>
      <c r="H23" s="11">
        <f>E22+F22</f>
        <v>-1473163.5866666685</v>
      </c>
      <c r="I23" s="11">
        <f>F22</f>
        <v>-797102.25333333458</v>
      </c>
      <c r="J23" s="11">
        <f>G22</f>
        <v>-1348.7871333344374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</row>
    <row r="24" spans="1:18" x14ac:dyDescent="0.25">
      <c r="A24" s="5" t="s">
        <v>28</v>
      </c>
      <c r="B24" s="11">
        <f>B22+B23</f>
        <v>0</v>
      </c>
      <c r="C24" s="11">
        <f t="shared" ref="C24:R24" si="9">C22+C23</f>
        <v>0</v>
      </c>
      <c r="D24" s="11">
        <f t="shared" si="9"/>
        <v>-568533.33333333326</v>
      </c>
      <c r="E24" s="11">
        <f t="shared" si="9"/>
        <v>-1244594.6666666672</v>
      </c>
      <c r="F24" s="11">
        <f t="shared" si="9"/>
        <v>-2041696.9200000018</v>
      </c>
      <c r="G24" s="11">
        <f t="shared" si="9"/>
        <v>-2043045.7071333362</v>
      </c>
      <c r="H24" s="11">
        <f t="shared" si="9"/>
        <v>-1362915.4389403365</v>
      </c>
      <c r="I24" s="11">
        <f t="shared" si="9"/>
        <v>-574747.84172444115</v>
      </c>
      <c r="J24" s="11">
        <f t="shared" si="9"/>
        <v>333628.85731635941</v>
      </c>
      <c r="K24" s="11">
        <f t="shared" si="9"/>
        <v>448125.60078310536</v>
      </c>
      <c r="L24" s="11">
        <f t="shared" si="9"/>
        <v>561806.15146151849</v>
      </c>
      <c r="M24" s="11">
        <f t="shared" si="9"/>
        <v>676027.28540010774</v>
      </c>
      <c r="N24" s="11">
        <f t="shared" si="9"/>
        <v>790797.11134777591</v>
      </c>
      <c r="O24" s="11">
        <f t="shared" si="9"/>
        <v>906123.85968465882</v>
      </c>
      <c r="P24" s="11">
        <f t="shared" si="9"/>
        <v>1022015.884246595</v>
      </c>
      <c r="Q24" s="11">
        <f t="shared" si="9"/>
        <v>1138481.6641769605</v>
      </c>
      <c r="R24" s="11">
        <f t="shared" si="9"/>
        <v>1255529.805806281</v>
      </c>
    </row>
    <row r="25" spans="1:18" x14ac:dyDescent="0.25">
      <c r="A25" s="5" t="s">
        <v>30</v>
      </c>
      <c r="B25" s="11">
        <v>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f>J24*0.25</f>
        <v>83407.214329089853</v>
      </c>
      <c r="K25" s="11">
        <f t="shared" ref="K25:R25" si="10">K24*0.25</f>
        <v>112031.40019577634</v>
      </c>
      <c r="L25" s="11">
        <f t="shared" si="10"/>
        <v>140451.53786537962</v>
      </c>
      <c r="M25" s="11">
        <f t="shared" si="10"/>
        <v>169006.82135002693</v>
      </c>
      <c r="N25" s="11">
        <f t="shared" si="10"/>
        <v>197699.27783694398</v>
      </c>
      <c r="O25" s="11">
        <f t="shared" si="10"/>
        <v>226530.9649211647</v>
      </c>
      <c r="P25" s="11">
        <f t="shared" si="10"/>
        <v>255503.97106164874</v>
      </c>
      <c r="Q25" s="11">
        <f t="shared" si="10"/>
        <v>284620.41604424012</v>
      </c>
      <c r="R25" s="11">
        <f t="shared" si="10"/>
        <v>313882.45145157026</v>
      </c>
    </row>
    <row r="26" spans="1:18" x14ac:dyDescent="0.25">
      <c r="A26" s="5" t="s">
        <v>31</v>
      </c>
      <c r="B26" s="11">
        <v>0</v>
      </c>
      <c r="C26" s="11">
        <v>0</v>
      </c>
      <c r="D26" s="11">
        <f t="shared" ref="D26:I26" si="11">D22</f>
        <v>-568533.33333333326</v>
      </c>
      <c r="E26" s="11">
        <f t="shared" si="11"/>
        <v>-676061.33333333395</v>
      </c>
      <c r="F26" s="11">
        <f t="shared" si="11"/>
        <v>-797102.25333333458</v>
      </c>
      <c r="G26" s="11">
        <f t="shared" si="11"/>
        <v>-1348.7871333344374</v>
      </c>
      <c r="H26" s="11">
        <f t="shared" si="11"/>
        <v>110248.14772633207</v>
      </c>
      <c r="I26" s="11">
        <f t="shared" si="11"/>
        <v>222354.41160889342</v>
      </c>
      <c r="J26" s="11">
        <f>J22-J25</f>
        <v>251570.430120604</v>
      </c>
      <c r="K26" s="11">
        <f t="shared" ref="K26:R26" si="12">K22-K25</f>
        <v>336094.20058732899</v>
      </c>
      <c r="L26" s="11">
        <f t="shared" si="12"/>
        <v>421354.61359613889</v>
      </c>
      <c r="M26" s="11">
        <f t="shared" si="12"/>
        <v>507020.4640500808</v>
      </c>
      <c r="N26" s="11">
        <f t="shared" si="12"/>
        <v>593097.83351083193</v>
      </c>
      <c r="O26" s="11">
        <f t="shared" si="12"/>
        <v>679592.89476349414</v>
      </c>
      <c r="P26" s="11">
        <f t="shared" si="12"/>
        <v>766511.91318494617</v>
      </c>
      <c r="Q26" s="11">
        <f t="shared" si="12"/>
        <v>853861.24813272036</v>
      </c>
      <c r="R26" s="11">
        <f t="shared" si="12"/>
        <v>941647.35435471078</v>
      </c>
    </row>
    <row r="27" spans="1:18" x14ac:dyDescent="0.25">
      <c r="A27" s="5" t="s">
        <v>32</v>
      </c>
      <c r="B27" s="11">
        <v>0</v>
      </c>
      <c r="C27" s="11">
        <v>0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f>H26*0.3</f>
        <v>33074.444317899623</v>
      </c>
      <c r="J27" s="11">
        <f t="shared" ref="J27:M27" si="13">I26*0.3</f>
        <v>66706.323482668027</v>
      </c>
      <c r="K27" s="11">
        <f t="shared" si="13"/>
        <v>75471.129036181199</v>
      </c>
      <c r="L27" s="11">
        <f t="shared" si="13"/>
        <v>100828.26017619869</v>
      </c>
      <c r="M27" s="11">
        <f t="shared" si="13"/>
        <v>126406.38407884166</v>
      </c>
      <c r="N27" s="11">
        <f>M26*0.6</f>
        <v>304212.27843004849</v>
      </c>
      <c r="O27" s="11">
        <f t="shared" ref="O27:R27" si="14">N26*0.6</f>
        <v>355858.70010649913</v>
      </c>
      <c r="P27" s="11">
        <f t="shared" si="14"/>
        <v>407755.7368580965</v>
      </c>
      <c r="Q27" s="11">
        <f t="shared" si="14"/>
        <v>459907.1479109677</v>
      </c>
      <c r="R27" s="11">
        <f t="shared" si="14"/>
        <v>512316.74887963221</v>
      </c>
    </row>
    <row r="28" spans="1:18" x14ac:dyDescent="0.25">
      <c r="A28" s="4" t="s">
        <v>33</v>
      </c>
      <c r="B28" s="11">
        <f>B26-B27</f>
        <v>0</v>
      </c>
      <c r="C28" s="11">
        <f t="shared" ref="C28:K28" si="15">C26-C27</f>
        <v>0</v>
      </c>
      <c r="D28" s="11">
        <f t="shared" si="15"/>
        <v>-568533.33333333326</v>
      </c>
      <c r="E28" s="11">
        <f t="shared" si="15"/>
        <v>-676061.33333333395</v>
      </c>
      <c r="F28" s="11">
        <f t="shared" si="15"/>
        <v>-797102.25333333458</v>
      </c>
      <c r="G28" s="11">
        <f t="shared" si="15"/>
        <v>-1348.7871333344374</v>
      </c>
      <c r="H28" s="11">
        <f t="shared" si="15"/>
        <v>110248.14772633207</v>
      </c>
      <c r="I28" s="11">
        <f t="shared" si="15"/>
        <v>189279.96729099381</v>
      </c>
      <c r="J28" s="11">
        <f t="shared" si="15"/>
        <v>184864.10663793597</v>
      </c>
      <c r="K28" s="11">
        <f t="shared" si="15"/>
        <v>260623.07155114779</v>
      </c>
      <c r="L28" s="11">
        <f>L26-L27</f>
        <v>320526.35341994022</v>
      </c>
      <c r="M28" s="11">
        <f t="shared" ref="M28" si="16">M26-M27</f>
        <v>380614.07997123915</v>
      </c>
      <c r="N28" s="11">
        <f t="shared" ref="N28" si="17">N26-N27</f>
        <v>288885.55508078344</v>
      </c>
      <c r="O28" s="11">
        <f t="shared" ref="O28" si="18">O26-O27</f>
        <v>323734.19465699501</v>
      </c>
      <c r="P28" s="11">
        <f t="shared" ref="P28" si="19">P26-P27</f>
        <v>358756.17632684967</v>
      </c>
      <c r="Q28" s="11">
        <f t="shared" ref="Q28" si="20">Q26-Q27</f>
        <v>393954.10022175265</v>
      </c>
      <c r="R28" s="11">
        <f t="shared" ref="R28" si="21">R26-R27</f>
        <v>429330.60547507857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1"/>
  <sheetViews>
    <sheetView workbookViewId="0">
      <selection activeCell="A22" sqref="A22"/>
    </sheetView>
  </sheetViews>
  <sheetFormatPr baseColWidth="10" defaultColWidth="11" defaultRowHeight="12.75" x14ac:dyDescent="0.2"/>
  <cols>
    <col min="1" max="1" width="28" style="7" bestFit="1" customWidth="1"/>
    <col min="2" max="18" width="11" style="13"/>
    <col min="19" max="16384" width="11" style="7"/>
  </cols>
  <sheetData>
    <row r="1" spans="1:18" x14ac:dyDescent="0.2">
      <c r="A1" s="1" t="s">
        <v>0</v>
      </c>
      <c r="B1" s="9">
        <v>0</v>
      </c>
      <c r="C1" s="9">
        <v>1</v>
      </c>
      <c r="D1" s="9">
        <v>2</v>
      </c>
      <c r="E1" s="9">
        <v>3</v>
      </c>
      <c r="F1" s="9">
        <v>4</v>
      </c>
      <c r="G1" s="9">
        <v>5</v>
      </c>
      <c r="H1" s="9">
        <v>6</v>
      </c>
      <c r="I1" s="9">
        <v>7</v>
      </c>
      <c r="J1" s="9">
        <v>8</v>
      </c>
      <c r="K1" s="9">
        <v>9</v>
      </c>
      <c r="L1" s="9">
        <v>10</v>
      </c>
      <c r="M1" s="9">
        <v>11</v>
      </c>
      <c r="N1" s="9">
        <v>12</v>
      </c>
      <c r="O1" s="9">
        <v>13</v>
      </c>
      <c r="P1" s="9">
        <v>14</v>
      </c>
      <c r="Q1" s="9">
        <v>15</v>
      </c>
      <c r="R1" s="9">
        <v>16</v>
      </c>
    </row>
    <row r="2" spans="1:18" x14ac:dyDescent="0.2">
      <c r="A2" s="5" t="s">
        <v>35</v>
      </c>
      <c r="B2" s="11">
        <f>'Cash Flows'!B16</f>
        <v>-6000000</v>
      </c>
      <c r="C2" s="11">
        <f>'Cash Flows'!C16</f>
        <v>-14000000</v>
      </c>
      <c r="D2" s="11">
        <f>'Cash Flows'!D16</f>
        <v>2164275.7990867579</v>
      </c>
      <c r="E2" s="11">
        <f>'Cash Flows'!E16</f>
        <v>2331117.4703196343</v>
      </c>
      <c r="F2" s="11">
        <f>'Cash Flows'!F16</f>
        <v>2355804.2323744288</v>
      </c>
      <c r="G2" s="11">
        <f>'Cash Flows'!G16</f>
        <v>2380861.2958600447</v>
      </c>
      <c r="H2" s="11">
        <f>'Cash Flows'!H16</f>
        <v>2406294.2152979453</v>
      </c>
      <c r="I2" s="11">
        <f>'Cash Flows'!I16</f>
        <v>2432108.6285274141</v>
      </c>
      <c r="J2" s="11">
        <f>'Cash Flows'!J16</f>
        <v>2458310.2579553258</v>
      </c>
      <c r="K2" s="11">
        <f>'Cash Flows'!K16</f>
        <v>2484904.9118246553</v>
      </c>
      <c r="L2" s="11">
        <f>'Cash Flows'!L16</f>
        <v>2511898.4855020251</v>
      </c>
      <c r="M2" s="11">
        <f>'Cash Flows'!M16</f>
        <v>2539296.9627845553</v>
      </c>
      <c r="N2" s="11">
        <f>'Cash Flows'!N16</f>
        <v>2567106.4172263234</v>
      </c>
      <c r="O2" s="11">
        <f>'Cash Flows'!O16</f>
        <v>2595333.0134847183</v>
      </c>
      <c r="P2" s="11">
        <f>'Cash Flows'!P16</f>
        <v>2623983.0086869886</v>
      </c>
      <c r="Q2" s="11">
        <f>'Cash Flows'!Q16</f>
        <v>2653062.7538172933</v>
      </c>
      <c r="R2" s="11">
        <f>'Cash Flows'!R16</f>
        <v>2682578.6951245526</v>
      </c>
    </row>
    <row r="3" spans="1:18" x14ac:dyDescent="0.2">
      <c r="A3" s="5" t="s">
        <v>38</v>
      </c>
      <c r="B3" s="11">
        <f t="shared" ref="B3:R3" si="0">B2/(1+$B19)^B1</f>
        <v>-6000000</v>
      </c>
      <c r="C3" s="11">
        <f t="shared" si="0"/>
        <v>-12750455.373406192</v>
      </c>
      <c r="D3" s="11">
        <f t="shared" si="0"/>
        <v>1795179.6768149058</v>
      </c>
      <c r="E3" s="11">
        <f t="shared" si="0"/>
        <v>1760991.0098102591</v>
      </c>
      <c r="F3" s="11">
        <f t="shared" si="0"/>
        <v>1620801.527208576</v>
      </c>
      <c r="G3" s="11">
        <f t="shared" si="0"/>
        <v>1491840.5047973832</v>
      </c>
      <c r="H3" s="11">
        <f t="shared" si="0"/>
        <v>1373202.8191117169</v>
      </c>
      <c r="I3" s="11">
        <f t="shared" si="0"/>
        <v>1264056.79545751</v>
      </c>
      <c r="J3" s="11">
        <f t="shared" si="0"/>
        <v>1163638.2069464645</v>
      </c>
      <c r="K3" s="11">
        <f t="shared" si="0"/>
        <v>1071244.7672149984</v>
      </c>
      <c r="L3" s="11">
        <f t="shared" si="0"/>
        <v>986231.07593331335</v>
      </c>
      <c r="M3" s="11">
        <f t="shared" si="0"/>
        <v>908003.97962096531</v>
      </c>
      <c r="N3" s="11">
        <f t="shared" si="0"/>
        <v>836018.31340944802</v>
      </c>
      <c r="O3" s="11">
        <f t="shared" si="0"/>
        <v>769772.99225427397</v>
      </c>
      <c r="P3" s="11">
        <f t="shared" si="0"/>
        <v>708807.42272107897</v>
      </c>
      <c r="Q3" s="11">
        <f t="shared" si="0"/>
        <v>652698.2088725795</v>
      </c>
      <c r="R3" s="11">
        <f t="shared" si="0"/>
        <v>601056.12798433076</v>
      </c>
    </row>
    <row r="4" spans="1:18" x14ac:dyDescent="0.2">
      <c r="A4" s="7" t="s">
        <v>36</v>
      </c>
      <c r="B4" s="13">
        <f>SUM(B3:R3)</f>
        <v>-1746911.9452483898</v>
      </c>
    </row>
    <row r="5" spans="1:18" x14ac:dyDescent="0.2">
      <c r="A5" s="7" t="s">
        <v>37</v>
      </c>
      <c r="B5" s="8">
        <f>IRR(B2:R2)</f>
        <v>8.2706731558318536E-2</v>
      </c>
    </row>
    <row r="8" spans="1:18" customFormat="1" ht="15.75" x14ac:dyDescent="0.25">
      <c r="A8" s="1" t="s">
        <v>0</v>
      </c>
      <c r="B8" s="9">
        <v>0</v>
      </c>
      <c r="C8" s="9">
        <v>1</v>
      </c>
      <c r="D8" s="9">
        <v>2</v>
      </c>
      <c r="E8" s="9">
        <v>3</v>
      </c>
      <c r="F8" s="9">
        <v>4</v>
      </c>
      <c r="G8" s="9">
        <v>5</v>
      </c>
      <c r="H8" s="9">
        <v>6</v>
      </c>
      <c r="I8" s="9">
        <v>7</v>
      </c>
      <c r="J8" s="9">
        <v>8</v>
      </c>
      <c r="K8" s="9">
        <v>9</v>
      </c>
      <c r="L8" s="9">
        <v>10</v>
      </c>
      <c r="M8" s="9">
        <v>11</v>
      </c>
      <c r="N8" s="9">
        <v>12</v>
      </c>
      <c r="O8" s="9">
        <v>13</v>
      </c>
      <c r="P8" s="9">
        <v>14</v>
      </c>
      <c r="Q8" s="9">
        <v>15</v>
      </c>
      <c r="R8" s="9">
        <v>16</v>
      </c>
    </row>
    <row r="9" spans="1:18" customFormat="1" ht="15.75" x14ac:dyDescent="0.25">
      <c r="A9" s="3" t="s">
        <v>26</v>
      </c>
      <c r="B9" s="11">
        <f>'Capital Structure'!B21</f>
        <v>0</v>
      </c>
      <c r="C9" s="11">
        <f>'Capital Structure'!C21</f>
        <v>0</v>
      </c>
      <c r="D9" s="11">
        <f>'Capital Structure'!D21</f>
        <v>1400000</v>
      </c>
      <c r="E9" s="11">
        <f>'Capital Structure'!E21</f>
        <v>1540000.0000000002</v>
      </c>
      <c r="F9" s="11">
        <f>'Capital Structure'!F21</f>
        <v>1694000.0000000005</v>
      </c>
      <c r="G9" s="11">
        <f>'Capital Structure'!G21</f>
        <v>931700</v>
      </c>
      <c r="H9" s="11">
        <f>'Capital Structure'!H21</f>
        <v>854058.33333333349</v>
      </c>
      <c r="I9" s="11">
        <f>'Capital Structure'!I21</f>
        <v>776416.66666666674</v>
      </c>
      <c r="J9" s="11">
        <f>'Capital Structure'!J21</f>
        <v>698775</v>
      </c>
      <c r="K9" s="11">
        <f>'Capital Structure'!K21</f>
        <v>621133.33333333337</v>
      </c>
      <c r="L9" s="11">
        <f>'Capital Structure'!L21</f>
        <v>543491.66666666663</v>
      </c>
      <c r="M9" s="11">
        <f>'Capital Structure'!M21</f>
        <v>465849.99999999994</v>
      </c>
      <c r="N9" s="11">
        <f>'Capital Structure'!N21</f>
        <v>388208.33333333326</v>
      </c>
      <c r="O9" s="11">
        <f>'Capital Structure'!O21</f>
        <v>310566.66666666663</v>
      </c>
      <c r="P9" s="11">
        <f>'Capital Structure'!P21</f>
        <v>232924.99999999997</v>
      </c>
      <c r="Q9" s="11">
        <f>'Capital Structure'!Q21</f>
        <v>155283.33333333331</v>
      </c>
      <c r="R9" s="11">
        <f>'Capital Structure'!R21</f>
        <v>77641.666666666642</v>
      </c>
    </row>
    <row r="10" spans="1:18" customFormat="1" ht="15.75" x14ac:dyDescent="0.25">
      <c r="A10" s="5" t="s">
        <v>41</v>
      </c>
      <c r="B10" s="11">
        <v>0</v>
      </c>
      <c r="C10" s="11">
        <v>0</v>
      </c>
      <c r="D10" s="11">
        <f t="shared" ref="D10:R10" si="1">D9*0.25</f>
        <v>350000</v>
      </c>
      <c r="E10" s="11">
        <f t="shared" si="1"/>
        <v>385000.00000000006</v>
      </c>
      <c r="F10" s="11">
        <f t="shared" si="1"/>
        <v>423500.00000000012</v>
      </c>
      <c r="G10" s="11">
        <f t="shared" si="1"/>
        <v>232925</v>
      </c>
      <c r="H10" s="11">
        <f t="shared" si="1"/>
        <v>213514.58333333337</v>
      </c>
      <c r="I10" s="11">
        <f t="shared" si="1"/>
        <v>194104.16666666669</v>
      </c>
      <c r="J10" s="11">
        <f t="shared" si="1"/>
        <v>174693.75</v>
      </c>
      <c r="K10" s="11">
        <f t="shared" si="1"/>
        <v>155283.33333333334</v>
      </c>
      <c r="L10" s="11">
        <f t="shared" si="1"/>
        <v>135872.91666666666</v>
      </c>
      <c r="M10" s="11">
        <f t="shared" si="1"/>
        <v>116462.49999999999</v>
      </c>
      <c r="N10" s="11">
        <f t="shared" si="1"/>
        <v>97052.083333333314</v>
      </c>
      <c r="O10" s="11">
        <f t="shared" si="1"/>
        <v>77641.666666666657</v>
      </c>
      <c r="P10" s="11">
        <f t="shared" si="1"/>
        <v>58231.249999999993</v>
      </c>
      <c r="Q10" s="11">
        <f t="shared" si="1"/>
        <v>38820.833333333328</v>
      </c>
      <c r="R10" s="11">
        <f t="shared" si="1"/>
        <v>19410.416666666661</v>
      </c>
    </row>
    <row r="11" spans="1:18" customFormat="1" ht="15.75" x14ac:dyDescent="0.25">
      <c r="A11" s="5" t="s">
        <v>42</v>
      </c>
      <c r="B11" s="11">
        <v>0</v>
      </c>
      <c r="C11" s="11">
        <v>0</v>
      </c>
      <c r="D11" s="11">
        <f>D10/(1+$B20)^D8</f>
        <v>289256.19834710739</v>
      </c>
      <c r="E11" s="11">
        <f>E10/(1+$B20)^E8</f>
        <v>289256.19834710739</v>
      </c>
      <c r="F11" s="11">
        <f>F10/(1+$B20)^F8</f>
        <v>289256.19834710745</v>
      </c>
      <c r="G11" s="11">
        <f t="shared" ref="G11:R11" si="2">G10/(1+$B21)^G8</f>
        <v>182502.8323246658</v>
      </c>
      <c r="H11" s="11">
        <f t="shared" si="2"/>
        <v>159327.86948978764</v>
      </c>
      <c r="I11" s="11">
        <f t="shared" si="2"/>
        <v>137946.20735046547</v>
      </c>
      <c r="J11" s="11">
        <f t="shared" si="2"/>
        <v>118239.60630039897</v>
      </c>
      <c r="K11" s="11">
        <f t="shared" si="2"/>
        <v>100097.02120668696</v>
      </c>
      <c r="L11" s="11">
        <f t="shared" si="2"/>
        <v>83414.18433890579</v>
      </c>
      <c r="M11" s="11">
        <f t="shared" si="2"/>
        <v>68093.211705229201</v>
      </c>
      <c r="N11" s="11">
        <f t="shared" si="2"/>
        <v>54042.231512086677</v>
      </c>
      <c r="O11" s="11">
        <f t="shared" si="2"/>
        <v>41175.033533018417</v>
      </c>
      <c r="P11" s="11">
        <f t="shared" si="2"/>
        <v>29410.738237870304</v>
      </c>
      <c r="Q11" s="11">
        <f t="shared" si="2"/>
        <v>18673.484595473201</v>
      </c>
      <c r="R11" s="11">
        <f t="shared" si="2"/>
        <v>8892.135521653905</v>
      </c>
    </row>
    <row r="12" spans="1:18" x14ac:dyDescent="0.2">
      <c r="A12" s="7" t="s">
        <v>45</v>
      </c>
      <c r="B12" s="13">
        <f>SUM(B11:R11)</f>
        <v>1869583.1511575645</v>
      </c>
    </row>
    <row r="15" spans="1:18" s="16" customFormat="1" x14ac:dyDescent="0.2">
      <c r="A15" s="16" t="s">
        <v>46</v>
      </c>
      <c r="B15" s="17">
        <f>B4+B12</f>
        <v>122671.20590917463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8" spans="1:2" x14ac:dyDescent="0.2">
      <c r="A18" s="7" t="s">
        <v>40</v>
      </c>
      <c r="B18" s="14">
        <v>0.8</v>
      </c>
    </row>
    <row r="19" spans="1:2" x14ac:dyDescent="0.2">
      <c r="A19" s="7" t="s">
        <v>39</v>
      </c>
      <c r="B19" s="8">
        <f>0.05+B18*0.06</f>
        <v>9.8000000000000004E-2</v>
      </c>
    </row>
    <row r="20" spans="1:2" x14ac:dyDescent="0.2">
      <c r="A20" s="7" t="s">
        <v>43</v>
      </c>
      <c r="B20" s="8">
        <v>0.1</v>
      </c>
    </row>
    <row r="21" spans="1:2" x14ac:dyDescent="0.2">
      <c r="A21" s="7" t="s">
        <v>44</v>
      </c>
      <c r="B21" s="8">
        <v>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" defaultRowHeight="15.75" x14ac:dyDescent="0.25"/>
  <sheetData/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Cash Flows</vt:lpstr>
      <vt:lpstr>Capital Structure</vt:lpstr>
      <vt:lpstr>APV</vt:lpstr>
      <vt:lpstr>Chart</vt:lpstr>
    </vt:vector>
  </TitlesOfParts>
  <Company>Romarong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Othman Cole</dc:creator>
  <cp:lastModifiedBy>Tore Ausland</cp:lastModifiedBy>
  <dcterms:created xsi:type="dcterms:W3CDTF">2014-02-01T19:44:11Z</dcterms:created>
  <dcterms:modified xsi:type="dcterms:W3CDTF">2021-12-06T10:08:37Z</dcterms:modified>
</cp:coreProperties>
</file>