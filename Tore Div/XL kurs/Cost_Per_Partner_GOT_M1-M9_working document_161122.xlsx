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E:\Skrivebord Jobb PC 07122022\Skrivebord\Tore Div\XL kurs\"/>
    </mc:Choice>
  </mc:AlternateContent>
  <xr:revisionPtr revIDLastSave="0" documentId="13_ncr:1_{33AB1735-26FC-43BB-BBF2-92AA94DAFEB7}" xr6:coauthVersionLast="47" xr6:coauthVersionMax="47" xr10:uidLastSave="{00000000-0000-0000-0000-000000000000}"/>
  <bookViews>
    <workbookView xWindow="-120" yWindow="-120" windowWidth="57840" windowHeight="15840" firstSheet="3" activeTab="10" xr2:uid="{00000000-000D-0000-FFFF-FFFF00000000}"/>
  </bookViews>
  <sheets>
    <sheet name="%Cost vs Budget" sheetId="17" r:id="rId1"/>
    <sheet name="WP Cost vs Budget" sheetId="15" r:id="rId2"/>
    <sheet name="PM Efforth per Task" sheetId="20" r:id="rId3"/>
    <sheet name="Efforth per task PM" sheetId="18" r:id="rId4"/>
    <sheet name="MONITORING TABLE 75%" sheetId="19" r:id="rId5"/>
    <sheet name="Direct &amp;Indirect Personnal Cost" sheetId="14" r:id="rId6"/>
    <sheet name="MNU" sheetId="1" r:id="rId7"/>
    <sheet name="SCA" sheetId="2" r:id="rId8"/>
    <sheet name="FOC" sheetId="3" r:id="rId9"/>
    <sheet name="CLTV" sheetId="4" r:id="rId10"/>
    <sheet name="MAI" sheetId="5" r:id="rId11"/>
    <sheet name="BIN" sheetId="6" r:id="rId12"/>
    <sheet name="IOC" sheetId="7" r:id="rId13"/>
    <sheet name="HIE" sheetId="8" r:id="rId14"/>
    <sheet name="BAL" sheetId="9" r:id="rId15"/>
    <sheet name="MEERI" sheetId="10" r:id="rId16"/>
    <sheet name="MCN" sheetId="12" r:id="rId17"/>
    <sheet name="CKR_x0009_" sheetId="13" r:id="rId18"/>
  </sheets>
  <definedNames>
    <definedName name="EksterneData_1" localSheetId="0" hidden="1">'%Cost vs Budget'!$A$1:$B$14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51" i="18" l="1"/>
  <c r="E50" i="18"/>
  <c r="E49" i="18"/>
  <c r="G48" i="18"/>
  <c r="E48" i="18"/>
  <c r="E47" i="18"/>
  <c r="I46" i="18"/>
  <c r="E46" i="18"/>
  <c r="H45" i="18"/>
  <c r="E45" i="18"/>
  <c r="Q44" i="18"/>
  <c r="P44" i="18"/>
  <c r="O44" i="18"/>
  <c r="N44" i="18"/>
  <c r="M44" i="18"/>
  <c r="L44" i="18"/>
  <c r="K44" i="18"/>
  <c r="J44" i="18"/>
  <c r="I44" i="18"/>
  <c r="H44" i="18"/>
  <c r="G44" i="18"/>
  <c r="F44" i="18"/>
  <c r="Q43" i="18"/>
  <c r="P43" i="18"/>
  <c r="O43" i="18"/>
  <c r="N43" i="18"/>
  <c r="M43" i="18"/>
  <c r="L43" i="18"/>
  <c r="K43" i="18"/>
  <c r="J43" i="18"/>
  <c r="I43" i="18"/>
  <c r="H43" i="18"/>
  <c r="G43" i="18"/>
  <c r="F43" i="18"/>
  <c r="R40" i="18"/>
  <c r="R39" i="18"/>
  <c r="R38" i="18"/>
  <c r="Q37" i="18"/>
  <c r="Q51" i="18" s="1"/>
  <c r="P37" i="18"/>
  <c r="P51" i="18" s="1"/>
  <c r="O37" i="18"/>
  <c r="O51" i="18" s="1"/>
  <c r="N37" i="18"/>
  <c r="N51" i="18" s="1"/>
  <c r="M37" i="18"/>
  <c r="M51" i="18" s="1"/>
  <c r="L37" i="18"/>
  <c r="L51" i="18" s="1"/>
  <c r="K37" i="18"/>
  <c r="K51" i="18" s="1"/>
  <c r="J37" i="18"/>
  <c r="J51" i="18" s="1"/>
  <c r="I37" i="18"/>
  <c r="I51" i="18" s="1"/>
  <c r="H37" i="18"/>
  <c r="H51" i="18" s="1"/>
  <c r="G37" i="18"/>
  <c r="G51" i="18" s="1"/>
  <c r="F37" i="18"/>
  <c r="F51" i="18" s="1"/>
  <c r="R36" i="18"/>
  <c r="R35" i="18"/>
  <c r="R34" i="18"/>
  <c r="Q33" i="18"/>
  <c r="Q50" i="18" s="1"/>
  <c r="P33" i="18"/>
  <c r="P50" i="18" s="1"/>
  <c r="O33" i="18"/>
  <c r="O50" i="18" s="1"/>
  <c r="N33" i="18"/>
  <c r="N50" i="18" s="1"/>
  <c r="M33" i="18"/>
  <c r="M50" i="18" s="1"/>
  <c r="L33" i="18"/>
  <c r="L50" i="18" s="1"/>
  <c r="K33" i="18"/>
  <c r="K50" i="18" s="1"/>
  <c r="J33" i="18"/>
  <c r="J50" i="18" s="1"/>
  <c r="I33" i="18"/>
  <c r="I50" i="18" s="1"/>
  <c r="H33" i="18"/>
  <c r="H50" i="18" s="1"/>
  <c r="G33" i="18"/>
  <c r="G50" i="18" s="1"/>
  <c r="F33" i="18"/>
  <c r="F50" i="18" s="1"/>
  <c r="R32" i="18"/>
  <c r="R31" i="18"/>
  <c r="R29" i="18" s="1"/>
  <c r="R30" i="18"/>
  <c r="Q29" i="18"/>
  <c r="Q49" i="18" s="1"/>
  <c r="P29" i="18"/>
  <c r="P49" i="18" s="1"/>
  <c r="O29" i="18"/>
  <c r="O49" i="18" s="1"/>
  <c r="N29" i="18"/>
  <c r="N49" i="18" s="1"/>
  <c r="M29" i="18"/>
  <c r="M49" i="18" s="1"/>
  <c r="L29" i="18"/>
  <c r="L49" i="18" s="1"/>
  <c r="K29" i="18"/>
  <c r="K49" i="18" s="1"/>
  <c r="J29" i="18"/>
  <c r="J49" i="18" s="1"/>
  <c r="I29" i="18"/>
  <c r="I49" i="18" s="1"/>
  <c r="H29" i="18"/>
  <c r="H49" i="18" s="1"/>
  <c r="G29" i="18"/>
  <c r="G49" i="18" s="1"/>
  <c r="F29" i="18"/>
  <c r="F49" i="18" s="1"/>
  <c r="R28" i="18"/>
  <c r="R27" i="18"/>
  <c r="R26" i="18"/>
  <c r="R25" i="18"/>
  <c r="R24" i="18"/>
  <c r="R23" i="18"/>
  <c r="R22" i="18"/>
  <c r="R21" i="18"/>
  <c r="R20" i="18"/>
  <c r="Q19" i="18"/>
  <c r="Q48" i="18" s="1"/>
  <c r="P19" i="18"/>
  <c r="P48" i="18" s="1"/>
  <c r="O19" i="18"/>
  <c r="O48" i="18" s="1"/>
  <c r="N19" i="18"/>
  <c r="N48" i="18" s="1"/>
  <c r="M19" i="18"/>
  <c r="M48" i="18" s="1"/>
  <c r="L19" i="18"/>
  <c r="L48" i="18" s="1"/>
  <c r="K19" i="18"/>
  <c r="K48" i="18" s="1"/>
  <c r="J19" i="18"/>
  <c r="J48" i="18" s="1"/>
  <c r="I19" i="18"/>
  <c r="I48" i="18" s="1"/>
  <c r="H19" i="18"/>
  <c r="H48" i="18" s="1"/>
  <c r="G19" i="18"/>
  <c r="F19" i="18"/>
  <c r="F48" i="18" s="1"/>
  <c r="R18" i="18"/>
  <c r="R17" i="18"/>
  <c r="R16" i="18"/>
  <c r="R15" i="18"/>
  <c r="R14" i="18"/>
  <c r="R13" i="18"/>
  <c r="R12" i="18" s="1"/>
  <c r="Q12" i="18"/>
  <c r="Q47" i="18" s="1"/>
  <c r="P12" i="18"/>
  <c r="P47" i="18" s="1"/>
  <c r="O12" i="18"/>
  <c r="O47" i="18" s="1"/>
  <c r="N12" i="18"/>
  <c r="N47" i="18" s="1"/>
  <c r="M12" i="18"/>
  <c r="M47" i="18" s="1"/>
  <c r="L12" i="18"/>
  <c r="L47" i="18" s="1"/>
  <c r="K12" i="18"/>
  <c r="K47" i="18" s="1"/>
  <c r="J12" i="18"/>
  <c r="J47" i="18" s="1"/>
  <c r="I12" i="18"/>
  <c r="I47" i="18" s="1"/>
  <c r="H12" i="18"/>
  <c r="H47" i="18" s="1"/>
  <c r="G12" i="18"/>
  <c r="G47" i="18" s="1"/>
  <c r="F12" i="18"/>
  <c r="F47" i="18" s="1"/>
  <c r="R11" i="18"/>
  <c r="R10" i="18"/>
  <c r="R9" i="18"/>
  <c r="R8" i="18"/>
  <c r="R7" i="18" s="1"/>
  <c r="R46" i="18" s="1"/>
  <c r="Q7" i="18"/>
  <c r="Q46" i="18" s="1"/>
  <c r="P7" i="18"/>
  <c r="P46" i="18" s="1"/>
  <c r="O7" i="18"/>
  <c r="O46" i="18" s="1"/>
  <c r="N7" i="18"/>
  <c r="M7" i="18"/>
  <c r="M46" i="18" s="1"/>
  <c r="L7" i="18"/>
  <c r="L46" i="18" s="1"/>
  <c r="K7" i="18"/>
  <c r="K46" i="18" s="1"/>
  <c r="J7" i="18"/>
  <c r="J46" i="18" s="1"/>
  <c r="I7" i="18"/>
  <c r="H7" i="18"/>
  <c r="H46" i="18" s="1"/>
  <c r="G7" i="18"/>
  <c r="G46" i="18" s="1"/>
  <c r="F7" i="18"/>
  <c r="R6" i="18"/>
  <c r="R5" i="18"/>
  <c r="R4" i="18"/>
  <c r="Q3" i="18"/>
  <c r="P3" i="18"/>
  <c r="O3" i="18"/>
  <c r="O45" i="18" s="1"/>
  <c r="N3" i="18"/>
  <c r="N45" i="18" s="1"/>
  <c r="M3" i="18"/>
  <c r="L3" i="18"/>
  <c r="K3" i="18"/>
  <c r="K45" i="18" s="1"/>
  <c r="J3" i="18"/>
  <c r="J45" i="18" s="1"/>
  <c r="I3" i="18"/>
  <c r="H3" i="18"/>
  <c r="G3" i="18"/>
  <c r="G45" i="18" s="1"/>
  <c r="F3" i="18"/>
  <c r="R3" i="18" s="1"/>
  <c r="H41" i="18" l="1"/>
  <c r="H52" i="18" s="1"/>
  <c r="L41" i="18"/>
  <c r="L52" i="18" s="1"/>
  <c r="P41" i="18"/>
  <c r="P52" i="18" s="1"/>
  <c r="R19" i="18"/>
  <c r="R48" i="18" s="1"/>
  <c r="R33" i="18"/>
  <c r="R37" i="18"/>
  <c r="L45" i="18"/>
  <c r="I41" i="18"/>
  <c r="I52" i="18" s="1"/>
  <c r="M41" i="18"/>
  <c r="M52" i="18" s="1"/>
  <c r="Q41" i="18"/>
  <c r="Q52" i="18" s="1"/>
  <c r="F41" i="18"/>
  <c r="N41" i="18"/>
  <c r="N52" i="18" s="1"/>
  <c r="P45" i="18"/>
  <c r="R45" i="18"/>
  <c r="R50" i="18"/>
  <c r="R51" i="18"/>
  <c r="R47" i="18"/>
  <c r="R49" i="18"/>
  <c r="F52" i="18"/>
  <c r="J41" i="18"/>
  <c r="J52" i="18" s="1"/>
  <c r="G41" i="18"/>
  <c r="G52" i="18" s="1"/>
  <c r="K41" i="18"/>
  <c r="K52" i="18" s="1"/>
  <c r="O41" i="18"/>
  <c r="O52" i="18" s="1"/>
  <c r="I45" i="18"/>
  <c r="M45" i="18"/>
  <c r="Q45" i="18"/>
  <c r="F46" i="18"/>
  <c r="N46" i="18"/>
  <c r="F45" i="18"/>
  <c r="R41" i="18" l="1"/>
  <c r="R52" i="18" l="1"/>
  <c r="S3" i="18"/>
  <c r="S33" i="18"/>
  <c r="S12" i="18"/>
  <c r="S7" i="18"/>
  <c r="S37" i="18"/>
  <c r="S19" i="18"/>
  <c r="S29" i="18"/>
  <c r="S2" i="18" l="1"/>
  <c r="S46" i="18"/>
  <c r="S49" i="18"/>
  <c r="S45" i="18"/>
  <c r="S52" i="18" s="1"/>
  <c r="S48" i="18"/>
  <c r="S51" i="18"/>
  <c r="S47" i="18"/>
  <c r="S50" i="18"/>
  <c r="K8" i="14" l="1"/>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41" i="14"/>
  <c r="K42" i="14"/>
  <c r="K43" i="14"/>
  <c r="K44" i="14"/>
  <c r="K45" i="14"/>
  <c r="K7" i="14"/>
  <c r="W50" i="2"/>
  <c r="W46" i="2"/>
  <c r="W42" i="2"/>
  <c r="W38" i="2"/>
  <c r="W28" i="2"/>
  <c r="W21" i="2"/>
  <c r="W16" i="2"/>
  <c r="W12" i="2"/>
  <c r="W8" i="14"/>
  <c r="W9" i="14"/>
  <c r="W10" i="14"/>
  <c r="W11" i="14"/>
  <c r="W12" i="14"/>
  <c r="W13" i="14"/>
  <c r="W14" i="14"/>
  <c r="W15" i="14"/>
  <c r="W16" i="14"/>
  <c r="W17" i="14"/>
  <c r="W18" i="14"/>
  <c r="W19" i="14"/>
  <c r="W20" i="14"/>
  <c r="W21" i="14"/>
  <c r="W22" i="14"/>
  <c r="W23" i="14"/>
  <c r="W24" i="14"/>
  <c r="W25" i="14"/>
  <c r="W26" i="14"/>
  <c r="W27" i="14"/>
  <c r="W28" i="14"/>
  <c r="W29" i="14"/>
  <c r="W30" i="14"/>
  <c r="W31" i="14"/>
  <c r="W32" i="14"/>
  <c r="W33" i="14"/>
  <c r="W34" i="14"/>
  <c r="W35" i="14"/>
  <c r="W36" i="14"/>
  <c r="W37" i="14"/>
  <c r="W38" i="14"/>
  <c r="W39" i="14"/>
  <c r="W40" i="14"/>
  <c r="W41" i="14"/>
  <c r="W42" i="14"/>
  <c r="W43" i="14"/>
  <c r="W44" i="14"/>
  <c r="W45" i="14"/>
  <c r="W7" i="14"/>
  <c r="X10" i="5"/>
  <c r="X14" i="5"/>
  <c r="X19" i="5"/>
  <c r="X26" i="5"/>
  <c r="X36" i="5"/>
  <c r="X44" i="5"/>
  <c r="X40" i="5"/>
  <c r="X46" i="5"/>
  <c r="X47" i="5"/>
  <c r="X45" i="5"/>
  <c r="X42" i="5"/>
  <c r="X43" i="5"/>
  <c r="X41" i="5"/>
  <c r="X38" i="5"/>
  <c r="X39" i="5"/>
  <c r="X37" i="5"/>
  <c r="X28" i="5"/>
  <c r="X29" i="5"/>
  <c r="X30" i="5"/>
  <c r="X31" i="5"/>
  <c r="X32" i="5"/>
  <c r="X33" i="5"/>
  <c r="X34" i="5"/>
  <c r="X35" i="5"/>
  <c r="X27" i="5"/>
  <c r="X21" i="5"/>
  <c r="X22" i="5"/>
  <c r="X23" i="5"/>
  <c r="X24" i="5"/>
  <c r="X25" i="5"/>
  <c r="X20" i="5"/>
  <c r="X16" i="5"/>
  <c r="X17" i="5"/>
  <c r="X18" i="5"/>
  <c r="X15" i="5"/>
  <c r="X12" i="5"/>
  <c r="X13" i="5"/>
  <c r="X11" i="5"/>
  <c r="X48" i="5"/>
  <c r="O7" i="14" a="1"/>
  <c r="O7" i="14" s="1"/>
  <c r="T41" i="5"/>
  <c r="T40" i="5" s="1"/>
  <c r="AC28" i="5" s="1"/>
  <c r="AC29" i="5"/>
  <c r="AC27" i="5"/>
  <c r="T27" i="5"/>
  <c r="AC26" i="5"/>
  <c r="T26" i="5"/>
  <c r="AC25" i="5"/>
  <c r="AC24" i="5"/>
  <c r="T13" i="5"/>
  <c r="T10" i="5" s="1"/>
  <c r="T12" i="5"/>
  <c r="T48" i="5" l="1"/>
  <c r="AC23" i="5"/>
  <c r="I48" i="2" l="1"/>
  <c r="J48" i="2" s="1"/>
  <c r="G48" i="2"/>
  <c r="E48" i="2"/>
  <c r="I47" i="2"/>
  <c r="J47" i="2" s="1"/>
  <c r="G47" i="2"/>
  <c r="E47" i="2"/>
  <c r="I46" i="2"/>
  <c r="J46" i="2" s="1"/>
  <c r="G46" i="2"/>
  <c r="E46" i="2"/>
  <c r="I45" i="2"/>
  <c r="F45" i="2"/>
  <c r="G45" i="2" s="1"/>
  <c r="E45" i="2"/>
  <c r="D45" i="2"/>
  <c r="I44" i="2"/>
  <c r="J44" i="2" s="1"/>
  <c r="G44" i="2"/>
  <c r="E44" i="2"/>
  <c r="I43" i="2"/>
  <c r="J43" i="2" s="1"/>
  <c r="G43" i="2"/>
  <c r="E43" i="2"/>
  <c r="I42" i="2"/>
  <c r="J42" i="2" s="1"/>
  <c r="J41" i="2" s="1"/>
  <c r="G42" i="2"/>
  <c r="E42" i="2"/>
  <c r="E41" i="2" s="1"/>
  <c r="I41" i="2"/>
  <c r="F41" i="2"/>
  <c r="G41" i="2" s="1"/>
  <c r="D41" i="2"/>
  <c r="I40" i="2"/>
  <c r="J40" i="2" s="1"/>
  <c r="G40" i="2"/>
  <c r="E40" i="2"/>
  <c r="I39" i="2"/>
  <c r="J39" i="2" s="1"/>
  <c r="G39" i="2"/>
  <c r="E39" i="2"/>
  <c r="I38" i="2"/>
  <c r="J38" i="2" s="1"/>
  <c r="J37" i="2" s="1"/>
  <c r="G38" i="2"/>
  <c r="E38" i="2"/>
  <c r="I37" i="2"/>
  <c r="F37" i="2"/>
  <c r="G37" i="2" s="1"/>
  <c r="E37" i="2"/>
  <c r="D37" i="2"/>
  <c r="I36" i="2"/>
  <c r="J36" i="2" s="1"/>
  <c r="G36" i="2"/>
  <c r="E36" i="2"/>
  <c r="I35" i="2"/>
  <c r="J35" i="2" s="1"/>
  <c r="G35" i="2"/>
  <c r="E35" i="2"/>
  <c r="I34" i="2"/>
  <c r="J34" i="2" s="1"/>
  <c r="G34" i="2"/>
  <c r="E34" i="2"/>
  <c r="I33" i="2"/>
  <c r="J33" i="2" s="1"/>
  <c r="G33" i="2"/>
  <c r="E33" i="2"/>
  <c r="I32" i="2"/>
  <c r="J32" i="2" s="1"/>
  <c r="G32" i="2"/>
  <c r="E32" i="2"/>
  <c r="I31" i="2"/>
  <c r="J31" i="2" s="1"/>
  <c r="G31" i="2"/>
  <c r="E31" i="2"/>
  <c r="I30" i="2"/>
  <c r="J30" i="2" s="1"/>
  <c r="G30" i="2"/>
  <c r="E30" i="2"/>
  <c r="I29" i="2"/>
  <c r="J29" i="2" s="1"/>
  <c r="G29" i="2"/>
  <c r="E29" i="2"/>
  <c r="I28" i="2"/>
  <c r="J28" i="2" s="1"/>
  <c r="G28" i="2"/>
  <c r="E28" i="2"/>
  <c r="E27" i="2" s="1"/>
  <c r="I27" i="2"/>
  <c r="F27" i="2"/>
  <c r="G27" i="2" s="1"/>
  <c r="D27" i="2"/>
  <c r="I26" i="2"/>
  <c r="J26" i="2" s="1"/>
  <c r="G26" i="2"/>
  <c r="E26" i="2"/>
  <c r="I25" i="2"/>
  <c r="J25" i="2" s="1"/>
  <c r="G25" i="2"/>
  <c r="E25" i="2"/>
  <c r="I24" i="2"/>
  <c r="J24" i="2" s="1"/>
  <c r="G24" i="2"/>
  <c r="E24" i="2"/>
  <c r="I23" i="2"/>
  <c r="J23" i="2" s="1"/>
  <c r="G23" i="2"/>
  <c r="E23" i="2"/>
  <c r="I22" i="2"/>
  <c r="J22" i="2" s="1"/>
  <c r="G22" i="2"/>
  <c r="E22" i="2"/>
  <c r="I21" i="2"/>
  <c r="J21" i="2" s="1"/>
  <c r="J20" i="2" s="1"/>
  <c r="G21" i="2"/>
  <c r="E21" i="2"/>
  <c r="G20" i="2"/>
  <c r="F20" i="2"/>
  <c r="E20" i="2"/>
  <c r="D20" i="2"/>
  <c r="J19" i="2"/>
  <c r="I19" i="2"/>
  <c r="G19" i="2"/>
  <c r="E19" i="2"/>
  <c r="J18" i="2"/>
  <c r="I18" i="2"/>
  <c r="G18" i="2"/>
  <c r="E18" i="2"/>
  <c r="J17" i="2"/>
  <c r="I17" i="2"/>
  <c r="G17" i="2"/>
  <c r="E17" i="2"/>
  <c r="J16" i="2"/>
  <c r="I16" i="2"/>
  <c r="G16" i="2"/>
  <c r="E16" i="2"/>
  <c r="E15" i="2" s="1"/>
  <c r="J15" i="2"/>
  <c r="I15" i="2"/>
  <c r="F15" i="2"/>
  <c r="G15" i="2" s="1"/>
  <c r="D15" i="2"/>
  <c r="I14" i="2"/>
  <c r="J14" i="2" s="1"/>
  <c r="G14" i="2"/>
  <c r="E14" i="2"/>
  <c r="I13" i="2"/>
  <c r="J13" i="2" s="1"/>
  <c r="G13" i="2"/>
  <c r="E13" i="2"/>
  <c r="I12" i="2"/>
  <c r="J12" i="2" s="1"/>
  <c r="G12" i="2"/>
  <c r="E12" i="2"/>
  <c r="I11" i="2"/>
  <c r="G11" i="2"/>
  <c r="F11" i="2"/>
  <c r="E11" i="2"/>
  <c r="E49" i="2" s="1"/>
  <c r="D11" i="2"/>
  <c r="D49" i="2" s="1"/>
  <c r="J27" i="2" l="1"/>
  <c r="J45" i="2"/>
  <c r="J11" i="2"/>
  <c r="J49" i="2" s="1"/>
  <c r="G49" i="2"/>
  <c r="F49" i="2"/>
  <c r="I20" i="2"/>
  <c r="I49" i="2" s="1"/>
  <c r="AA44" i="1" l="1"/>
  <c r="AA40" i="1"/>
  <c r="AA36" i="1"/>
  <c r="AB21" i="1"/>
  <c r="AB22" i="1"/>
  <c r="AB25" i="1"/>
  <c r="AB20" i="1"/>
  <c r="AB18" i="1"/>
  <c r="AB15" i="1"/>
  <c r="AA10" i="1"/>
  <c r="AB47" i="1"/>
  <c r="Y47" i="1"/>
  <c r="W47" i="1"/>
  <c r="AB46" i="1"/>
  <c r="Y46" i="1"/>
  <c r="W46" i="1"/>
  <c r="Y45" i="1"/>
  <c r="W45" i="1"/>
  <c r="X44" i="1"/>
  <c r="Y44" i="1" s="1"/>
  <c r="W44" i="1"/>
  <c r="V44" i="1"/>
  <c r="AB43" i="1"/>
  <c r="Y43" i="1"/>
  <c r="W43" i="1"/>
  <c r="Y42" i="1"/>
  <c r="W42" i="1"/>
  <c r="AB41" i="1"/>
  <c r="Y41" i="1"/>
  <c r="W41" i="1"/>
  <c r="W40" i="1" s="1"/>
  <c r="X40" i="1"/>
  <c r="Y40" i="1" s="1"/>
  <c r="V40" i="1"/>
  <c r="AB39" i="1"/>
  <c r="Y39" i="1"/>
  <c r="W39" i="1"/>
  <c r="AB38" i="1"/>
  <c r="Y38" i="1"/>
  <c r="W38" i="1"/>
  <c r="AB37" i="1"/>
  <c r="Y37" i="1"/>
  <c r="W37" i="1"/>
  <c r="X36" i="1"/>
  <c r="Y36" i="1" s="1"/>
  <c r="W36" i="1"/>
  <c r="V36" i="1"/>
  <c r="AB35" i="1"/>
  <c r="Y35" i="1"/>
  <c r="W35" i="1"/>
  <c r="AB34" i="1"/>
  <c r="Y34" i="1"/>
  <c r="W34" i="1"/>
  <c r="AB33" i="1"/>
  <c r="Y33" i="1"/>
  <c r="W33" i="1"/>
  <c r="AB32" i="1"/>
  <c r="Y32" i="1"/>
  <c r="W32" i="1"/>
  <c r="AB31" i="1"/>
  <c r="Y31" i="1"/>
  <c r="W31" i="1"/>
  <c r="AB30" i="1"/>
  <c r="Y30" i="1"/>
  <c r="W30" i="1"/>
  <c r="AB29" i="1"/>
  <c r="Y29" i="1"/>
  <c r="W29" i="1"/>
  <c r="AB28" i="1"/>
  <c r="Y28" i="1"/>
  <c r="W28" i="1"/>
  <c r="AB27" i="1"/>
  <c r="Y27" i="1"/>
  <c r="W27" i="1"/>
  <c r="W26" i="1" s="1"/>
  <c r="X26" i="1"/>
  <c r="Y26" i="1" s="1"/>
  <c r="V26" i="1"/>
  <c r="Y25" i="1"/>
  <c r="W25" i="1"/>
  <c r="AB24" i="1"/>
  <c r="Y24" i="1"/>
  <c r="W24" i="1"/>
  <c r="AB23" i="1"/>
  <c r="Y23" i="1"/>
  <c r="W23" i="1"/>
  <c r="Y22" i="1"/>
  <c r="W22" i="1"/>
  <c r="Y21" i="1"/>
  <c r="W21" i="1"/>
  <c r="Y20" i="1"/>
  <c r="W20" i="1"/>
  <c r="X19" i="1"/>
  <c r="Y19" i="1" s="1"/>
  <c r="W19" i="1"/>
  <c r="V19" i="1"/>
  <c r="Y18" i="1"/>
  <c r="W18" i="1"/>
  <c r="AB17" i="1"/>
  <c r="Y17" i="1"/>
  <c r="W17" i="1"/>
  <c r="AB16" i="1"/>
  <c r="Y16" i="1"/>
  <c r="W16" i="1"/>
  <c r="Y15" i="1"/>
  <c r="W15" i="1"/>
  <c r="W14" i="1" s="1"/>
  <c r="X14" i="1"/>
  <c r="Y14" i="1" s="1"/>
  <c r="V14" i="1"/>
  <c r="AB13" i="1"/>
  <c r="Y13" i="1"/>
  <c r="W13" i="1"/>
  <c r="AB12" i="1"/>
  <c r="Y12" i="1"/>
  <c r="W12" i="1"/>
  <c r="Y11" i="1"/>
  <c r="W11" i="1"/>
  <c r="X10" i="1"/>
  <c r="Y10" i="1" s="1"/>
  <c r="W10" i="1"/>
  <c r="V10" i="1"/>
  <c r="V48" i="1" s="1"/>
  <c r="AB11" i="1" l="1"/>
  <c r="AA19" i="1"/>
  <c r="AB42" i="1"/>
  <c r="AB40" i="1" s="1"/>
  <c r="AA26" i="1"/>
  <c r="AB14" i="1"/>
  <c r="AB36" i="1"/>
  <c r="Y48" i="1"/>
  <c r="AB10" i="1"/>
  <c r="AB26" i="1"/>
  <c r="W48" i="1"/>
  <c r="AB19" i="1"/>
  <c r="X48" i="1"/>
  <c r="AB45" i="1"/>
  <c r="AB44" i="1" s="1"/>
  <c r="AA14" i="1"/>
  <c r="H94" i="13"/>
  <c r="I94" i="13" s="1"/>
  <c r="F94" i="13"/>
  <c r="D94" i="13"/>
  <c r="H93" i="13"/>
  <c r="I93" i="13" s="1"/>
  <c r="F93" i="13"/>
  <c r="D93" i="13"/>
  <c r="H92" i="13"/>
  <c r="I92" i="13" s="1"/>
  <c r="F92" i="13"/>
  <c r="D92" i="13"/>
  <c r="H91" i="13"/>
  <c r="E91" i="13"/>
  <c r="F91" i="13" s="1"/>
  <c r="D91" i="13"/>
  <c r="C91" i="13"/>
  <c r="H90" i="13"/>
  <c r="I90" i="13" s="1"/>
  <c r="F90" i="13"/>
  <c r="D90" i="13"/>
  <c r="H89" i="13"/>
  <c r="I89" i="13" s="1"/>
  <c r="F89" i="13"/>
  <c r="D89" i="13"/>
  <c r="H88" i="13"/>
  <c r="I88" i="13" s="1"/>
  <c r="I87" i="13" s="1"/>
  <c r="F88" i="13"/>
  <c r="D88" i="13"/>
  <c r="D87" i="13" s="1"/>
  <c r="H87" i="13"/>
  <c r="E87" i="13"/>
  <c r="F87" i="13" s="1"/>
  <c r="C87" i="13"/>
  <c r="H86" i="13"/>
  <c r="I86" i="13" s="1"/>
  <c r="F86" i="13"/>
  <c r="D86" i="13"/>
  <c r="H85" i="13"/>
  <c r="I85" i="13" s="1"/>
  <c r="F85" i="13"/>
  <c r="D85" i="13"/>
  <c r="H84" i="13"/>
  <c r="I84" i="13" s="1"/>
  <c r="I83" i="13" s="1"/>
  <c r="F84" i="13"/>
  <c r="D84" i="13"/>
  <c r="H83" i="13"/>
  <c r="E83" i="13"/>
  <c r="F83" i="13" s="1"/>
  <c r="D83" i="13"/>
  <c r="C83" i="13"/>
  <c r="H82" i="13"/>
  <c r="I82" i="13" s="1"/>
  <c r="F82" i="13"/>
  <c r="D82" i="13"/>
  <c r="H81" i="13"/>
  <c r="I81" i="13" s="1"/>
  <c r="F81" i="13"/>
  <c r="D81" i="13"/>
  <c r="H80" i="13"/>
  <c r="I80" i="13" s="1"/>
  <c r="F80" i="13"/>
  <c r="D80" i="13"/>
  <c r="H79" i="13"/>
  <c r="I79" i="13" s="1"/>
  <c r="F79" i="13"/>
  <c r="D79" i="13"/>
  <c r="H78" i="13"/>
  <c r="I78" i="13" s="1"/>
  <c r="F78" i="13"/>
  <c r="D78" i="13"/>
  <c r="H77" i="13"/>
  <c r="I77" i="13" s="1"/>
  <c r="F77" i="13"/>
  <c r="D77" i="13"/>
  <c r="H76" i="13"/>
  <c r="I76" i="13" s="1"/>
  <c r="F76" i="13"/>
  <c r="D76" i="13"/>
  <c r="H75" i="13"/>
  <c r="I75" i="13" s="1"/>
  <c r="F75" i="13"/>
  <c r="D75" i="13"/>
  <c r="H74" i="13"/>
  <c r="I74" i="13" s="1"/>
  <c r="F74" i="13"/>
  <c r="D74" i="13"/>
  <c r="D73" i="13" s="1"/>
  <c r="H73" i="13"/>
  <c r="E73" i="13"/>
  <c r="F73" i="13" s="1"/>
  <c r="C73" i="13"/>
  <c r="H72" i="13"/>
  <c r="I72" i="13" s="1"/>
  <c r="F72" i="13"/>
  <c r="D72" i="13"/>
  <c r="H71" i="13"/>
  <c r="I71" i="13" s="1"/>
  <c r="F71" i="13"/>
  <c r="D71" i="13"/>
  <c r="H70" i="13"/>
  <c r="I70" i="13" s="1"/>
  <c r="F70" i="13"/>
  <c r="D70" i="13"/>
  <c r="H69" i="13"/>
  <c r="I69" i="13" s="1"/>
  <c r="F69" i="13"/>
  <c r="D69" i="13"/>
  <c r="H68" i="13"/>
  <c r="I68" i="13" s="1"/>
  <c r="F68" i="13"/>
  <c r="D68" i="13"/>
  <c r="H67" i="13"/>
  <c r="I67" i="13" s="1"/>
  <c r="I66" i="13" s="1"/>
  <c r="F67" i="13"/>
  <c r="D67" i="13"/>
  <c r="H66" i="13"/>
  <c r="E66" i="13"/>
  <c r="F66" i="13" s="1"/>
  <c r="D66" i="13"/>
  <c r="C66" i="13"/>
  <c r="H65" i="13"/>
  <c r="I65" i="13" s="1"/>
  <c r="F65" i="13"/>
  <c r="D65" i="13"/>
  <c r="H64" i="13"/>
  <c r="I64" i="13" s="1"/>
  <c r="F64" i="13"/>
  <c r="D64" i="13"/>
  <c r="H63" i="13"/>
  <c r="I63" i="13" s="1"/>
  <c r="F63" i="13"/>
  <c r="D63" i="13"/>
  <c r="H62" i="13"/>
  <c r="I62" i="13" s="1"/>
  <c r="I61" i="13" s="1"/>
  <c r="F62" i="13"/>
  <c r="D62" i="13"/>
  <c r="D61" i="13" s="1"/>
  <c r="H61" i="13"/>
  <c r="E61" i="13"/>
  <c r="E95" i="13" s="1"/>
  <c r="C61" i="13"/>
  <c r="H60" i="13"/>
  <c r="I60" i="13" s="1"/>
  <c r="F60" i="13"/>
  <c r="D60" i="13"/>
  <c r="H59" i="13"/>
  <c r="I59" i="13" s="1"/>
  <c r="F59" i="13"/>
  <c r="D59" i="13"/>
  <c r="H58" i="13"/>
  <c r="H57" i="13" s="1"/>
  <c r="H95" i="13" s="1"/>
  <c r="F58" i="13"/>
  <c r="D58" i="13"/>
  <c r="E57" i="13"/>
  <c r="F57" i="13" s="1"/>
  <c r="D57" i="13"/>
  <c r="D95" i="13" s="1"/>
  <c r="C57" i="13"/>
  <c r="C95" i="13" s="1"/>
  <c r="AA48" i="1" l="1"/>
  <c r="AB48" i="1"/>
  <c r="I73" i="13"/>
  <c r="I91" i="13"/>
  <c r="I58" i="13"/>
  <c r="I57" i="13" s="1"/>
  <c r="I95" i="13" s="1"/>
  <c r="F61" i="13"/>
  <c r="F95" i="13" s="1"/>
  <c r="S51" i="20" l="1"/>
  <c r="O51" i="20"/>
  <c r="K51" i="20"/>
  <c r="G51" i="20"/>
  <c r="F51" i="20"/>
  <c r="R50" i="20"/>
  <c r="N50" i="20"/>
  <c r="J50" i="20"/>
  <c r="F50" i="20"/>
  <c r="Q49" i="20"/>
  <c r="M49" i="20"/>
  <c r="I49" i="20"/>
  <c r="F49" i="20"/>
  <c r="P48" i="20"/>
  <c r="L48" i="20"/>
  <c r="H48" i="20"/>
  <c r="F48" i="20"/>
  <c r="O47" i="20"/>
  <c r="K47" i="20"/>
  <c r="G47" i="20"/>
  <c r="F47" i="20"/>
  <c r="R46" i="20"/>
  <c r="N46" i="20"/>
  <c r="J46" i="20"/>
  <c r="F46" i="20"/>
  <c r="Q45" i="20"/>
  <c r="M45" i="20"/>
  <c r="I45" i="20"/>
  <c r="F45" i="20"/>
  <c r="R44" i="20"/>
  <c r="Q44" i="20"/>
  <c r="P44" i="20"/>
  <c r="O44" i="20"/>
  <c r="N44" i="20"/>
  <c r="M44" i="20"/>
  <c r="L44" i="20"/>
  <c r="K44" i="20"/>
  <c r="J44" i="20"/>
  <c r="I44" i="20"/>
  <c r="H44" i="20"/>
  <c r="G44" i="20"/>
  <c r="R43" i="20"/>
  <c r="Q43" i="20"/>
  <c r="P43" i="20"/>
  <c r="O43" i="20"/>
  <c r="N43" i="20"/>
  <c r="M43" i="20"/>
  <c r="L43" i="20"/>
  <c r="K43" i="20"/>
  <c r="J43" i="20"/>
  <c r="I43" i="20"/>
  <c r="H43" i="20"/>
  <c r="G43" i="20"/>
  <c r="S40" i="20"/>
  <c r="S39" i="20"/>
  <c r="S38" i="20"/>
  <c r="S37" i="20"/>
  <c r="R37" i="20"/>
  <c r="R51" i="20" s="1"/>
  <c r="Q37" i="20"/>
  <c r="Q51" i="20" s="1"/>
  <c r="P37" i="20"/>
  <c r="P51" i="20" s="1"/>
  <c r="O37" i="20"/>
  <c r="N37" i="20"/>
  <c r="N51" i="20" s="1"/>
  <c r="M37" i="20"/>
  <c r="M51" i="20" s="1"/>
  <c r="L37" i="20"/>
  <c r="L51" i="20" s="1"/>
  <c r="K37" i="20"/>
  <c r="J37" i="20"/>
  <c r="J51" i="20" s="1"/>
  <c r="I37" i="20"/>
  <c r="I51" i="20" s="1"/>
  <c r="H37" i="20"/>
  <c r="H51" i="20" s="1"/>
  <c r="G37" i="20"/>
  <c r="S36" i="20"/>
  <c r="S35" i="20"/>
  <c r="S34" i="20"/>
  <c r="S33" i="20" s="1"/>
  <c r="R33" i="20"/>
  <c r="Q33" i="20"/>
  <c r="Q50" i="20" s="1"/>
  <c r="P33" i="20"/>
  <c r="P50" i="20" s="1"/>
  <c r="O33" i="20"/>
  <c r="O50" i="20" s="1"/>
  <c r="N33" i="20"/>
  <c r="M33" i="20"/>
  <c r="M50" i="20" s="1"/>
  <c r="L33" i="20"/>
  <c r="L50" i="20" s="1"/>
  <c r="K33" i="20"/>
  <c r="K50" i="20" s="1"/>
  <c r="J33" i="20"/>
  <c r="I33" i="20"/>
  <c r="I50" i="20" s="1"/>
  <c r="H33" i="20"/>
  <c r="H50" i="20" s="1"/>
  <c r="G33" i="20"/>
  <c r="G50" i="20" s="1"/>
  <c r="S32" i="20"/>
  <c r="S31" i="20"/>
  <c r="S29" i="20" s="1"/>
  <c r="S30" i="20"/>
  <c r="R29" i="20"/>
  <c r="R49" i="20" s="1"/>
  <c r="Q29" i="20"/>
  <c r="P29" i="20"/>
  <c r="P49" i="20" s="1"/>
  <c r="O29" i="20"/>
  <c r="O49" i="20" s="1"/>
  <c r="N29" i="20"/>
  <c r="N49" i="20" s="1"/>
  <c r="M29" i="20"/>
  <c r="L29" i="20"/>
  <c r="L49" i="20" s="1"/>
  <c r="K29" i="20"/>
  <c r="K49" i="20" s="1"/>
  <c r="J29" i="20"/>
  <c r="J49" i="20" s="1"/>
  <c r="I29" i="20"/>
  <c r="H29" i="20"/>
  <c r="H49" i="20" s="1"/>
  <c r="G29" i="20"/>
  <c r="G49" i="20" s="1"/>
  <c r="S28" i="20"/>
  <c r="S27" i="20"/>
  <c r="S26" i="20"/>
  <c r="S25" i="20"/>
  <c r="S24" i="20"/>
  <c r="S23" i="20"/>
  <c r="S22" i="20"/>
  <c r="S21" i="20"/>
  <c r="S20" i="20"/>
  <c r="S19" i="20" s="1"/>
  <c r="R19" i="20"/>
  <c r="R48" i="20" s="1"/>
  <c r="Q19" i="20"/>
  <c r="Q48" i="20" s="1"/>
  <c r="P19" i="20"/>
  <c r="O19" i="20"/>
  <c r="O48" i="20" s="1"/>
  <c r="N19" i="20"/>
  <c r="N48" i="20" s="1"/>
  <c r="M19" i="20"/>
  <c r="M48" i="20" s="1"/>
  <c r="L19" i="20"/>
  <c r="K19" i="20"/>
  <c r="K48" i="20" s="1"/>
  <c r="J19" i="20"/>
  <c r="J48" i="20" s="1"/>
  <c r="I19" i="20"/>
  <c r="I48" i="20" s="1"/>
  <c r="H19" i="20"/>
  <c r="G19" i="20"/>
  <c r="G48" i="20" s="1"/>
  <c r="S18" i="20"/>
  <c r="S17" i="20"/>
  <c r="S16" i="20"/>
  <c r="S15" i="20"/>
  <c r="S14" i="20"/>
  <c r="S13" i="20"/>
  <c r="S12" i="20" s="1"/>
  <c r="R12" i="20"/>
  <c r="R47" i="20" s="1"/>
  <c r="Q12" i="20"/>
  <c r="Q47" i="20" s="1"/>
  <c r="P12" i="20"/>
  <c r="P47" i="20" s="1"/>
  <c r="O12" i="20"/>
  <c r="N12" i="20"/>
  <c r="N47" i="20" s="1"/>
  <c r="M12" i="20"/>
  <c r="M47" i="20" s="1"/>
  <c r="L12" i="20"/>
  <c r="L47" i="20" s="1"/>
  <c r="K12" i="20"/>
  <c r="J12" i="20"/>
  <c r="J47" i="20" s="1"/>
  <c r="I12" i="20"/>
  <c r="I47" i="20" s="1"/>
  <c r="H12" i="20"/>
  <c r="H47" i="20" s="1"/>
  <c r="G12" i="20"/>
  <c r="S11" i="20"/>
  <c r="S10" i="20"/>
  <c r="S9" i="20"/>
  <c r="S8" i="20"/>
  <c r="S7" i="20"/>
  <c r="R7" i="20"/>
  <c r="Q7" i="20"/>
  <c r="Q46" i="20" s="1"/>
  <c r="P7" i="20"/>
  <c r="P46" i="20" s="1"/>
  <c r="O7" i="20"/>
  <c r="O41" i="20" s="1"/>
  <c r="O52" i="20" s="1"/>
  <c r="N7" i="20"/>
  <c r="M7" i="20"/>
  <c r="M46" i="20" s="1"/>
  <c r="L7" i="20"/>
  <c r="L46" i="20" s="1"/>
  <c r="K7" i="20"/>
  <c r="K41" i="20" s="1"/>
  <c r="K52" i="20" s="1"/>
  <c r="J7" i="20"/>
  <c r="I7" i="20"/>
  <c r="I46" i="20" s="1"/>
  <c r="H7" i="20"/>
  <c r="H46" i="20" s="1"/>
  <c r="G7" i="20"/>
  <c r="G41" i="20" s="1"/>
  <c r="S6" i="20"/>
  <c r="S5" i="20"/>
  <c r="S4" i="20"/>
  <c r="R3" i="20"/>
  <c r="R41" i="20" s="1"/>
  <c r="R52" i="20" s="1"/>
  <c r="Q3" i="20"/>
  <c r="Q41" i="20" s="1"/>
  <c r="Q52" i="20" s="1"/>
  <c r="P3" i="20"/>
  <c r="P45" i="20" s="1"/>
  <c r="O3" i="20"/>
  <c r="O45" i="20" s="1"/>
  <c r="N3" i="20"/>
  <c r="N41" i="20" s="1"/>
  <c r="N52" i="20" s="1"/>
  <c r="M3" i="20"/>
  <c r="M41" i="20" s="1"/>
  <c r="M52" i="20" s="1"/>
  <c r="L3" i="20"/>
  <c r="L45" i="20" s="1"/>
  <c r="K3" i="20"/>
  <c r="K45" i="20" s="1"/>
  <c r="J3" i="20"/>
  <c r="J41" i="20" s="1"/>
  <c r="J52" i="20" s="1"/>
  <c r="I3" i="20"/>
  <c r="I41" i="20" s="1"/>
  <c r="I52" i="20" s="1"/>
  <c r="H3" i="20"/>
  <c r="H45" i="20" s="1"/>
  <c r="G3" i="20"/>
  <c r="S3" i="20" s="1"/>
  <c r="D74" i="19"/>
  <c r="D72" i="19"/>
  <c r="L64" i="19"/>
  <c r="K64" i="19"/>
  <c r="L56" i="19"/>
  <c r="K56" i="19"/>
  <c r="K67" i="19" s="1"/>
  <c r="B73" i="19" s="1"/>
  <c r="L43" i="19"/>
  <c r="K43" i="19"/>
  <c r="I43" i="19"/>
  <c r="H43" i="19"/>
  <c r="I34" i="19"/>
  <c r="H34" i="19"/>
  <c r="L32" i="19"/>
  <c r="K32" i="19"/>
  <c r="I32" i="19"/>
  <c r="H32" i="19"/>
  <c r="I20" i="19"/>
  <c r="I36" i="19" s="1"/>
  <c r="H20" i="19"/>
  <c r="H36" i="19" s="1"/>
  <c r="K18" i="19"/>
  <c r="I18" i="19"/>
  <c r="H18" i="19"/>
  <c r="L17" i="19"/>
  <c r="L16" i="19"/>
  <c r="L15" i="19"/>
  <c r="L13" i="19"/>
  <c r="L12" i="19"/>
  <c r="L11" i="19"/>
  <c r="L18" i="19" s="1"/>
  <c r="S50" i="20" l="1"/>
  <c r="S47" i="20"/>
  <c r="S49" i="20"/>
  <c r="S48" i="20"/>
  <c r="G52" i="20"/>
  <c r="S45" i="20"/>
  <c r="H41" i="20"/>
  <c r="H52" i="20" s="1"/>
  <c r="L41" i="20"/>
  <c r="L52" i="20" s="1"/>
  <c r="P41" i="20"/>
  <c r="P52" i="20" s="1"/>
  <c r="J45" i="20"/>
  <c r="N45" i="20"/>
  <c r="R45" i="20"/>
  <c r="G46" i="20"/>
  <c r="K46" i="20"/>
  <c r="O46" i="20"/>
  <c r="S46" i="20"/>
  <c r="G45" i="20"/>
  <c r="L67" i="19"/>
  <c r="B71" i="19" s="1"/>
  <c r="B72" i="19" s="1"/>
  <c r="H46" i="5"/>
  <c r="I46" i="5" s="1"/>
  <c r="F46" i="5"/>
  <c r="D46" i="5"/>
  <c r="H45" i="5"/>
  <c r="I45" i="5" s="1"/>
  <c r="F45" i="5"/>
  <c r="D45" i="5"/>
  <c r="H44" i="5"/>
  <c r="I44" i="5" s="1"/>
  <c r="F44" i="5"/>
  <c r="D44" i="5"/>
  <c r="D43" i="5" s="1"/>
  <c r="H43" i="5"/>
  <c r="E43" i="5"/>
  <c r="F43" i="5" s="1"/>
  <c r="C43" i="5"/>
  <c r="H42" i="5"/>
  <c r="I42" i="5" s="1"/>
  <c r="F42" i="5"/>
  <c r="D42" i="5"/>
  <c r="H41" i="5"/>
  <c r="I41" i="5" s="1"/>
  <c r="F41" i="5"/>
  <c r="D41" i="5"/>
  <c r="H40" i="5"/>
  <c r="I40" i="5" s="1"/>
  <c r="F40" i="5"/>
  <c r="D40" i="5"/>
  <c r="D39" i="5" s="1"/>
  <c r="H39" i="5"/>
  <c r="E39" i="5"/>
  <c r="F39" i="5" s="1"/>
  <c r="C39" i="5"/>
  <c r="H38" i="5"/>
  <c r="I38" i="5" s="1"/>
  <c r="F38" i="5"/>
  <c r="D38" i="5"/>
  <c r="H37" i="5"/>
  <c r="I37" i="5" s="1"/>
  <c r="F37" i="5"/>
  <c r="D37" i="5"/>
  <c r="H36" i="5"/>
  <c r="I36" i="5" s="1"/>
  <c r="F36" i="5"/>
  <c r="D36" i="5"/>
  <c r="D35" i="5" s="1"/>
  <c r="F35" i="5"/>
  <c r="E35" i="5"/>
  <c r="C35" i="5"/>
  <c r="I34" i="5"/>
  <c r="H34" i="5"/>
  <c r="F34" i="5"/>
  <c r="D34" i="5"/>
  <c r="I33" i="5"/>
  <c r="H33" i="5"/>
  <c r="F33" i="5"/>
  <c r="D33" i="5"/>
  <c r="I32" i="5"/>
  <c r="H32" i="5"/>
  <c r="F32" i="5"/>
  <c r="D32" i="5"/>
  <c r="I31" i="5"/>
  <c r="H31" i="5"/>
  <c r="F31" i="5"/>
  <c r="D31" i="5"/>
  <c r="I30" i="5"/>
  <c r="H30" i="5"/>
  <c r="F30" i="5"/>
  <c r="D30" i="5"/>
  <c r="I29" i="5"/>
  <c r="H29" i="5"/>
  <c r="F29" i="5"/>
  <c r="D29" i="5"/>
  <c r="I28" i="5"/>
  <c r="H28" i="5"/>
  <c r="F28" i="5"/>
  <c r="D28" i="5"/>
  <c r="I27" i="5"/>
  <c r="H27" i="5"/>
  <c r="F27" i="5"/>
  <c r="D27" i="5"/>
  <c r="I26" i="5"/>
  <c r="H26" i="5"/>
  <c r="F26" i="5"/>
  <c r="D26" i="5"/>
  <c r="D25" i="5" s="1"/>
  <c r="I25" i="5"/>
  <c r="H25" i="5"/>
  <c r="E25" i="5"/>
  <c r="F25" i="5" s="1"/>
  <c r="C25" i="5"/>
  <c r="H24" i="5"/>
  <c r="I24" i="5" s="1"/>
  <c r="F24" i="5"/>
  <c r="D24" i="5"/>
  <c r="H23" i="5"/>
  <c r="I23" i="5" s="1"/>
  <c r="F23" i="5"/>
  <c r="D23" i="5"/>
  <c r="H22" i="5"/>
  <c r="I22" i="5" s="1"/>
  <c r="F22" i="5"/>
  <c r="D22" i="5"/>
  <c r="H21" i="5"/>
  <c r="I21" i="5" s="1"/>
  <c r="F21" i="5"/>
  <c r="D21" i="5"/>
  <c r="H20" i="5"/>
  <c r="I20" i="5" s="1"/>
  <c r="F20" i="5"/>
  <c r="D20" i="5"/>
  <c r="H19" i="5"/>
  <c r="I19" i="5" s="1"/>
  <c r="I18" i="5" s="1"/>
  <c r="F19" i="5"/>
  <c r="D19" i="5"/>
  <c r="D18" i="5" s="1"/>
  <c r="F18" i="5"/>
  <c r="E18" i="5"/>
  <c r="C18" i="5"/>
  <c r="I17" i="5"/>
  <c r="H17" i="5"/>
  <c r="F17" i="5"/>
  <c r="D17" i="5"/>
  <c r="I16" i="5"/>
  <c r="H16" i="5"/>
  <c r="F16" i="5"/>
  <c r="D16" i="5"/>
  <c r="I15" i="5"/>
  <c r="H15" i="5"/>
  <c r="F15" i="5"/>
  <c r="D15" i="5"/>
  <c r="I14" i="5"/>
  <c r="H14" i="5"/>
  <c r="F14" i="5"/>
  <c r="D14" i="5"/>
  <c r="D13" i="5" s="1"/>
  <c r="I13" i="5"/>
  <c r="H13" i="5"/>
  <c r="E13" i="5"/>
  <c r="F13" i="5" s="1"/>
  <c r="C13" i="5"/>
  <c r="H12" i="5"/>
  <c r="I12" i="5" s="1"/>
  <c r="F12" i="5"/>
  <c r="D12" i="5"/>
  <c r="H11" i="5"/>
  <c r="I11" i="5" s="1"/>
  <c r="F11" i="5"/>
  <c r="D11" i="5"/>
  <c r="H10" i="5"/>
  <c r="H9" i="5" s="1"/>
  <c r="F10" i="5"/>
  <c r="D10" i="5"/>
  <c r="D9" i="5" s="1"/>
  <c r="F9" i="5"/>
  <c r="E9" i="5"/>
  <c r="C9" i="5"/>
  <c r="C47" i="5" s="1"/>
  <c r="S41" i="20" l="1"/>
  <c r="F47" i="5"/>
  <c r="I35" i="5"/>
  <c r="I39" i="5"/>
  <c r="I43" i="5"/>
  <c r="D47" i="5"/>
  <c r="H18" i="5"/>
  <c r="H47" i="5" s="1"/>
  <c r="H35" i="5"/>
  <c r="E47" i="5"/>
  <c r="I10" i="5"/>
  <c r="I9" i="5" s="1"/>
  <c r="I47" i="5" s="1"/>
  <c r="S52" i="20" l="1"/>
  <c r="T37" i="20"/>
  <c r="T33" i="20"/>
  <c r="T3" i="20"/>
  <c r="T2" i="20" s="1"/>
  <c r="T19" i="20"/>
  <c r="T29" i="20"/>
  <c r="T12" i="20"/>
  <c r="T7" i="20"/>
  <c r="H46" i="6"/>
  <c r="H47" i="6"/>
  <c r="I47" i="6" s="1"/>
  <c r="H45" i="6"/>
  <c r="H44" i="6" s="1"/>
  <c r="H42" i="6"/>
  <c r="H43" i="6"/>
  <c r="H41" i="6"/>
  <c r="H40" i="6" s="1"/>
  <c r="H38" i="6"/>
  <c r="H39" i="6"/>
  <c r="H37" i="6"/>
  <c r="I37" i="6" s="1"/>
  <c r="H28" i="6"/>
  <c r="I28" i="6" s="1"/>
  <c r="H29" i="6"/>
  <c r="I29" i="6" s="1"/>
  <c r="H30" i="6"/>
  <c r="H31" i="6"/>
  <c r="H32" i="6"/>
  <c r="I32" i="6" s="1"/>
  <c r="H33" i="6"/>
  <c r="I33" i="6" s="1"/>
  <c r="H34" i="6"/>
  <c r="H35" i="6"/>
  <c r="H27" i="6"/>
  <c r="I27" i="6" s="1"/>
  <c r="H21" i="6"/>
  <c r="I21" i="6" s="1"/>
  <c r="H22" i="6"/>
  <c r="H23" i="6"/>
  <c r="H24" i="6"/>
  <c r="I24" i="6" s="1"/>
  <c r="H25" i="6"/>
  <c r="I25" i="6" s="1"/>
  <c r="H20" i="6"/>
  <c r="H16" i="6"/>
  <c r="H17" i="6"/>
  <c r="I17" i="6" s="1"/>
  <c r="H18" i="6"/>
  <c r="I18" i="6" s="1"/>
  <c r="H15" i="6"/>
  <c r="I15" i="6" s="1"/>
  <c r="H11" i="6"/>
  <c r="I11" i="6" s="1"/>
  <c r="H12" i="6"/>
  <c r="H13" i="6"/>
  <c r="F47" i="6"/>
  <c r="D47" i="6"/>
  <c r="I46" i="6"/>
  <c r="F46" i="6"/>
  <c r="D46" i="6"/>
  <c r="I45" i="6"/>
  <c r="F45" i="6"/>
  <c r="D45" i="6"/>
  <c r="F44" i="6"/>
  <c r="E44" i="6"/>
  <c r="D44" i="6"/>
  <c r="C44" i="6"/>
  <c r="I43" i="6"/>
  <c r="F43" i="6"/>
  <c r="D43" i="6"/>
  <c r="I42" i="6"/>
  <c r="F42" i="6"/>
  <c r="D42" i="6"/>
  <c r="F41" i="6"/>
  <c r="D41" i="6"/>
  <c r="E40" i="6"/>
  <c r="F40" i="6" s="1"/>
  <c r="D40" i="6"/>
  <c r="C40" i="6"/>
  <c r="I39" i="6"/>
  <c r="F39" i="6"/>
  <c r="D39" i="6"/>
  <c r="I38" i="6"/>
  <c r="F38" i="6"/>
  <c r="D38" i="6"/>
  <c r="F37" i="6"/>
  <c r="D37" i="6"/>
  <c r="F36" i="6"/>
  <c r="E36" i="6"/>
  <c r="D36" i="6"/>
  <c r="C36" i="6"/>
  <c r="I35" i="6"/>
  <c r="F35" i="6"/>
  <c r="D35" i="6"/>
  <c r="I34" i="6"/>
  <c r="F34" i="6"/>
  <c r="D34" i="6"/>
  <c r="F33" i="6"/>
  <c r="D33" i="6"/>
  <c r="F32" i="6"/>
  <c r="D32" i="6"/>
  <c r="I31" i="6"/>
  <c r="F31" i="6"/>
  <c r="D31" i="6"/>
  <c r="I30" i="6"/>
  <c r="F30" i="6"/>
  <c r="D30" i="6"/>
  <c r="F29" i="6"/>
  <c r="D29" i="6"/>
  <c r="F28" i="6"/>
  <c r="D28" i="6"/>
  <c r="F27" i="6"/>
  <c r="D27" i="6"/>
  <c r="E26" i="6"/>
  <c r="F26" i="6" s="1"/>
  <c r="D26" i="6"/>
  <c r="C26" i="6"/>
  <c r="F25" i="6"/>
  <c r="D25" i="6"/>
  <c r="F24" i="6"/>
  <c r="D24" i="6"/>
  <c r="I23" i="6"/>
  <c r="F23" i="6"/>
  <c r="D23" i="6"/>
  <c r="I22" i="6"/>
  <c r="F22" i="6"/>
  <c r="D22" i="6"/>
  <c r="F21" i="6"/>
  <c r="D21" i="6"/>
  <c r="F20" i="6"/>
  <c r="D20" i="6"/>
  <c r="F19" i="6"/>
  <c r="E19" i="6"/>
  <c r="D19" i="6"/>
  <c r="C19" i="6"/>
  <c r="F18" i="6"/>
  <c r="D18" i="6"/>
  <c r="F17" i="6"/>
  <c r="D17" i="6"/>
  <c r="I16" i="6"/>
  <c r="F16" i="6"/>
  <c r="D16" i="6"/>
  <c r="F15" i="6"/>
  <c r="D15" i="6"/>
  <c r="E14" i="6"/>
  <c r="F14" i="6" s="1"/>
  <c r="D14" i="6"/>
  <c r="D48" i="6" s="1"/>
  <c r="C14" i="6"/>
  <c r="I13" i="6"/>
  <c r="F13" i="6"/>
  <c r="D13" i="6"/>
  <c r="I12" i="6"/>
  <c r="F12" i="6"/>
  <c r="D12" i="6"/>
  <c r="F11" i="6"/>
  <c r="D11" i="6"/>
  <c r="F10" i="6"/>
  <c r="E10" i="6"/>
  <c r="D10" i="6"/>
  <c r="C10" i="6"/>
  <c r="C48" i="6" s="1"/>
  <c r="I41" i="6" l="1"/>
  <c r="H26" i="6"/>
  <c r="H19" i="6"/>
  <c r="T51" i="20"/>
  <c r="T46" i="20"/>
  <c r="T47" i="20"/>
  <c r="T48" i="20"/>
  <c r="T45" i="20"/>
  <c r="T50" i="20"/>
  <c r="T49" i="20"/>
  <c r="I40" i="6"/>
  <c r="H36" i="6"/>
  <c r="I26" i="6"/>
  <c r="I20" i="6"/>
  <c r="I14" i="6"/>
  <c r="H14" i="6"/>
  <c r="H10" i="6"/>
  <c r="I44" i="6"/>
  <c r="I19" i="6"/>
  <c r="I36" i="6"/>
  <c r="F48" i="6"/>
  <c r="I10" i="6"/>
  <c r="E48" i="6"/>
  <c r="H48" i="6" l="1"/>
  <c r="T52" i="20"/>
  <c r="I48" i="6"/>
  <c r="H43" i="4" l="1"/>
  <c r="I43" i="4" s="1"/>
  <c r="E43" i="4"/>
  <c r="F43" i="4" s="1"/>
  <c r="D43" i="4"/>
  <c r="E42" i="4"/>
  <c r="H42" i="4" s="1"/>
  <c r="I42" i="4" s="1"/>
  <c r="D42" i="4"/>
  <c r="D40" i="4" s="1"/>
  <c r="E41" i="4"/>
  <c r="E40" i="4" s="1"/>
  <c r="F40" i="4" s="1"/>
  <c r="D41" i="4"/>
  <c r="C40" i="4"/>
  <c r="I39" i="4"/>
  <c r="H39" i="4"/>
  <c r="F39" i="4"/>
  <c r="D39" i="4"/>
  <c r="I38" i="4"/>
  <c r="H38" i="4"/>
  <c r="F38" i="4"/>
  <c r="D38" i="4"/>
  <c r="I37" i="4"/>
  <c r="I36" i="4" s="1"/>
  <c r="H37" i="4"/>
  <c r="F37" i="4"/>
  <c r="D37" i="4"/>
  <c r="H36" i="4"/>
  <c r="E36" i="4"/>
  <c r="F36" i="4" s="1"/>
  <c r="D36" i="4"/>
  <c r="C36" i="4"/>
  <c r="H35" i="4"/>
  <c r="I35" i="4" s="1"/>
  <c r="F35" i="4"/>
  <c r="E35" i="4"/>
  <c r="D35" i="4"/>
  <c r="H34" i="4"/>
  <c r="I34" i="4" s="1"/>
  <c r="E34" i="4"/>
  <c r="F34" i="4" s="1"/>
  <c r="D34" i="4"/>
  <c r="E33" i="4"/>
  <c r="H33" i="4" s="1"/>
  <c r="D33" i="4"/>
  <c r="D32" i="4" s="1"/>
  <c r="E32" i="4"/>
  <c r="F32" i="4" s="1"/>
  <c r="C32" i="4"/>
  <c r="H31" i="4"/>
  <c r="I31" i="4" s="1"/>
  <c r="E31" i="4"/>
  <c r="F31" i="4" s="1"/>
  <c r="D31" i="4"/>
  <c r="E30" i="4"/>
  <c r="H30" i="4" s="1"/>
  <c r="I30" i="4" s="1"/>
  <c r="D30" i="4"/>
  <c r="E29" i="4"/>
  <c r="H29" i="4" s="1"/>
  <c r="I29" i="4" s="1"/>
  <c r="D29" i="4"/>
  <c r="H28" i="4"/>
  <c r="I28" i="4" s="1"/>
  <c r="F28" i="4"/>
  <c r="E28" i="4"/>
  <c r="D28" i="4"/>
  <c r="H27" i="4"/>
  <c r="I27" i="4" s="1"/>
  <c r="E27" i="4"/>
  <c r="F27" i="4" s="1"/>
  <c r="D27" i="4"/>
  <c r="E26" i="4"/>
  <c r="H26" i="4" s="1"/>
  <c r="I26" i="4" s="1"/>
  <c r="D26" i="4"/>
  <c r="E25" i="4"/>
  <c r="E22" i="4" s="1"/>
  <c r="F22" i="4" s="1"/>
  <c r="D25" i="4"/>
  <c r="H24" i="4"/>
  <c r="I24" i="4" s="1"/>
  <c r="F24" i="4"/>
  <c r="E24" i="4"/>
  <c r="D24" i="4"/>
  <c r="H23" i="4"/>
  <c r="E23" i="4"/>
  <c r="F23" i="4" s="1"/>
  <c r="D23" i="4"/>
  <c r="D22" i="4"/>
  <c r="C22" i="4"/>
  <c r="H21" i="4"/>
  <c r="I21" i="4" s="1"/>
  <c r="F21" i="4"/>
  <c r="E21" i="4"/>
  <c r="D21" i="4"/>
  <c r="H20" i="4"/>
  <c r="I20" i="4" s="1"/>
  <c r="E20" i="4"/>
  <c r="F20" i="4" s="1"/>
  <c r="D20" i="4"/>
  <c r="E19" i="4"/>
  <c r="H19" i="4" s="1"/>
  <c r="I19" i="4" s="1"/>
  <c r="D19" i="4"/>
  <c r="E18" i="4"/>
  <c r="E15" i="4" s="1"/>
  <c r="F15" i="4" s="1"/>
  <c r="D18" i="4"/>
  <c r="H17" i="4"/>
  <c r="I17" i="4" s="1"/>
  <c r="F17" i="4"/>
  <c r="E17" i="4"/>
  <c r="D17" i="4"/>
  <c r="H16" i="4"/>
  <c r="E16" i="4"/>
  <c r="F16" i="4" s="1"/>
  <c r="D16" i="4"/>
  <c r="D15" i="4"/>
  <c r="C15" i="4"/>
  <c r="H14" i="4"/>
  <c r="I14" i="4" s="1"/>
  <c r="F14" i="4"/>
  <c r="E14" i="4"/>
  <c r="D14" i="4"/>
  <c r="H13" i="4"/>
  <c r="I13" i="4" s="1"/>
  <c r="F13" i="4"/>
  <c r="E13" i="4"/>
  <c r="D13" i="4"/>
  <c r="E12" i="4"/>
  <c r="H12" i="4" s="1"/>
  <c r="I12" i="4" s="1"/>
  <c r="D12" i="4"/>
  <c r="E11" i="4"/>
  <c r="E10" i="4" s="1"/>
  <c r="D11" i="4"/>
  <c r="D10" i="4" s="1"/>
  <c r="C10" i="4"/>
  <c r="I9" i="4"/>
  <c r="H9" i="4"/>
  <c r="E9" i="4"/>
  <c r="D9" i="4"/>
  <c r="I8" i="4"/>
  <c r="H8" i="4"/>
  <c r="E8" i="4"/>
  <c r="D8" i="4"/>
  <c r="I7" i="4"/>
  <c r="I6" i="4" s="1"/>
  <c r="H7" i="4"/>
  <c r="E7" i="4"/>
  <c r="D7" i="4"/>
  <c r="H6" i="4"/>
  <c r="E6" i="4"/>
  <c r="F6" i="4" s="1"/>
  <c r="D6" i="4"/>
  <c r="D44" i="4" s="1"/>
  <c r="C6" i="4"/>
  <c r="C44" i="4" s="1"/>
  <c r="Y41" i="14"/>
  <c r="Y37" i="14"/>
  <c r="Y33" i="14"/>
  <c r="Y23" i="14"/>
  <c r="Y16" i="14"/>
  <c r="Y11" i="14"/>
  <c r="Y7" i="14"/>
  <c r="Y45" i="14" s="1"/>
  <c r="H32" i="4" l="1"/>
  <c r="I33" i="4"/>
  <c r="I32" i="4" s="1"/>
  <c r="H15" i="4"/>
  <c r="F44" i="4"/>
  <c r="E44" i="4"/>
  <c r="F10" i="4"/>
  <c r="F11" i="4"/>
  <c r="I16" i="4"/>
  <c r="I15" i="4" s="1"/>
  <c r="F18" i="4"/>
  <c r="I23" i="4"/>
  <c r="F25" i="4"/>
  <c r="F29" i="4"/>
  <c r="H11" i="4"/>
  <c r="F12" i="4"/>
  <c r="H18" i="4"/>
  <c r="I18" i="4" s="1"/>
  <c r="F19" i="4"/>
  <c r="H25" i="4"/>
  <c r="I25" i="4" s="1"/>
  <c r="F26" i="4"/>
  <c r="F30" i="4"/>
  <c r="F33" i="4"/>
  <c r="H41" i="4"/>
  <c r="F42" i="4"/>
  <c r="F41" i="4"/>
  <c r="E6" i="14"/>
  <c r="AJ7" i="14"/>
  <c r="AJ8" i="14"/>
  <c r="AJ9" i="14"/>
  <c r="AJ10" i="14"/>
  <c r="AJ11" i="14"/>
  <c r="AJ12" i="14"/>
  <c r="AJ13" i="14"/>
  <c r="AJ14" i="14"/>
  <c r="AJ15" i="14"/>
  <c r="AJ16" i="14"/>
  <c r="AJ17" i="14"/>
  <c r="AJ18" i="14"/>
  <c r="AJ19" i="14"/>
  <c r="AJ20" i="14"/>
  <c r="AJ21" i="14"/>
  <c r="AJ22" i="14"/>
  <c r="AJ23" i="14"/>
  <c r="AJ24" i="14"/>
  <c r="AJ25" i="14"/>
  <c r="AJ26" i="14"/>
  <c r="AJ27" i="14"/>
  <c r="AJ28" i="14"/>
  <c r="AJ29" i="14"/>
  <c r="AJ30" i="14"/>
  <c r="AJ31" i="14"/>
  <c r="AJ32" i="14"/>
  <c r="AJ33" i="14"/>
  <c r="AJ34" i="14"/>
  <c r="AJ35" i="14"/>
  <c r="AJ36" i="14"/>
  <c r="AJ37" i="14"/>
  <c r="AJ38" i="14"/>
  <c r="AJ39" i="14"/>
  <c r="AJ40" i="14"/>
  <c r="AJ41" i="14"/>
  <c r="AJ42" i="14"/>
  <c r="AJ43" i="14"/>
  <c r="AJ44" i="14"/>
  <c r="AJ45" i="14"/>
  <c r="AJ6" i="14"/>
  <c r="AM6" i="14" s="1"/>
  <c r="L9" i="8"/>
  <c r="L46" i="8"/>
  <c r="L47" i="8"/>
  <c r="L45" i="8"/>
  <c r="L42" i="8"/>
  <c r="L43" i="8"/>
  <c r="L41" i="8"/>
  <c r="L38" i="8"/>
  <c r="L39" i="8"/>
  <c r="L37" i="8"/>
  <c r="L28" i="8"/>
  <c r="L29" i="8"/>
  <c r="L30" i="8"/>
  <c r="L31" i="8"/>
  <c r="L26" i="8" s="1"/>
  <c r="L32" i="8"/>
  <c r="L33" i="8"/>
  <c r="L34" i="8"/>
  <c r="L35" i="8"/>
  <c r="L27" i="8"/>
  <c r="L21" i="8"/>
  <c r="L22" i="8"/>
  <c r="L23" i="8"/>
  <c r="L24" i="8"/>
  <c r="L25" i="8"/>
  <c r="L20" i="8"/>
  <c r="L16" i="8"/>
  <c r="L17" i="8"/>
  <c r="L18" i="8"/>
  <c r="L15" i="8"/>
  <c r="L44" i="8"/>
  <c r="L36" i="8"/>
  <c r="L10" i="8"/>
  <c r="I44" i="8"/>
  <c r="I46" i="8"/>
  <c r="I47" i="8"/>
  <c r="I45" i="8"/>
  <c r="I40" i="8"/>
  <c r="I42" i="8"/>
  <c r="I43" i="8"/>
  <c r="I41" i="8"/>
  <c r="I36" i="8"/>
  <c r="I38" i="8"/>
  <c r="I39" i="8"/>
  <c r="I37" i="8"/>
  <c r="I26" i="8"/>
  <c r="I28" i="8"/>
  <c r="I29" i="8"/>
  <c r="I30" i="8"/>
  <c r="I31" i="8"/>
  <c r="I32" i="8"/>
  <c r="I33" i="8"/>
  <c r="I34" i="8"/>
  <c r="I35" i="8"/>
  <c r="I27" i="8"/>
  <c r="I21" i="8"/>
  <c r="I19" i="8" s="1"/>
  <c r="I14" i="8" s="1"/>
  <c r="I48" i="8" s="1"/>
  <c r="I22" i="8"/>
  <c r="I23" i="8"/>
  <c r="I24" i="8"/>
  <c r="I25" i="8"/>
  <c r="I20" i="8"/>
  <c r="I16" i="8"/>
  <c r="I17" i="8"/>
  <c r="I18" i="8"/>
  <c r="I15" i="8"/>
  <c r="I10" i="8"/>
  <c r="I12" i="8"/>
  <c r="I13" i="8"/>
  <c r="I11" i="8"/>
  <c r="AF7" i="14"/>
  <c r="AF8" i="14"/>
  <c r="AF9" i="14"/>
  <c r="AF10" i="14"/>
  <c r="AF11" i="14"/>
  <c r="AF12" i="14"/>
  <c r="AF13" i="14"/>
  <c r="AF14" i="14"/>
  <c r="AF15" i="14"/>
  <c r="AF16" i="14"/>
  <c r="AF17" i="14"/>
  <c r="AF18" i="14"/>
  <c r="AF19" i="14"/>
  <c r="AF20" i="14"/>
  <c r="AF21" i="14"/>
  <c r="AF22" i="14"/>
  <c r="AF23" i="14"/>
  <c r="AF24" i="14"/>
  <c r="AF25" i="14"/>
  <c r="AF26" i="14"/>
  <c r="AF27" i="14"/>
  <c r="AF28" i="14"/>
  <c r="AF29" i="14"/>
  <c r="AF30" i="14"/>
  <c r="AF31" i="14"/>
  <c r="AF32" i="14"/>
  <c r="AF33" i="14"/>
  <c r="AF34" i="14"/>
  <c r="AF35" i="14"/>
  <c r="AF36" i="14"/>
  <c r="AF37" i="14"/>
  <c r="AF38" i="14"/>
  <c r="AF39" i="14"/>
  <c r="AF40" i="14"/>
  <c r="AF41" i="14"/>
  <c r="AF42" i="14"/>
  <c r="AF43" i="14"/>
  <c r="AF44" i="14"/>
  <c r="AF45" i="14"/>
  <c r="AF6" i="14"/>
  <c r="C6" i="14" s="1"/>
  <c r="K46" i="7"/>
  <c r="K47" i="7"/>
  <c r="K45" i="7"/>
  <c r="K38" i="7"/>
  <c r="K39" i="7"/>
  <c r="K42" i="7"/>
  <c r="K43" i="7"/>
  <c r="K41" i="7"/>
  <c r="K37" i="7"/>
  <c r="K36" i="7" s="1"/>
  <c r="K28" i="7"/>
  <c r="K29" i="7"/>
  <c r="K30" i="7"/>
  <c r="K31" i="7"/>
  <c r="K32" i="7"/>
  <c r="K33" i="7"/>
  <c r="K34" i="7"/>
  <c r="K35" i="7"/>
  <c r="K27" i="7"/>
  <c r="K21" i="7"/>
  <c r="K22" i="7"/>
  <c r="K23" i="7"/>
  <c r="K19" i="7" s="1"/>
  <c r="K24" i="7"/>
  <c r="K25" i="7"/>
  <c r="K20" i="7"/>
  <c r="K16" i="7"/>
  <c r="K17" i="7"/>
  <c r="K18" i="7"/>
  <c r="K15" i="7"/>
  <c r="K14" i="7" s="1"/>
  <c r="K26" i="7"/>
  <c r="K44" i="7"/>
  <c r="K10" i="7"/>
  <c r="K12" i="7"/>
  <c r="K13" i="7"/>
  <c r="K11" i="7"/>
  <c r="I11" i="7"/>
  <c r="I12" i="7"/>
  <c r="G12" i="7" s="1"/>
  <c r="I13" i="7"/>
  <c r="G13" i="7" s="1"/>
  <c r="G15" i="7"/>
  <c r="G16" i="7"/>
  <c r="G17" i="7"/>
  <c r="I18" i="7"/>
  <c r="G18" i="7" s="1"/>
  <c r="I20" i="7"/>
  <c r="G20" i="7" s="1"/>
  <c r="I21" i="7"/>
  <c r="I19" i="7" s="1"/>
  <c r="G22" i="7"/>
  <c r="G23" i="7"/>
  <c r="G24" i="7"/>
  <c r="G25" i="7"/>
  <c r="I37" i="7"/>
  <c r="I36" i="7" s="1"/>
  <c r="G38" i="7"/>
  <c r="G39" i="7"/>
  <c r="I41" i="7"/>
  <c r="I40" i="7" s="1"/>
  <c r="G42" i="7"/>
  <c r="G43" i="7"/>
  <c r="AA6" i="14"/>
  <c r="AO8" i="4"/>
  <c r="AO12" i="4"/>
  <c r="AO17" i="4"/>
  <c r="AO24" i="4"/>
  <c r="AO34" i="4"/>
  <c r="AO38" i="4"/>
  <c r="AO42" i="4"/>
  <c r="U7" i="14"/>
  <c r="U11" i="14"/>
  <c r="U16" i="14"/>
  <c r="U23" i="14"/>
  <c r="U33" i="14"/>
  <c r="U37" i="14"/>
  <c r="U41" i="14"/>
  <c r="Z41" i="14"/>
  <c r="Z37" i="14"/>
  <c r="Z33" i="14"/>
  <c r="Z23" i="14"/>
  <c r="Z16" i="14"/>
  <c r="Z7" i="14"/>
  <c r="AP7" i="14"/>
  <c r="AP11" i="14"/>
  <c r="AP16" i="14"/>
  <c r="AP23" i="14"/>
  <c r="AP33" i="14"/>
  <c r="AP41" i="14"/>
  <c r="AX7" i="14"/>
  <c r="AX11" i="14"/>
  <c r="AX16" i="14"/>
  <c r="AX23" i="14"/>
  <c r="AX33" i="14"/>
  <c r="AX37" i="14"/>
  <c r="AX41" i="14"/>
  <c r="AT41" i="14"/>
  <c r="AT37" i="14"/>
  <c r="AT33" i="14"/>
  <c r="AT23" i="14"/>
  <c r="AT7" i="14"/>
  <c r="AT11" i="14"/>
  <c r="AT16" i="14"/>
  <c r="AX6" i="14"/>
  <c r="AT6" i="14"/>
  <c r="AU6" i="14" s="1"/>
  <c r="AP38" i="14"/>
  <c r="AP39" i="14"/>
  <c r="AP40" i="14"/>
  <c r="Z11" i="14"/>
  <c r="V6" i="14"/>
  <c r="BC6" i="14"/>
  <c r="AY6" i="14"/>
  <c r="AQ6" i="14"/>
  <c r="AI6" i="14"/>
  <c r="AE6" i="14"/>
  <c r="R6" i="14"/>
  <c r="N6" i="14"/>
  <c r="J6" i="14"/>
  <c r="AZ45" i="14"/>
  <c r="X3" i="12"/>
  <c r="X4" i="12"/>
  <c r="X5" i="12"/>
  <c r="X6" i="12"/>
  <c r="X7" i="12"/>
  <c r="X8" i="12"/>
  <c r="X9" i="12"/>
  <c r="X10" i="12"/>
  <c r="X12" i="12"/>
  <c r="X13" i="12"/>
  <c r="X14" i="12"/>
  <c r="X15" i="12"/>
  <c r="X16" i="12"/>
  <c r="X17" i="12"/>
  <c r="X19" i="12"/>
  <c r="X20" i="12"/>
  <c r="X21" i="12"/>
  <c r="X22" i="12"/>
  <c r="X23" i="12"/>
  <c r="X24" i="12"/>
  <c r="X25" i="12"/>
  <c r="X26" i="12"/>
  <c r="X27" i="12"/>
  <c r="X29" i="12"/>
  <c r="X30" i="12"/>
  <c r="X31" i="12"/>
  <c r="X33" i="12"/>
  <c r="X34" i="12"/>
  <c r="X35" i="12"/>
  <c r="X37" i="12"/>
  <c r="X38" i="12"/>
  <c r="X39" i="12"/>
  <c r="X2" i="12"/>
  <c r="V36" i="12"/>
  <c r="X36" i="12" s="1"/>
  <c r="V32" i="12"/>
  <c r="X32" i="12" s="1"/>
  <c r="V28" i="12"/>
  <c r="X28" i="12" s="1"/>
  <c r="V18" i="12"/>
  <c r="X18" i="12" s="1"/>
  <c r="V11" i="12"/>
  <c r="X11" i="12" s="1"/>
  <c r="V6" i="12"/>
  <c r="V2" i="12"/>
  <c r="Q3" i="10"/>
  <c r="Q4" i="10"/>
  <c r="Q5" i="10"/>
  <c r="Q7" i="10"/>
  <c r="Q8" i="10"/>
  <c r="Q9" i="10"/>
  <c r="Q10" i="10"/>
  <c r="Q12" i="10"/>
  <c r="Q13" i="10"/>
  <c r="Q14" i="10"/>
  <c r="Q15" i="10"/>
  <c r="Q16" i="10"/>
  <c r="Q17" i="10"/>
  <c r="Q19" i="10"/>
  <c r="Q20" i="10"/>
  <c r="Q21" i="10"/>
  <c r="Q22" i="10"/>
  <c r="Q23" i="10"/>
  <c r="Q24" i="10"/>
  <c r="Q25" i="10"/>
  <c r="Q26" i="10"/>
  <c r="Q27" i="10"/>
  <c r="Q29" i="10"/>
  <c r="Q30" i="10"/>
  <c r="Q31" i="10"/>
  <c r="Q33" i="10"/>
  <c r="Q34" i="10"/>
  <c r="Q35" i="10"/>
  <c r="Q37" i="10"/>
  <c r="Q38" i="10"/>
  <c r="Q39" i="10"/>
  <c r="M36" i="10"/>
  <c r="Q36" i="10" s="1"/>
  <c r="M32" i="10"/>
  <c r="Q32" i="10" s="1"/>
  <c r="M28" i="10"/>
  <c r="Q28" i="10" s="1"/>
  <c r="M18" i="10"/>
  <c r="Q18" i="10" s="1"/>
  <c r="M11" i="10"/>
  <c r="Q11" i="10" s="1"/>
  <c r="M6" i="10"/>
  <c r="Q6" i="10" s="1"/>
  <c r="M2" i="10"/>
  <c r="Q2" i="10" s="1"/>
  <c r="AC2" i="9"/>
  <c r="AC3" i="9"/>
  <c r="AC4" i="9"/>
  <c r="AC5" i="9"/>
  <c r="AC6" i="9"/>
  <c r="AC7" i="9"/>
  <c r="AC8" i="9"/>
  <c r="AC9" i="9"/>
  <c r="AC11" i="9"/>
  <c r="AC12" i="9"/>
  <c r="AC13" i="9"/>
  <c r="AC14" i="9"/>
  <c r="AC15" i="9"/>
  <c r="AC16" i="9"/>
  <c r="AC17" i="9"/>
  <c r="AC18" i="9"/>
  <c r="AC19" i="9"/>
  <c r="AC20" i="9"/>
  <c r="AC21" i="9"/>
  <c r="AC22" i="9"/>
  <c r="AC23" i="9"/>
  <c r="AC24" i="9"/>
  <c r="AC25" i="9"/>
  <c r="AC26" i="9"/>
  <c r="AC28" i="9"/>
  <c r="AC29" i="9"/>
  <c r="AC30" i="9"/>
  <c r="AC32" i="9"/>
  <c r="AC33" i="9"/>
  <c r="AC34" i="9"/>
  <c r="AC36" i="9"/>
  <c r="AC37" i="9"/>
  <c r="AC38" i="9"/>
  <c r="AF36" i="9"/>
  <c r="AC35" i="9" s="1"/>
  <c r="AF32" i="9"/>
  <c r="AC31" i="9" s="1"/>
  <c r="AF28" i="9"/>
  <c r="AC27" i="9" s="1"/>
  <c r="AF18" i="9"/>
  <c r="AF11" i="9"/>
  <c r="AC10" i="9" s="1"/>
  <c r="AF6" i="9"/>
  <c r="AF2" i="9"/>
  <c r="M11" i="14"/>
  <c r="M16" i="14"/>
  <c r="M23" i="14"/>
  <c r="I23" i="14"/>
  <c r="I16" i="14"/>
  <c r="I7" i="14"/>
  <c r="AZ11" i="14"/>
  <c r="AZ12" i="14"/>
  <c r="AZ13" i="14"/>
  <c r="AZ14" i="14"/>
  <c r="AZ15" i="14"/>
  <c r="AZ16" i="14"/>
  <c r="AZ17" i="14"/>
  <c r="AZ18" i="14"/>
  <c r="AZ19" i="14"/>
  <c r="AZ20" i="14"/>
  <c r="AZ21" i="14"/>
  <c r="AZ22" i="14"/>
  <c r="AZ23" i="14"/>
  <c r="AZ24" i="14"/>
  <c r="AZ25" i="14"/>
  <c r="AZ26" i="14"/>
  <c r="AZ27" i="14"/>
  <c r="AZ28" i="14"/>
  <c r="AZ29" i="14"/>
  <c r="AZ30" i="14"/>
  <c r="AZ31" i="14"/>
  <c r="AZ32" i="14"/>
  <c r="AZ33" i="14"/>
  <c r="AZ34" i="14"/>
  <c r="AZ35" i="14"/>
  <c r="AZ36" i="14"/>
  <c r="AZ37" i="14"/>
  <c r="AZ38" i="14"/>
  <c r="AZ39" i="14"/>
  <c r="AZ40" i="14"/>
  <c r="AZ41" i="14"/>
  <c r="AZ42" i="14"/>
  <c r="AZ43" i="14"/>
  <c r="AZ44" i="14"/>
  <c r="AZ8" i="14"/>
  <c r="AZ9" i="14"/>
  <c r="AZ10" i="14"/>
  <c r="AZ7" i="14"/>
  <c r="AL7" i="14"/>
  <c r="AQ44" i="4"/>
  <c r="AQ45" i="4"/>
  <c r="AQ43" i="4"/>
  <c r="AQ40" i="4"/>
  <c r="AQ41" i="4"/>
  <c r="AQ39" i="4"/>
  <c r="AQ36" i="4"/>
  <c r="AQ37" i="4"/>
  <c r="AQ35" i="4"/>
  <c r="AQ26" i="4"/>
  <c r="AQ27" i="4"/>
  <c r="AQ28" i="4"/>
  <c r="AQ29" i="4"/>
  <c r="AQ30" i="4"/>
  <c r="AQ31" i="4"/>
  <c r="AQ32" i="4"/>
  <c r="AQ33" i="4"/>
  <c r="AQ25" i="4"/>
  <c r="AQ19" i="4"/>
  <c r="AQ20" i="4"/>
  <c r="AQ21" i="4"/>
  <c r="AQ22" i="4"/>
  <c r="AQ23" i="4"/>
  <c r="AQ18" i="4"/>
  <c r="AQ14" i="4"/>
  <c r="AQ15" i="4"/>
  <c r="AQ16" i="4"/>
  <c r="AQ13" i="4"/>
  <c r="AQ10" i="4"/>
  <c r="AQ11" i="4"/>
  <c r="AQ9" i="4"/>
  <c r="D8" i="14"/>
  <c r="D9" i="14"/>
  <c r="D10" i="14"/>
  <c r="D12" i="14"/>
  <c r="D13" i="14"/>
  <c r="D14" i="14"/>
  <c r="D15" i="14"/>
  <c r="D17" i="14"/>
  <c r="D18" i="14"/>
  <c r="D19" i="14"/>
  <c r="D20" i="14"/>
  <c r="D21" i="14"/>
  <c r="D22" i="14"/>
  <c r="D24" i="14"/>
  <c r="D25" i="14"/>
  <c r="D26" i="14"/>
  <c r="D27" i="14"/>
  <c r="D28" i="14"/>
  <c r="D29" i="14"/>
  <c r="D30" i="14"/>
  <c r="D31" i="14"/>
  <c r="D32" i="14"/>
  <c r="D34" i="14"/>
  <c r="D35" i="14"/>
  <c r="D36" i="14"/>
  <c r="D38" i="14"/>
  <c r="D39" i="14"/>
  <c r="D40" i="14"/>
  <c r="D42" i="14"/>
  <c r="D43" i="14"/>
  <c r="D44" i="14"/>
  <c r="AS23" i="14"/>
  <c r="BA41" i="14"/>
  <c r="BA37" i="14"/>
  <c r="BA33" i="14"/>
  <c r="BA23" i="14"/>
  <c r="BA16" i="14"/>
  <c r="BA11" i="14"/>
  <c r="BA7" i="14"/>
  <c r="AW41" i="14"/>
  <c r="AW37" i="14"/>
  <c r="AW33" i="14"/>
  <c r="AW23" i="14"/>
  <c r="AW16" i="14"/>
  <c r="AW11" i="14"/>
  <c r="AW7" i="14"/>
  <c r="AS41" i="14"/>
  <c r="AS37" i="14"/>
  <c r="AS33" i="14"/>
  <c r="AS16" i="14"/>
  <c r="AS11" i="14"/>
  <c r="AS7" i="14"/>
  <c r="AO41" i="14"/>
  <c r="AO37" i="14"/>
  <c r="AO33" i="14"/>
  <c r="AO23" i="14"/>
  <c r="AO16" i="14"/>
  <c r="AO11" i="14"/>
  <c r="AO7" i="14"/>
  <c r="AK41" i="14"/>
  <c r="AK37" i="14"/>
  <c r="AK33" i="14"/>
  <c r="AK23" i="14"/>
  <c r="AK16" i="14"/>
  <c r="AK11" i="14"/>
  <c r="AK7" i="14"/>
  <c r="AG41" i="14"/>
  <c r="AG37" i="14"/>
  <c r="AG33" i="14"/>
  <c r="AG23" i="14"/>
  <c r="AG16" i="14"/>
  <c r="AG11" i="14"/>
  <c r="AG7" i="14"/>
  <c r="AC41" i="14"/>
  <c r="AC37" i="14"/>
  <c r="AC33" i="14"/>
  <c r="AC23" i="14"/>
  <c r="AC16" i="14"/>
  <c r="AC11" i="14"/>
  <c r="AC7" i="14"/>
  <c r="X41" i="14"/>
  <c r="X37" i="14"/>
  <c r="X33" i="14"/>
  <c r="X23" i="14"/>
  <c r="X16" i="14"/>
  <c r="X11" i="14"/>
  <c r="X7" i="14"/>
  <c r="T41" i="14"/>
  <c r="T37" i="14"/>
  <c r="T33" i="14"/>
  <c r="T23" i="14"/>
  <c r="T16" i="14"/>
  <c r="T11" i="14"/>
  <c r="T7" i="14"/>
  <c r="P41" i="14"/>
  <c r="P37" i="14"/>
  <c r="P33" i="14"/>
  <c r="P23" i="14"/>
  <c r="P16" i="14"/>
  <c r="P11" i="14"/>
  <c r="P7" i="14"/>
  <c r="H41" i="14"/>
  <c r="H37" i="14"/>
  <c r="H33" i="14"/>
  <c r="H23" i="14"/>
  <c r="H16" i="14"/>
  <c r="H11" i="14"/>
  <c r="H7" i="14"/>
  <c r="L7" i="14"/>
  <c r="L11" i="14"/>
  <c r="L16" i="14"/>
  <c r="L23" i="14"/>
  <c r="L33" i="14"/>
  <c r="L37" i="14"/>
  <c r="L41" i="14"/>
  <c r="I41" i="4" l="1"/>
  <c r="I40" i="4" s="1"/>
  <c r="H40" i="4"/>
  <c r="I11" i="4"/>
  <c r="I10" i="4" s="1"/>
  <c r="I44" i="4" s="1"/>
  <c r="H10" i="4"/>
  <c r="H44" i="4" s="1"/>
  <c r="I22" i="4"/>
  <c r="H22" i="4"/>
  <c r="AO46" i="4"/>
  <c r="AF40" i="9"/>
  <c r="AC39" i="9" s="1"/>
  <c r="F6" i="14"/>
  <c r="AP37" i="14"/>
  <c r="P45" i="14"/>
  <c r="AK45" i="14"/>
  <c r="L40" i="8"/>
  <c r="L19" i="8"/>
  <c r="L48" i="8" s="1"/>
  <c r="L14" i="8"/>
  <c r="K40" i="7"/>
  <c r="K48" i="7"/>
  <c r="G21" i="7"/>
  <c r="G41" i="7"/>
  <c r="G40" i="7" s="1"/>
  <c r="I10" i="7"/>
  <c r="I14" i="7"/>
  <c r="G14" i="7"/>
  <c r="G37" i="7"/>
  <c r="G11" i="7"/>
  <c r="AA21" i="14"/>
  <c r="AA22" i="14"/>
  <c r="AA25" i="14"/>
  <c r="AA27" i="14"/>
  <c r="AA33" i="14"/>
  <c r="AA37" i="14"/>
  <c r="AA38" i="14"/>
  <c r="AA41" i="14"/>
  <c r="AA43" i="14"/>
  <c r="AA11" i="14"/>
  <c r="AQ8" i="4"/>
  <c r="U45" i="14"/>
  <c r="Z45" i="14"/>
  <c r="AA45" i="14" s="1"/>
  <c r="AP45" i="14"/>
  <c r="AX45" i="14"/>
  <c r="AT45" i="14"/>
  <c r="M40" i="10"/>
  <c r="Q40" i="10" s="1"/>
  <c r="AC1" i="9"/>
  <c r="AQ38" i="4"/>
  <c r="AQ24" i="4"/>
  <c r="AQ12" i="4"/>
  <c r="X45" i="14"/>
  <c r="BA45" i="14"/>
  <c r="AA42" i="14"/>
  <c r="AA26" i="14"/>
  <c r="AS45" i="14"/>
  <c r="AA40" i="14"/>
  <c r="AA24" i="14"/>
  <c r="AA39" i="14"/>
  <c r="AA23" i="14"/>
  <c r="AC45" i="14"/>
  <c r="AA36" i="14"/>
  <c r="AA20" i="14"/>
  <c r="AA35" i="14"/>
  <c r="AA19" i="14"/>
  <c r="T45" i="14"/>
  <c r="AW45" i="14"/>
  <c r="AA34" i="14"/>
  <c r="AA18" i="14"/>
  <c r="AA17" i="14"/>
  <c r="H45" i="14"/>
  <c r="AA32" i="14"/>
  <c r="AA16" i="14"/>
  <c r="L45" i="14"/>
  <c r="AO45" i="14"/>
  <c r="AA10" i="14"/>
  <c r="AA31" i="14"/>
  <c r="AA15" i="14"/>
  <c r="AA9" i="14"/>
  <c r="AA30" i="14"/>
  <c r="AA14" i="14"/>
  <c r="AG45" i="14"/>
  <c r="AA8" i="14"/>
  <c r="AA29" i="14"/>
  <c r="AA13" i="14"/>
  <c r="AA44" i="14"/>
  <c r="AA28" i="14"/>
  <c r="AA12" i="14"/>
  <c r="E9" i="14"/>
  <c r="D26" i="15" s="1"/>
  <c r="V40" i="12"/>
  <c r="X40" i="12" s="1"/>
  <c r="D7" i="14"/>
  <c r="D11" i="14"/>
  <c r="D23" i="14"/>
  <c r="D33" i="14"/>
  <c r="D37" i="14"/>
  <c r="D41" i="14"/>
  <c r="D16" i="14"/>
  <c r="AQ42" i="4"/>
  <c r="AQ34" i="4"/>
  <c r="AQ17" i="4"/>
  <c r="G14" i="1"/>
  <c r="C8" i="1" s="1"/>
  <c r="D45" i="14" l="1"/>
  <c r="G19" i="7"/>
  <c r="I48" i="7"/>
  <c r="G10" i="7"/>
  <c r="G36" i="7"/>
  <c r="AQ46" i="4"/>
  <c r="S7" i="14" s="1" a="1"/>
  <c r="BB7" i="14"/>
  <c r="BB33" i="14"/>
  <c r="BB37" i="14"/>
  <c r="AL33" i="14"/>
  <c r="AL37" i="14"/>
  <c r="AH7" i="14"/>
  <c r="AH33" i="14"/>
  <c r="AH37" i="14"/>
  <c r="AD7" i="14"/>
  <c r="AD33" i="14"/>
  <c r="AD37" i="14"/>
  <c r="Q7" i="14"/>
  <c r="Q33" i="14"/>
  <c r="Q37" i="14"/>
  <c r="M41" i="14"/>
  <c r="M37" i="14"/>
  <c r="M33" i="14"/>
  <c r="M7" i="14"/>
  <c r="BC44" i="14"/>
  <c r="BC43" i="14"/>
  <c r="BC42" i="14"/>
  <c r="E44" i="14"/>
  <c r="D117" i="15" s="1"/>
  <c r="BB41" i="14"/>
  <c r="AL41" i="14"/>
  <c r="AH41" i="14"/>
  <c r="AD41" i="14"/>
  <c r="Q41" i="14"/>
  <c r="I41" i="14"/>
  <c r="I37" i="14"/>
  <c r="I33" i="14"/>
  <c r="BC32" i="14"/>
  <c r="BC31" i="14"/>
  <c r="BC30" i="14"/>
  <c r="BC29" i="14"/>
  <c r="E29" i="14"/>
  <c r="D75" i="15" s="1"/>
  <c r="BC28" i="14"/>
  <c r="E28" i="14"/>
  <c r="D74" i="15" s="1"/>
  <c r="BC24" i="14"/>
  <c r="Q23" i="14"/>
  <c r="BC21" i="14"/>
  <c r="E21" i="14"/>
  <c r="BC20" i="14"/>
  <c r="E20" i="14"/>
  <c r="D58" i="15" s="1"/>
  <c r="BC18" i="14"/>
  <c r="Q16" i="14"/>
  <c r="BC13" i="14"/>
  <c r="AI13" i="14"/>
  <c r="E13" i="14"/>
  <c r="D41" i="15" s="1"/>
  <c r="AI29" i="14"/>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6" i="13"/>
  <c r="D8" i="12"/>
  <c r="D13" i="12"/>
  <c r="D14" i="12"/>
  <c r="D15" i="12"/>
  <c r="D17" i="12"/>
  <c r="D24" i="12"/>
  <c r="D27" i="12"/>
  <c r="D29" i="12"/>
  <c r="D30" i="12"/>
  <c r="D31" i="12"/>
  <c r="D32" i="12"/>
  <c r="D33" i="12"/>
  <c r="D43" i="12"/>
  <c r="D45" i="12"/>
  <c r="H7" i="12"/>
  <c r="C7" i="12" s="1"/>
  <c r="AV7" i="14" s="1" a="1"/>
  <c r="H11" i="12"/>
  <c r="C11" i="12" s="1"/>
  <c r="D11" i="12" s="1"/>
  <c r="H16" i="12"/>
  <c r="C16" i="12" s="1"/>
  <c r="D16" i="12" s="1"/>
  <c r="H23" i="12"/>
  <c r="C23" i="12" s="1"/>
  <c r="D23" i="12" s="1"/>
  <c r="H33" i="12"/>
  <c r="C33" i="12" s="1"/>
  <c r="H37" i="12"/>
  <c r="H41" i="12"/>
  <c r="C41" i="12"/>
  <c r="D41" i="12" s="1"/>
  <c r="C12" i="12"/>
  <c r="D12" i="12" s="1"/>
  <c r="C13" i="12"/>
  <c r="C14" i="12"/>
  <c r="C15" i="12"/>
  <c r="C17" i="12"/>
  <c r="C18" i="12"/>
  <c r="D18" i="12" s="1"/>
  <c r="C19" i="12"/>
  <c r="D19" i="12" s="1"/>
  <c r="C20" i="12"/>
  <c r="D20" i="12" s="1"/>
  <c r="C21" i="12"/>
  <c r="D21" i="12" s="1"/>
  <c r="C22" i="12"/>
  <c r="D22" i="12" s="1"/>
  <c r="C24" i="12"/>
  <c r="C25" i="12"/>
  <c r="D25" i="12" s="1"/>
  <c r="C26" i="12"/>
  <c r="D26" i="12" s="1"/>
  <c r="C27" i="12"/>
  <c r="C28" i="12"/>
  <c r="D28" i="12" s="1"/>
  <c r="C29" i="12"/>
  <c r="C30" i="12"/>
  <c r="C31" i="12"/>
  <c r="C32" i="12"/>
  <c r="C34" i="12"/>
  <c r="D34" i="12" s="1"/>
  <c r="C35" i="12"/>
  <c r="D35" i="12" s="1"/>
  <c r="C36" i="12"/>
  <c r="D36" i="12" s="1"/>
  <c r="C37" i="12"/>
  <c r="D37" i="12" s="1"/>
  <c r="C38" i="12"/>
  <c r="D38" i="12" s="1"/>
  <c r="C39" i="12"/>
  <c r="D39" i="12" s="1"/>
  <c r="C40" i="12"/>
  <c r="D40" i="12" s="1"/>
  <c r="C42" i="12"/>
  <c r="D42" i="12" s="1"/>
  <c r="C43" i="12"/>
  <c r="C44" i="12"/>
  <c r="D44" i="12" s="1"/>
  <c r="C45" i="12"/>
  <c r="C8" i="12"/>
  <c r="C9" i="12"/>
  <c r="D9" i="12" s="1"/>
  <c r="C10" i="12"/>
  <c r="D10" i="12" s="1"/>
  <c r="I11" i="10"/>
  <c r="I12" i="10"/>
  <c r="I13" i="10"/>
  <c r="I15" i="10"/>
  <c r="I16" i="10"/>
  <c r="I17" i="10"/>
  <c r="I18" i="10"/>
  <c r="I20" i="10"/>
  <c r="I21" i="10"/>
  <c r="I22" i="10"/>
  <c r="I23" i="10"/>
  <c r="I24" i="10"/>
  <c r="I25" i="10"/>
  <c r="I27" i="10"/>
  <c r="I28" i="10"/>
  <c r="I29" i="10"/>
  <c r="I30" i="10"/>
  <c r="I31" i="10"/>
  <c r="I32" i="10"/>
  <c r="I33" i="10"/>
  <c r="I34" i="10"/>
  <c r="I35" i="10"/>
  <c r="I37" i="10"/>
  <c r="I38" i="10"/>
  <c r="I39" i="10"/>
  <c r="I41" i="10"/>
  <c r="I42" i="10"/>
  <c r="I43" i="10"/>
  <c r="I44" i="10"/>
  <c r="I45" i="10"/>
  <c r="I46" i="10"/>
  <c r="I47" i="10"/>
  <c r="X14" i="9"/>
  <c r="X15" i="9"/>
  <c r="X16" i="9"/>
  <c r="X22" i="9"/>
  <c r="X23" i="9"/>
  <c r="X26" i="9"/>
  <c r="X28" i="9"/>
  <c r="X29" i="9"/>
  <c r="X30" i="9"/>
  <c r="X31" i="9"/>
  <c r="X32" i="9"/>
  <c r="X33" i="9"/>
  <c r="X34" i="9"/>
  <c r="X36" i="9"/>
  <c r="X37" i="9"/>
  <c r="X38" i="9"/>
  <c r="X40" i="9"/>
  <c r="X41" i="9"/>
  <c r="X42" i="9"/>
  <c r="X44" i="9"/>
  <c r="X45" i="9"/>
  <c r="X46" i="9"/>
  <c r="D8" i="3"/>
  <c r="D59" i="15" l="1"/>
  <c r="M45" i="14"/>
  <c r="G48" i="7"/>
  <c r="AV7" i="14"/>
  <c r="AY18" i="14"/>
  <c r="AY11" i="14"/>
  <c r="AY41" i="14"/>
  <c r="AY23" i="14"/>
  <c r="AY21" i="14"/>
  <c r="AY19" i="14"/>
  <c r="AY10" i="14"/>
  <c r="AY38" i="14"/>
  <c r="AY25" i="14"/>
  <c r="AY29" i="14"/>
  <c r="AY44" i="14"/>
  <c r="AY36" i="14"/>
  <c r="AY43" i="14"/>
  <c r="AY9" i="14"/>
  <c r="AY33" i="14"/>
  <c r="AY30" i="14"/>
  <c r="AY26" i="14"/>
  <c r="AY22" i="14"/>
  <c r="AY27" i="14"/>
  <c r="AY17" i="14"/>
  <c r="AY40" i="14"/>
  <c r="AY8" i="14"/>
  <c r="AY34" i="14"/>
  <c r="AY32" i="14"/>
  <c r="AY14" i="14"/>
  <c r="AY42" i="14"/>
  <c r="AY24" i="14"/>
  <c r="AY35" i="14"/>
  <c r="AY16" i="14"/>
  <c r="AY20" i="14"/>
  <c r="AY15" i="14"/>
  <c r="AY28" i="14"/>
  <c r="AY31" i="14"/>
  <c r="AY12" i="14"/>
  <c r="AY37" i="14"/>
  <c r="AY13" i="14"/>
  <c r="AY39" i="14"/>
  <c r="AY45" i="14"/>
  <c r="S7" i="14"/>
  <c r="V7" i="14" s="1"/>
  <c r="V22" i="14"/>
  <c r="V25" i="14"/>
  <c r="V27" i="14"/>
  <c r="V21" i="14"/>
  <c r="V16" i="14"/>
  <c r="V30" i="14"/>
  <c r="V38" i="14"/>
  <c r="V42" i="14"/>
  <c r="V12" i="14"/>
  <c r="V28" i="14"/>
  <c r="V13" i="14"/>
  <c r="V18" i="14"/>
  <c r="V14" i="14"/>
  <c r="V29" i="14"/>
  <c r="V15" i="14"/>
  <c r="V26" i="14"/>
  <c r="V43" i="14"/>
  <c r="V36" i="14"/>
  <c r="V20" i="14"/>
  <c r="V23" i="14"/>
  <c r="V32" i="14"/>
  <c r="V11" i="14"/>
  <c r="V33" i="14"/>
  <c r="V34" i="14"/>
  <c r="V37" i="14"/>
  <c r="V10" i="14"/>
  <c r="V44" i="14"/>
  <c r="V31" i="14"/>
  <c r="V41" i="14"/>
  <c r="V39" i="14"/>
  <c r="V19" i="14"/>
  <c r="V8" i="14"/>
  <c r="V40" i="14"/>
  <c r="V35" i="14"/>
  <c r="V17" i="14"/>
  <c r="V9" i="14"/>
  <c r="V24" i="14"/>
  <c r="V45" i="14"/>
  <c r="I11" i="14"/>
  <c r="I45" i="14" s="1"/>
  <c r="BC7" i="14"/>
  <c r="BC36" i="14"/>
  <c r="AD11" i="14"/>
  <c r="AH11" i="14"/>
  <c r="AI11" i="14" s="1"/>
  <c r="BC19" i="14"/>
  <c r="BC17" i="14"/>
  <c r="AD16" i="14"/>
  <c r="BC15" i="14"/>
  <c r="BC22" i="14"/>
  <c r="BC26" i="14"/>
  <c r="AL11" i="14"/>
  <c r="AI24" i="14"/>
  <c r="AI30" i="14"/>
  <c r="AI22" i="14"/>
  <c r="BB23" i="14"/>
  <c r="BC23" i="14" s="1"/>
  <c r="BC25" i="14"/>
  <c r="AH23" i="14"/>
  <c r="AI23" i="14" s="1"/>
  <c r="AI25" i="14"/>
  <c r="AI20" i="14"/>
  <c r="AI26" i="14"/>
  <c r="AI39" i="14"/>
  <c r="AI10" i="14"/>
  <c r="E19" i="14"/>
  <c r="D57" i="15" s="1"/>
  <c r="AI27" i="14"/>
  <c r="BC27" i="14"/>
  <c r="AH16" i="14"/>
  <c r="AI16" i="14" s="1"/>
  <c r="BC40" i="14"/>
  <c r="AI19" i="14"/>
  <c r="AI21" i="14"/>
  <c r="BC38" i="14"/>
  <c r="BC41" i="14"/>
  <c r="BC9" i="14"/>
  <c r="AI12" i="14"/>
  <c r="AI14" i="14"/>
  <c r="AL16" i="14"/>
  <c r="E18" i="14"/>
  <c r="D56" i="15" s="1"/>
  <c r="E22" i="14"/>
  <c r="D60" i="15" s="1"/>
  <c r="BB16" i="14"/>
  <c r="BC16" i="14" s="1"/>
  <c r="AI18" i="14"/>
  <c r="AI32" i="14"/>
  <c r="E17" i="14"/>
  <c r="D55" i="15" s="1"/>
  <c r="AD23" i="14"/>
  <c r="AI34" i="14"/>
  <c r="AI33" i="14"/>
  <c r="E31" i="14"/>
  <c r="D77" i="15" s="1"/>
  <c r="BC12" i="14"/>
  <c r="AI15" i="14"/>
  <c r="E32" i="14"/>
  <c r="D78" i="15" s="1"/>
  <c r="AI35" i="14"/>
  <c r="AI36" i="14"/>
  <c r="AI42" i="14"/>
  <c r="AI43" i="14"/>
  <c r="AI44" i="14"/>
  <c r="Q11" i="14"/>
  <c r="Q45" i="14" s="1"/>
  <c r="BC14" i="14"/>
  <c r="AI40" i="14"/>
  <c r="E26" i="14"/>
  <c r="D72" i="15" s="1"/>
  <c r="E27" i="14"/>
  <c r="D73" i="15" s="1"/>
  <c r="E10" i="14"/>
  <c r="D27" i="15" s="1"/>
  <c r="E30" i="14"/>
  <c r="D76" i="15" s="1"/>
  <c r="BC35" i="14"/>
  <c r="E42" i="14"/>
  <c r="D115" i="15" s="1"/>
  <c r="BC8" i="14"/>
  <c r="BC10" i="14"/>
  <c r="AI17" i="14"/>
  <c r="AI31" i="14"/>
  <c r="E35" i="14"/>
  <c r="D86" i="15" s="1"/>
  <c r="E36" i="14"/>
  <c r="D87" i="15" s="1"/>
  <c r="BC39" i="14"/>
  <c r="E43" i="14"/>
  <c r="D116" i="15" s="1"/>
  <c r="E15" i="14"/>
  <c r="D43" i="15" s="1"/>
  <c r="AI41" i="14"/>
  <c r="E40" i="14"/>
  <c r="D102" i="15" s="1"/>
  <c r="E41" i="14"/>
  <c r="D114" i="15" s="1"/>
  <c r="AI9" i="14"/>
  <c r="AI28" i="14"/>
  <c r="D7" i="12"/>
  <c r="AD45" i="14" l="1"/>
  <c r="AH45" i="14"/>
  <c r="AI45" i="14" s="1"/>
  <c r="BC37" i="14"/>
  <c r="E25" i="14"/>
  <c r="AI8" i="14"/>
  <c r="AI7" i="14"/>
  <c r="BB11" i="14"/>
  <c r="AI38" i="14"/>
  <c r="BC34" i="14"/>
  <c r="E14" i="14"/>
  <c r="D42" i="15" s="1"/>
  <c r="E38" i="14"/>
  <c r="D100" i="15" s="1"/>
  <c r="AY7" i="14"/>
  <c r="E39" i="14"/>
  <c r="D101" i="15" s="1"/>
  <c r="E12" i="14"/>
  <c r="D40" i="15" s="1"/>
  <c r="E24" i="14"/>
  <c r="D70" i="15" s="1"/>
  <c r="AL23" i="14"/>
  <c r="AL45" i="14" s="1"/>
  <c r="E34" i="14"/>
  <c r="D85" i="15" s="1"/>
  <c r="E8" i="14"/>
  <c r="D25" i="15" s="1"/>
  <c r="E16" i="14"/>
  <c r="BB45" i="14" l="1"/>
  <c r="D71" i="15"/>
  <c r="D54" i="15"/>
  <c r="BC11" i="14"/>
  <c r="BC45" i="14"/>
  <c r="BC33" i="14"/>
  <c r="AI37" i="14"/>
  <c r="E11" i="14"/>
  <c r="D39" i="15" s="1"/>
  <c r="E7" i="14"/>
  <c r="E23" i="14"/>
  <c r="E37" i="14"/>
  <c r="D99" i="15" s="1"/>
  <c r="E33" i="14"/>
  <c r="D84" i="15" s="1"/>
  <c r="D24" i="15" l="1"/>
  <c r="E47" i="14"/>
  <c r="C49" i="14" s="1"/>
  <c r="D69" i="15"/>
  <c r="E45" i="14"/>
  <c r="G10" i="8"/>
  <c r="D42" i="3"/>
  <c r="D34" i="3"/>
  <c r="D24" i="3"/>
  <c r="D17" i="3"/>
  <c r="D12" i="3"/>
  <c r="G44" i="8"/>
  <c r="G40" i="8"/>
  <c r="G36" i="8"/>
  <c r="G26" i="8"/>
  <c r="G14" i="8"/>
  <c r="Q23" i="13"/>
  <c r="Q28" i="13"/>
  <c r="H6" i="13"/>
  <c r="G44" i="13"/>
  <c r="Q26" i="13"/>
  <c r="R28" i="13"/>
  <c r="R27" i="13"/>
  <c r="R26" i="13"/>
  <c r="R25" i="13"/>
  <c r="R24" i="13"/>
  <c r="R23" i="13"/>
  <c r="R22" i="13"/>
  <c r="Q25" i="13"/>
  <c r="Q24" i="13"/>
  <c r="M10" i="13"/>
  <c r="Q29" i="12"/>
  <c r="Q28" i="12"/>
  <c r="Q27" i="12"/>
  <c r="Q26" i="12"/>
  <c r="Q25" i="12"/>
  <c r="Q24" i="12"/>
  <c r="Q23" i="12"/>
  <c r="AE26" i="9"/>
  <c r="V10" i="9"/>
  <c r="V11" i="9"/>
  <c r="X11" i="9" s="1"/>
  <c r="V12" i="9"/>
  <c r="X12" i="9" s="1"/>
  <c r="V17" i="9"/>
  <c r="V19" i="9"/>
  <c r="X19" i="9" s="1"/>
  <c r="V20" i="9"/>
  <c r="X20" i="9" s="1"/>
  <c r="V21" i="9"/>
  <c r="X21" i="9" s="1"/>
  <c r="V24" i="9"/>
  <c r="X24" i="9" s="1"/>
  <c r="V27" i="9"/>
  <c r="V35" i="9"/>
  <c r="X35" i="9" s="1"/>
  <c r="V39" i="9"/>
  <c r="X39" i="9" s="1"/>
  <c r="P29" i="10"/>
  <c r="P29" i="12"/>
  <c r="P28" i="12"/>
  <c r="P27" i="12"/>
  <c r="P26" i="12"/>
  <c r="P25" i="12"/>
  <c r="P24" i="12"/>
  <c r="L11" i="12"/>
  <c r="F45" i="12"/>
  <c r="V9" i="9" l="1"/>
  <c r="X10" i="9"/>
  <c r="V25" i="9"/>
  <c r="X27" i="9"/>
  <c r="V18" i="9"/>
  <c r="AE27" i="9"/>
  <c r="V13" i="9"/>
  <c r="X17" i="9"/>
  <c r="P27" i="8"/>
  <c r="P26" i="8"/>
  <c r="P28" i="8"/>
  <c r="P24" i="8"/>
  <c r="P29" i="8"/>
  <c r="P23" i="8"/>
  <c r="Q27" i="13"/>
  <c r="Q22" i="13"/>
  <c r="X13" i="9" l="1"/>
  <c r="AE23" i="9"/>
  <c r="X25" i="9"/>
  <c r="AE25" i="9"/>
  <c r="X18" i="9"/>
  <c r="AE24" i="9"/>
  <c r="X9" i="9"/>
  <c r="AE22" i="9"/>
  <c r="N10" i="14"/>
  <c r="N26" i="14"/>
  <c r="N42" i="14"/>
  <c r="N27" i="14"/>
  <c r="N43" i="14"/>
  <c r="N12" i="14"/>
  <c r="N28" i="14"/>
  <c r="N44" i="14"/>
  <c r="N13" i="14"/>
  <c r="N29" i="14"/>
  <c r="N14" i="14"/>
  <c r="N30" i="14"/>
  <c r="N15" i="14"/>
  <c r="N31" i="14"/>
  <c r="N32" i="14"/>
  <c r="N17" i="14"/>
  <c r="N18" i="14"/>
  <c r="N34" i="14"/>
  <c r="N19" i="14"/>
  <c r="N35" i="14"/>
  <c r="N20" i="14"/>
  <c r="N36" i="14"/>
  <c r="N21" i="14"/>
  <c r="N22" i="14"/>
  <c r="N38" i="14"/>
  <c r="N39" i="14"/>
  <c r="N8" i="14"/>
  <c r="N24" i="14"/>
  <c r="N40" i="14"/>
  <c r="N9" i="14"/>
  <c r="N25" i="14"/>
  <c r="N23" i="14"/>
  <c r="N16" i="14"/>
  <c r="N11" i="14"/>
  <c r="N45" i="14"/>
  <c r="N33" i="14"/>
  <c r="N37" i="14"/>
  <c r="N41" i="14"/>
  <c r="N7" i="14"/>
  <c r="V43" i="9" l="1"/>
  <c r="X43" i="9" l="1"/>
  <c r="AE28" i="9"/>
  <c r="X45" i="6"/>
  <c r="V45" i="6"/>
  <c r="X44" i="6"/>
  <c r="V44" i="6"/>
  <c r="X43" i="6"/>
  <c r="V43" i="6"/>
  <c r="X42" i="6"/>
  <c r="U42" i="6"/>
  <c r="V42" i="6" s="1"/>
  <c r="X41" i="6"/>
  <c r="V41" i="6"/>
  <c r="X40" i="6"/>
  <c r="V40" i="6"/>
  <c r="X39" i="6"/>
  <c r="V39" i="6"/>
  <c r="X38" i="6"/>
  <c r="U38" i="6"/>
  <c r="V38" i="6" s="1"/>
  <c r="X37" i="6"/>
  <c r="V37" i="6"/>
  <c r="X36" i="6"/>
  <c r="V36" i="6"/>
  <c r="X35" i="6"/>
  <c r="V35" i="6"/>
  <c r="X34" i="6"/>
  <c r="U34" i="6"/>
  <c r="V34" i="6" s="1"/>
  <c r="X33" i="6"/>
  <c r="V33" i="6"/>
  <c r="X32" i="6"/>
  <c r="V32" i="6"/>
  <c r="X31" i="6"/>
  <c r="V31" i="6"/>
  <c r="X30" i="6"/>
  <c r="V30" i="6"/>
  <c r="X29" i="6"/>
  <c r="V29" i="6"/>
  <c r="S29" i="6" s="1"/>
  <c r="X28" i="6"/>
  <c r="V28" i="6"/>
  <c r="X27" i="6"/>
  <c r="V27" i="6"/>
  <c r="X26" i="6"/>
  <c r="V26" i="6"/>
  <c r="X25" i="6"/>
  <c r="V25" i="6"/>
  <c r="X24" i="6"/>
  <c r="U24" i="6"/>
  <c r="V24" i="6" s="1"/>
  <c r="X23" i="6"/>
  <c r="V23" i="6"/>
  <c r="X22" i="6"/>
  <c r="V22" i="6"/>
  <c r="X21" i="6"/>
  <c r="V21" i="6"/>
  <c r="S21" i="6" s="1"/>
  <c r="X20" i="6"/>
  <c r="V20" i="6"/>
  <c r="X19" i="6"/>
  <c r="V19" i="6"/>
  <c r="X18" i="6"/>
  <c r="V18" i="6"/>
  <c r="W17" i="6"/>
  <c r="X17" i="6" s="1"/>
  <c r="U17" i="6"/>
  <c r="V17" i="6" s="1"/>
  <c r="X16" i="6"/>
  <c r="V16" i="6"/>
  <c r="S16" i="6" s="1"/>
  <c r="X15" i="6"/>
  <c r="V15" i="6"/>
  <c r="S15" i="6" s="1"/>
  <c r="X14" i="6"/>
  <c r="V14" i="6"/>
  <c r="S14" i="6" s="1"/>
  <c r="X13" i="6"/>
  <c r="V13" i="6"/>
  <c r="S13" i="6" s="1"/>
  <c r="X12" i="6"/>
  <c r="U12" i="6"/>
  <c r="V12" i="6" s="1"/>
  <c r="S12" i="6" s="1"/>
  <c r="X11" i="6"/>
  <c r="V11" i="6"/>
  <c r="X10" i="6"/>
  <c r="V10" i="6"/>
  <c r="S10" i="6" s="1"/>
  <c r="X9" i="6"/>
  <c r="V9" i="6"/>
  <c r="W8" i="6"/>
  <c r="X8" i="6" s="1"/>
  <c r="U8" i="6"/>
  <c r="S20" i="6" l="1"/>
  <c r="S22" i="6"/>
  <c r="S24" i="6"/>
  <c r="S45" i="6"/>
  <c r="S18" i="6"/>
  <c r="S28" i="6"/>
  <c r="S9" i="6"/>
  <c r="S26" i="6"/>
  <c r="S39" i="6"/>
  <c r="S42" i="6"/>
  <c r="S11" i="6"/>
  <c r="S38" i="6"/>
  <c r="S17" i="6"/>
  <c r="S25" i="6"/>
  <c r="S44" i="6"/>
  <c r="S32" i="6"/>
  <c r="S33" i="6"/>
  <c r="S19" i="6"/>
  <c r="S30" i="6"/>
  <c r="S31" i="6"/>
  <c r="S23" i="6"/>
  <c r="S27" i="6"/>
  <c r="S43" i="6"/>
  <c r="U46" i="6"/>
  <c r="V46" i="6" s="1"/>
  <c r="V8" i="6"/>
  <c r="S8" i="6" s="1"/>
  <c r="W46" i="6"/>
  <c r="X46" i="6" s="1"/>
  <c r="G40" i="10"/>
  <c r="G36" i="10"/>
  <c r="G26" i="10"/>
  <c r="G19" i="10"/>
  <c r="G14" i="10"/>
  <c r="G10" i="10"/>
  <c r="G19" i="8" l="1"/>
  <c r="G48" i="8" s="1"/>
  <c r="S46" i="6"/>
  <c r="AB7" i="14" s="1" a="1"/>
  <c r="I14" i="10"/>
  <c r="P24" i="10"/>
  <c r="I36" i="10"/>
  <c r="P27" i="10"/>
  <c r="I10" i="10"/>
  <c r="P23" i="10"/>
  <c r="I19" i="10"/>
  <c r="P25" i="10"/>
  <c r="I26" i="10"/>
  <c r="P26" i="10"/>
  <c r="G48" i="10"/>
  <c r="I48" i="10" s="1"/>
  <c r="I40" i="10"/>
  <c r="P28" i="10"/>
  <c r="AM15" i="14" l="1"/>
  <c r="P25" i="8"/>
  <c r="AB7" i="14"/>
  <c r="AE7" i="14" s="1"/>
  <c r="AE42" i="14"/>
  <c r="AE34" i="14"/>
  <c r="AE28" i="14"/>
  <c r="AE26" i="14"/>
  <c r="AE18" i="14"/>
  <c r="AE14" i="14"/>
  <c r="AE36" i="14"/>
  <c r="AE43" i="14"/>
  <c r="AE10" i="14"/>
  <c r="AE17" i="14"/>
  <c r="AE44" i="14"/>
  <c r="AE20" i="14"/>
  <c r="AE25" i="14"/>
  <c r="AE32" i="14"/>
  <c r="AE9" i="14"/>
  <c r="AE31" i="14"/>
  <c r="AE13" i="14"/>
  <c r="AE40" i="14"/>
  <c r="AE15" i="14"/>
  <c r="AE35" i="14"/>
  <c r="AE24" i="14"/>
  <c r="AE30" i="14"/>
  <c r="AE12" i="14"/>
  <c r="AE8" i="14"/>
  <c r="AE21" i="14"/>
  <c r="AE39" i="14"/>
  <c r="AE29" i="14"/>
  <c r="AE27" i="14"/>
  <c r="AE38" i="14"/>
  <c r="AE19" i="14"/>
  <c r="AE22" i="14"/>
  <c r="AE33" i="14"/>
  <c r="AE37" i="14"/>
  <c r="AE41" i="14"/>
  <c r="AE16" i="14"/>
  <c r="AE11" i="14"/>
  <c r="AE23" i="14"/>
  <c r="AE45" i="14"/>
  <c r="AR7" i="14" a="1"/>
  <c r="D40" i="3"/>
  <c r="D39" i="3"/>
  <c r="AM12" i="14" l="1"/>
  <c r="AM20" i="14"/>
  <c r="AM24" i="14"/>
  <c r="AM42" i="14"/>
  <c r="AM21" i="14"/>
  <c r="AM22" i="14"/>
  <c r="AM36" i="14"/>
  <c r="AM14" i="14"/>
  <c r="AM10" i="14"/>
  <c r="AM38" i="14"/>
  <c r="AM18" i="14"/>
  <c r="AM35" i="14"/>
  <c r="AM8" i="14"/>
  <c r="AM32" i="14"/>
  <c r="AM33" i="14"/>
  <c r="AM41" i="14"/>
  <c r="AM39" i="14"/>
  <c r="AM31" i="14"/>
  <c r="AM30" i="14"/>
  <c r="AM40" i="14"/>
  <c r="AM37" i="14"/>
  <c r="AM26" i="14"/>
  <c r="AM34" i="14"/>
  <c r="AM13" i="14"/>
  <c r="AM27" i="14"/>
  <c r="AM45" i="14"/>
  <c r="AM23" i="14"/>
  <c r="AM25" i="14"/>
  <c r="AM16" i="14"/>
  <c r="AM28" i="14"/>
  <c r="AM29" i="14"/>
  <c r="AM11" i="14"/>
  <c r="AM43" i="14"/>
  <c r="AM7" i="14"/>
  <c r="AM19" i="14"/>
  <c r="AM44" i="14"/>
  <c r="AM9" i="14"/>
  <c r="AM17" i="14"/>
  <c r="D38" i="3"/>
  <c r="D46" i="3" s="1"/>
  <c r="AR7" i="14"/>
  <c r="AU7" i="14" s="1"/>
  <c r="AU45" i="14"/>
  <c r="AU18" i="14"/>
  <c r="AU20" i="14"/>
  <c r="AU38" i="14"/>
  <c r="AU35" i="14"/>
  <c r="AU26" i="14"/>
  <c r="AU22" i="14"/>
  <c r="AU21" i="14"/>
  <c r="AU17" i="14"/>
  <c r="AU25" i="14"/>
  <c r="AU36" i="14"/>
  <c r="AU33" i="14"/>
  <c r="AU23" i="14"/>
  <c r="AU14" i="14"/>
  <c r="AU29" i="14"/>
  <c r="AU27" i="14"/>
  <c r="AU16" i="14"/>
  <c r="AU11" i="14"/>
  <c r="AU9" i="14"/>
  <c r="AU42" i="14"/>
  <c r="AU31" i="14"/>
  <c r="AU44" i="14"/>
  <c r="AU41" i="14"/>
  <c r="AU10" i="14"/>
  <c r="AU12" i="14"/>
  <c r="AU43" i="14"/>
  <c r="AU40" i="14"/>
  <c r="AU28" i="14"/>
  <c r="AU15" i="14"/>
  <c r="AU13" i="14"/>
  <c r="AU32" i="14"/>
  <c r="AU19" i="14"/>
  <c r="AU24" i="14"/>
  <c r="AU30" i="14"/>
  <c r="AU34" i="14"/>
  <c r="AU8" i="14"/>
  <c r="AU39" i="14"/>
  <c r="AU37" i="14"/>
  <c r="K51" i="1"/>
  <c r="F13" i="1"/>
  <c r="I14" i="1" l="1"/>
  <c r="I15" i="1"/>
  <c r="I16" i="1"/>
  <c r="I17" i="1"/>
  <c r="I18" i="1"/>
  <c r="I19" i="1"/>
  <c r="I20" i="1"/>
  <c r="I21"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G15" i="1"/>
  <c r="C9" i="1" s="1"/>
  <c r="G16" i="1"/>
  <c r="C10" i="1" s="1"/>
  <c r="G18" i="1"/>
  <c r="C12" i="1" s="1"/>
  <c r="G19" i="1"/>
  <c r="C13" i="1" s="1"/>
  <c r="G20" i="1"/>
  <c r="C14" i="1" s="1"/>
  <c r="G21" i="1"/>
  <c r="C15" i="1" s="1"/>
  <c r="G23" i="1"/>
  <c r="C17" i="1" s="1"/>
  <c r="G24" i="1"/>
  <c r="C18" i="1" s="1"/>
  <c r="G25" i="1"/>
  <c r="C19" i="1" s="1"/>
  <c r="G26" i="1"/>
  <c r="C20" i="1" s="1"/>
  <c r="G27" i="1"/>
  <c r="G28" i="1"/>
  <c r="C22" i="1" s="1"/>
  <c r="G30" i="1"/>
  <c r="C24" i="1" s="1"/>
  <c r="G31" i="1"/>
  <c r="C25" i="1" s="1"/>
  <c r="G32" i="1"/>
  <c r="C26" i="1" s="1"/>
  <c r="G33" i="1"/>
  <c r="C27" i="1" s="1"/>
  <c r="G34" i="1"/>
  <c r="C28" i="1" s="1"/>
  <c r="G35" i="1"/>
  <c r="C29" i="1" s="1"/>
  <c r="G36" i="1"/>
  <c r="C30" i="1" s="1"/>
  <c r="G37" i="1"/>
  <c r="C31" i="1" s="1"/>
  <c r="G38" i="1"/>
  <c r="C32" i="1" s="1"/>
  <c r="G40" i="1"/>
  <c r="C34" i="1" s="1"/>
  <c r="G41" i="1"/>
  <c r="C35" i="1" s="1"/>
  <c r="G42" i="1"/>
  <c r="C36" i="1" s="1"/>
  <c r="G44" i="1"/>
  <c r="C38" i="1" s="1"/>
  <c r="G45" i="1"/>
  <c r="C39" i="1" s="1"/>
  <c r="G46" i="1"/>
  <c r="C40" i="1" s="1"/>
  <c r="G48" i="1"/>
  <c r="C42" i="1" s="1"/>
  <c r="G49" i="1"/>
  <c r="C43" i="1" s="1"/>
  <c r="G50" i="1"/>
  <c r="C44" i="1" s="1"/>
  <c r="H22" i="1"/>
  <c r="I22" i="1" s="1"/>
  <c r="H13" i="1"/>
  <c r="I13" i="1" s="1"/>
  <c r="F47" i="1"/>
  <c r="G47" i="1" s="1"/>
  <c r="F43" i="1"/>
  <c r="G43" i="1" s="1"/>
  <c r="F39" i="1"/>
  <c r="G39" i="1" s="1"/>
  <c r="F29" i="1"/>
  <c r="G29" i="1" s="1"/>
  <c r="F22" i="1"/>
  <c r="G22" i="1" s="1"/>
  <c r="F17" i="1"/>
  <c r="G17" i="1" s="1"/>
  <c r="G13" i="1"/>
  <c r="C41" i="1" l="1"/>
  <c r="R7" i="14"/>
  <c r="R21" i="14"/>
  <c r="R29" i="14"/>
  <c r="R17" i="14"/>
  <c r="R25" i="14"/>
  <c r="R43" i="14"/>
  <c r="R14" i="14"/>
  <c r="R16" i="14"/>
  <c r="R26" i="14"/>
  <c r="R44" i="14"/>
  <c r="R18" i="14"/>
  <c r="R8" i="14"/>
  <c r="R27" i="14"/>
  <c r="R33" i="14"/>
  <c r="R28" i="14"/>
  <c r="R40" i="14"/>
  <c r="R19" i="14"/>
  <c r="R24" i="14"/>
  <c r="R35" i="14"/>
  <c r="R10" i="14"/>
  <c r="R41" i="14"/>
  <c r="R22" i="14"/>
  <c r="R32" i="14"/>
  <c r="R30" i="14"/>
  <c r="R31" i="14"/>
  <c r="R34" i="14"/>
  <c r="R20" i="14"/>
  <c r="R13" i="14"/>
  <c r="R12" i="14"/>
  <c r="R23" i="14"/>
  <c r="R39" i="14"/>
  <c r="R36" i="14"/>
  <c r="R42" i="14"/>
  <c r="R9" i="14"/>
  <c r="R15" i="14"/>
  <c r="R11" i="14"/>
  <c r="R38" i="14"/>
  <c r="R45" i="14"/>
  <c r="R37" i="14"/>
  <c r="C11" i="1"/>
  <c r="C7" i="1"/>
  <c r="C37" i="1"/>
  <c r="C33" i="1"/>
  <c r="C16" i="1"/>
  <c r="C23" i="1"/>
  <c r="F51" i="1"/>
  <c r="G51" i="1" s="1"/>
  <c r="H51" i="1"/>
  <c r="I51" i="1" s="1"/>
  <c r="C45" i="1" l="1"/>
  <c r="G7" i="14" s="1" a="1"/>
  <c r="J24" i="14" s="1"/>
  <c r="V47" i="9"/>
  <c r="X47" i="9" l="1"/>
  <c r="AN7" i="14" a="1"/>
  <c r="C13" i="14" s="1"/>
  <c r="J35" i="14"/>
  <c r="J31" i="14"/>
  <c r="J27" i="14"/>
  <c r="J19" i="14"/>
  <c r="J22" i="14"/>
  <c r="J45" i="14"/>
  <c r="J30" i="14"/>
  <c r="J33" i="14"/>
  <c r="J15" i="14"/>
  <c r="J29" i="14"/>
  <c r="J8" i="14"/>
  <c r="J34" i="14"/>
  <c r="J18" i="14"/>
  <c r="J17" i="14"/>
  <c r="J25" i="14"/>
  <c r="J43" i="14"/>
  <c r="J11" i="14"/>
  <c r="J42" i="14"/>
  <c r="J38" i="14"/>
  <c r="J14" i="14"/>
  <c r="J13" i="14"/>
  <c r="J21" i="14"/>
  <c r="J23" i="14"/>
  <c r="J9" i="14"/>
  <c r="J44" i="14"/>
  <c r="G7" i="14"/>
  <c r="J7" i="14" s="1"/>
  <c r="J39" i="14"/>
  <c r="J41" i="14"/>
  <c r="J37" i="14"/>
  <c r="J26" i="14"/>
  <c r="J10" i="14"/>
  <c r="J16" i="14"/>
  <c r="J32" i="14"/>
  <c r="J28" i="14"/>
  <c r="J36" i="14"/>
  <c r="J12" i="14"/>
  <c r="J40" i="14"/>
  <c r="J20" i="14"/>
  <c r="P23" i="12"/>
  <c r="C24" i="14" l="1"/>
  <c r="C27" i="14"/>
  <c r="C36" i="14"/>
  <c r="C33" i="14"/>
  <c r="C21" i="14"/>
  <c r="C41" i="14"/>
  <c r="C114" i="15" s="1"/>
  <c r="C15" i="14"/>
  <c r="C34" i="14"/>
  <c r="C16" i="14"/>
  <c r="C10" i="14"/>
  <c r="C27" i="15" s="1"/>
  <c r="C31" i="14"/>
  <c r="C17" i="14"/>
  <c r="C30" i="14"/>
  <c r="C29" i="14"/>
  <c r="C40" i="14"/>
  <c r="C102" i="15" s="1"/>
  <c r="C26" i="14"/>
  <c r="C19" i="14"/>
  <c r="C11" i="14"/>
  <c r="C43" i="14"/>
  <c r="C116" i="15" s="1"/>
  <c r="AN7" i="14"/>
  <c r="AQ7" i="14" s="1"/>
  <c r="AQ29" i="14"/>
  <c r="AQ32" i="14"/>
  <c r="AQ35" i="14"/>
  <c r="AQ16" i="14"/>
  <c r="AQ19" i="14"/>
  <c r="AQ18" i="14"/>
  <c r="AQ28" i="14"/>
  <c r="AQ21" i="14"/>
  <c r="AQ33" i="14"/>
  <c r="AQ17" i="14"/>
  <c r="AQ26" i="14"/>
  <c r="AQ30" i="14"/>
  <c r="AQ41" i="14"/>
  <c r="AQ20" i="14"/>
  <c r="AQ25" i="14"/>
  <c r="AQ44" i="14"/>
  <c r="AQ40" i="14"/>
  <c r="AQ13" i="14"/>
  <c r="AQ31" i="14"/>
  <c r="AQ39" i="14"/>
  <c r="AQ15" i="14"/>
  <c r="AQ27" i="14"/>
  <c r="AQ37" i="14"/>
  <c r="AQ11" i="14"/>
  <c r="AQ10" i="14"/>
  <c r="AQ38" i="14"/>
  <c r="AQ23" i="14"/>
  <c r="AQ36" i="14"/>
  <c r="AQ22" i="14"/>
  <c r="AQ14" i="14"/>
  <c r="AQ24" i="14"/>
  <c r="AQ8" i="14"/>
  <c r="AQ34" i="14"/>
  <c r="AQ9" i="14"/>
  <c r="AQ12" i="14"/>
  <c r="AQ43" i="14"/>
  <c r="AQ42" i="14"/>
  <c r="AQ45" i="14"/>
  <c r="C20" i="14"/>
  <c r="C44" i="14"/>
  <c r="C117" i="15" s="1"/>
  <c r="C25" i="14"/>
  <c r="C32" i="14"/>
  <c r="C14" i="14"/>
  <c r="C9" i="14"/>
  <c r="C28" i="14"/>
  <c r="C12" i="14"/>
  <c r="C18" i="14"/>
  <c r="C37" i="14"/>
  <c r="C99" i="15" s="1"/>
  <c r="C45" i="14"/>
  <c r="F45" i="14" s="1"/>
  <c r="C35" i="14"/>
  <c r="C22" i="14"/>
  <c r="C38" i="14"/>
  <c r="C100" i="15" s="1"/>
  <c r="C42" i="14"/>
  <c r="C115" i="15" s="1"/>
  <c r="C23" i="14"/>
  <c r="C39" i="14"/>
  <c r="C101" i="15" s="1"/>
  <c r="C8" i="14"/>
  <c r="C59" i="15"/>
  <c r="C74" i="15"/>
  <c r="C70" i="15"/>
  <c r="C57" i="15"/>
  <c r="C41" i="15"/>
  <c r="F27" i="14"/>
  <c r="F28" i="14"/>
  <c r="F19" i="14"/>
  <c r="C7" i="14"/>
  <c r="F21" i="14"/>
  <c r="F16" i="14"/>
  <c r="F24" i="14"/>
  <c r="F11" i="14"/>
  <c r="F13" i="14"/>
  <c r="AA7" i="14"/>
  <c r="C39" i="15" l="1"/>
  <c r="F18" i="14"/>
  <c r="F36" i="14"/>
  <c r="F12" i="14"/>
  <c r="F35" i="14"/>
  <c r="C40" i="15"/>
  <c r="C55" i="15"/>
  <c r="F20" i="14"/>
  <c r="C86" i="15"/>
  <c r="C73" i="15"/>
  <c r="C87" i="15"/>
  <c r="F33" i="14"/>
  <c r="F26" i="14"/>
  <c r="C25" i="15"/>
  <c r="F43" i="14"/>
  <c r="F34" i="14"/>
  <c r="C60" i="15"/>
  <c r="C56" i="15"/>
  <c r="C43" i="15"/>
  <c r="F15" i="14"/>
  <c r="F22" i="14"/>
  <c r="F37" i="14"/>
  <c r="C69" i="15"/>
  <c r="F32" i="14"/>
  <c r="F23" i="14"/>
  <c r="F31" i="14"/>
  <c r="C78" i="15"/>
  <c r="F8" i="14"/>
  <c r="F29" i="14"/>
  <c r="F42" i="14"/>
  <c r="C72" i="15"/>
  <c r="C54" i="15"/>
  <c r="C26" i="15"/>
  <c r="F25" i="14"/>
  <c r="F38" i="14"/>
  <c r="F41" i="14"/>
  <c r="C75" i="15"/>
  <c r="C84" i="15"/>
  <c r="C71" i="15"/>
  <c r="F17" i="14"/>
  <c r="F9" i="14"/>
  <c r="C42" i="15"/>
  <c r="F14" i="14"/>
  <c r="F30" i="14"/>
  <c r="F10" i="14"/>
  <c r="F44" i="14"/>
  <c r="F40" i="14"/>
  <c r="F39" i="14"/>
  <c r="C77" i="15"/>
  <c r="C76" i="15"/>
  <c r="C85" i="15"/>
  <c r="C58" i="15"/>
  <c r="F7" i="14"/>
  <c r="C24" i="15"/>
  <c r="B2" i="2"/>
  <c r="B2" i="2"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C2FD93-CA74-4708-9AFB-7B98D71180BE}" keepAlive="1" name="Spørring - Tabell1" description="Tilkobling til spørringen Tabell1 i arbeidsboken." type="5" refreshedVersion="8" background="1" saveData="1">
    <dbPr connection="Provider=Microsoft.Mashup.OleDb.1;Data Source=$Workbook$;Location=Tabell1;Extended Properties=&quot;&quot;" command="SELECT * FROM [Tabell1]"/>
  </connection>
  <connection id="2" xr16:uid="{96895C0B-F03E-4C59-87F5-57FDC8291E61}" keepAlive="1" name="Spørring - Tabell1 (2)" description="Tilkobling til spørringen Tabell1 (2) i arbeidsboken." type="5" refreshedVersion="8" background="1" saveData="1">
    <dbPr connection="Provider=Microsoft.Mashup.OleDb.1;Data Source=$Workbook$;Location=&quot;Tabell1 (2)&quot;;Extended Properties=&quot;&quot;" command="SELECT * FROM [Tabell1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<sst xmlns="http://schemas.openxmlformats.org/spreadsheetml/2006/main" count="3506" uniqueCount="466">
  <si>
    <t>TOTAL COSTS</t>
  </si>
  <si>
    <t>Dir &amp; Indir (EUR)</t>
  </si>
  <si>
    <t>GreenOfshoreTech TOTAL (Period M1 to M10)</t>
  </si>
  <si>
    <t>Task/</t>
  </si>
  <si>
    <t>WP</t>
  </si>
  <si>
    <t>Actual</t>
  </si>
  <si>
    <t>% spend</t>
  </si>
  <si>
    <t>Assessment of potential new value chains and selection of Topics for Call of Proposals</t>
  </si>
  <si>
    <t>WP1</t>
  </si>
  <si>
    <t>Sustainable challenges, needs and trends of four industrial offshore sectors</t>
  </si>
  <si>
    <t>T1.1</t>
  </si>
  <si>
    <t>Assessment of emerging technology trends and solutions</t>
  </si>
  <si>
    <t>T1.2</t>
  </si>
  <si>
    <t>Potential new value chains and selection of Call Topics</t>
  </si>
  <si>
    <t xml:space="preserve">T1.3 </t>
  </si>
  <si>
    <t xml:space="preserve">Methodologies and tools for cross-sectoral/-border collaboration and technology transfer </t>
  </si>
  <si>
    <t>WP2</t>
  </si>
  <si>
    <t>Methologies and tools for cross-sectoral/-border collaboration and technology transfer</t>
  </si>
  <si>
    <t>T2.1</t>
  </si>
  <si>
    <t>Establishment of a Collaborative Virtual Environment</t>
  </si>
  <si>
    <t>T2.2</t>
  </si>
  <si>
    <t>Establishment of a Survey tool</t>
  </si>
  <si>
    <t>T2.3</t>
  </si>
  <si>
    <t>Establishment of the GreenOffshoreTech Cluster Collaboration Platform</t>
  </si>
  <si>
    <t>T2.4</t>
  </si>
  <si>
    <t>Direct financial support to SMEs  through a competitive Call for Proposals</t>
  </si>
  <si>
    <t>WP3</t>
  </si>
  <si>
    <t xml:space="preserve">Preparation of the Call for Proposals  </t>
  </si>
  <si>
    <t>T3.1</t>
  </si>
  <si>
    <t>Publication of the Call for Proposals and Proposal reception.</t>
  </si>
  <si>
    <t>T3.2</t>
  </si>
  <si>
    <t>Evaluation and Selection of SMEs Proposals</t>
  </si>
  <si>
    <t>T3.3</t>
  </si>
  <si>
    <t>Contracting with winner SMEs Projects</t>
  </si>
  <si>
    <t>T3.4</t>
  </si>
  <si>
    <t>Payments and financial monitoring of winner SMEs Projects</t>
  </si>
  <si>
    <t>T3.5</t>
  </si>
  <si>
    <t>Technical monitoring of winner SMEs Projects</t>
  </si>
  <si>
    <t>T3.6</t>
  </si>
  <si>
    <t>Business Support Services to winner SMEs  (preparation)</t>
  </si>
  <si>
    <t>WP4</t>
  </si>
  <si>
    <r>
      <t xml:space="preserve">Programme of Business Support Services to winner SMEs </t>
    </r>
    <r>
      <rPr>
        <b/>
        <sz val="11"/>
        <color rgb="FFFF0000"/>
        <rFont val="Calibri"/>
        <family val="2"/>
        <scheme val="minor"/>
      </rPr>
      <t>(prep)</t>
    </r>
  </si>
  <si>
    <t>T4.1</t>
  </si>
  <si>
    <t>Business Support Service #1 Business &amp; Tech Academy</t>
  </si>
  <si>
    <t>T4.2</t>
  </si>
  <si>
    <t>Business Support Service #2 Brokerage &amp; B2B matchmaking events</t>
  </si>
  <si>
    <t>T4.3</t>
  </si>
  <si>
    <t>Business Support Service #3 Access to Finance</t>
  </si>
  <si>
    <t>T4.4</t>
  </si>
  <si>
    <r>
      <t xml:space="preserve">Business Support Service #4 One-to-One Mentoring and Coaching </t>
    </r>
    <r>
      <rPr>
        <b/>
        <sz val="11"/>
        <color rgb="FFFF0000"/>
        <rFont val="Calibri"/>
        <family val="2"/>
        <scheme val="minor"/>
      </rPr>
      <t>(prep)</t>
    </r>
  </si>
  <si>
    <t>T4.5</t>
  </si>
  <si>
    <t>Business Support Service #5 Branding</t>
  </si>
  <si>
    <t>T4.6</t>
  </si>
  <si>
    <t xml:space="preserve">Business Support Service #6 Internationalisation </t>
  </si>
  <si>
    <t>T4.7</t>
  </si>
  <si>
    <t xml:space="preserve">Business Support Service #7 Investor pitching </t>
  </si>
  <si>
    <t>T4.8</t>
  </si>
  <si>
    <t xml:space="preserve">Business Support Service #8 Investor rounds </t>
  </si>
  <si>
    <t>T4.9</t>
  </si>
  <si>
    <t xml:space="preserve"> Large-scale Demonstrator (LSD) setup, validation, and impact assessment</t>
  </si>
  <si>
    <t>WP5</t>
  </si>
  <si>
    <t xml:space="preserve">Set-up of the GreenOffshoreTech LSD in GreenOffshoreTech regions  </t>
  </si>
  <si>
    <t>T5.1</t>
  </si>
  <si>
    <r>
      <t xml:space="preserve">Validation &amp; Impact assessment of GreenOffshoreTech LSD </t>
    </r>
    <r>
      <rPr>
        <b/>
        <sz val="11"/>
        <color rgb="FFFF0000"/>
        <rFont val="Calibri"/>
        <family val="2"/>
        <scheme val="minor"/>
      </rPr>
      <t>(data collection)</t>
    </r>
  </si>
  <si>
    <t>T5.2</t>
  </si>
  <si>
    <t xml:space="preserve">Guidelines of Best Practice to foster cross-sector/-border collaboration and technology transfer through Clusters                                                                                          </t>
  </si>
  <si>
    <t>T5.3</t>
  </si>
  <si>
    <t xml:space="preserve">Communication, Dissemination, Exploitation &amp; Sustainability  </t>
  </si>
  <si>
    <t>WP6</t>
  </si>
  <si>
    <t>Communication plan and Communication activities</t>
  </si>
  <si>
    <t>T6.1</t>
  </si>
  <si>
    <t>Dissemination strategy and Dissemination activities</t>
  </si>
  <si>
    <t>T6.2</t>
  </si>
  <si>
    <t xml:space="preserve">Exploitation strategy, IPR and Sustainability </t>
  </si>
  <si>
    <t>T6.3</t>
  </si>
  <si>
    <t>Project Management and Coordination</t>
  </si>
  <si>
    <t>WP7</t>
  </si>
  <si>
    <t>Project coordination</t>
  </si>
  <si>
    <t>T7.1</t>
  </si>
  <si>
    <t>Project administration &amp; Financial Management</t>
  </si>
  <si>
    <t>T7.2</t>
  </si>
  <si>
    <t>Quality Assurance</t>
  </si>
  <si>
    <t>T7.3</t>
  </si>
  <si>
    <t>TOTAL</t>
  </si>
  <si>
    <t xml:space="preserve"> </t>
  </si>
  <si>
    <t>Budget rate</t>
  </si>
  <si>
    <t xml:space="preserve">1PM iequals to </t>
  </si>
  <si>
    <t>143.333</t>
  </si>
  <si>
    <t xml:space="preserve">ACTUAL </t>
  </si>
  <si>
    <t>Project manager</t>
  </si>
  <si>
    <t>INCLDING IND COST</t>
  </si>
  <si>
    <t>GreenOfshoreTech MNU (Period M1 to M10)</t>
  </si>
  <si>
    <t>M1-M10</t>
  </si>
  <si>
    <t>hrs</t>
  </si>
  <si>
    <t>Salery rate</t>
  </si>
  <si>
    <t>PM</t>
  </si>
  <si>
    <t>SCABERIA AS</t>
  </si>
  <si>
    <t>M1-M9</t>
  </si>
  <si>
    <t>Programme of Business Support Services to winner SMEs (prep)</t>
  </si>
  <si>
    <r>
      <t xml:space="preserve">Business Support Service #4 One-to-One Mentoring and Coaching </t>
    </r>
    <r>
      <rPr>
        <b/>
        <sz val="8"/>
        <color rgb="FFFF0000"/>
        <rFont val="Calibri"/>
        <family val="2"/>
        <scheme val="minor"/>
      </rPr>
      <t>(prep)</t>
    </r>
  </si>
  <si>
    <r>
      <t xml:space="preserve">Validation &amp; Impact assessment of GreenOffshoreTech LSD </t>
    </r>
    <r>
      <rPr>
        <b/>
        <sz val="8"/>
        <color rgb="FFFF0000"/>
        <rFont val="Calibri"/>
        <family val="2"/>
        <scheme val="minor"/>
      </rPr>
      <t>(data collection)</t>
    </r>
  </si>
  <si>
    <t>GreenOffshoreTech - FÓRUM OCEANO</t>
  </si>
  <si>
    <r>
      <t xml:space="preserve">Programme of Business Support Services to winner SMEs </t>
    </r>
    <r>
      <rPr>
        <b/>
        <sz val="8"/>
        <color rgb="FFFF0000"/>
        <rFont val="Calibri"/>
        <family val="2"/>
        <scheme val="minor"/>
      </rPr>
      <t>(prep)</t>
    </r>
  </si>
  <si>
    <t>GreenOfshoreTech PARTNER NAME</t>
  </si>
  <si>
    <t>MAI Carbon</t>
  </si>
  <si>
    <t>M1-M8</t>
  </si>
  <si>
    <t>Ind. Costs flat rate</t>
  </si>
  <si>
    <t>Assistant</t>
  </si>
  <si>
    <t>GreenOfshoreTech BIN (Periode1, 09/21-06/22)</t>
  </si>
  <si>
    <t>(to May)</t>
  </si>
  <si>
    <t>GreenOfshoreTech Iceland Ocean Cluster</t>
  </si>
  <si>
    <t>Hours/task</t>
  </si>
  <si>
    <t>HIE</t>
  </si>
  <si>
    <t>Travel costs 4611 euro added to T3.2</t>
  </si>
  <si>
    <t xml:space="preserve">Hourly cost </t>
  </si>
  <si>
    <t>GreenOfshoreTech PARTNER NAME: MEERI</t>
  </si>
  <si>
    <t>This calculation is done by MNU since MCN have not delivered the contribution to D7.5</t>
  </si>
  <si>
    <t>Cost is calculated based on PM3,37 delivered for D7.4</t>
  </si>
  <si>
    <t>Evsaryone is informed to calculate 1PM as 143.333 hours.</t>
  </si>
  <si>
    <t>Your budgeted hourly cost is than 35,47 Euro per hour.</t>
  </si>
  <si>
    <t>Hourly rate</t>
  </si>
  <si>
    <t>Total hours</t>
  </si>
  <si>
    <t>Net cost total</t>
  </si>
  <si>
    <t>1PM</t>
  </si>
  <si>
    <t>In d7.4 it is reported PM3,37 and a cost of 22,402.00 and this is impossible for me to evaluate without your actual calculation.</t>
  </si>
  <si>
    <t>MCN</t>
  </si>
  <si>
    <t>This calculation is done by MNU since CKR have not delivered the contribution to D7.5</t>
  </si>
  <si>
    <t>Cost is calculated based on PM7,19 delivered for D7.4</t>
  </si>
  <si>
    <t>Everyone is informed to calculate 1PM as 143.333 hours.</t>
  </si>
  <si>
    <t>Per your budget</t>
  </si>
  <si>
    <t>DIR</t>
  </si>
  <si>
    <t>Dir (EUR)</t>
  </si>
  <si>
    <t>GreenOfshoreTech TOTAL (Period M1 to M9)</t>
  </si>
  <si>
    <t>Other Dir. 
Cost</t>
  </si>
  <si>
    <t>ALL DIRECT &amp; INDIRECT COST CALCULATIONS PER PARTNER</t>
  </si>
  <si>
    <t>TOTAL BUDGET</t>
  </si>
  <si>
    <t>Other Dir. 
Cost Budget</t>
  </si>
  <si>
    <t>TOTAL
COST</t>
  </si>
  <si>
    <t>TOTAL BUDGET IS NOT EQUAL TO EC CONTRIBUTION DUE TO THE SME PARTNERS</t>
  </si>
  <si>
    <t>Task/
WP</t>
  </si>
  <si>
    <t>ODC</t>
  </si>
  <si>
    <t>Otherdirect Cost ( travel, equipment &amp; Other goods and services)(ODC)</t>
  </si>
  <si>
    <t>Task/WP</t>
  </si>
  <si>
    <t xml:space="preserve">T5.3 </t>
  </si>
  <si>
    <t xml:space="preserve">T6.3 </t>
  </si>
  <si>
    <t xml:space="preserve">T7.3 </t>
  </si>
  <si>
    <t>Indir &amp; DIR (EUR)</t>
  </si>
  <si>
    <t>Indir &amp; DIR</t>
  </si>
  <si>
    <t>ALL</t>
  </si>
  <si>
    <t>All</t>
  </si>
  <si>
    <t>MNU</t>
  </si>
  <si>
    <t>Used of Budget</t>
  </si>
  <si>
    <t>SCA</t>
  </si>
  <si>
    <t>FOC</t>
  </si>
  <si>
    <t>CLTV</t>
  </si>
  <si>
    <t>MAI</t>
  </si>
  <si>
    <t>BIN</t>
  </si>
  <si>
    <t>IOC</t>
  </si>
  <si>
    <t>BAL</t>
  </si>
  <si>
    <t>MEERI</t>
  </si>
  <si>
    <t>CKR</t>
  </si>
  <si>
    <t>SCA BUDGET</t>
  </si>
  <si>
    <t>FOC BUDGET</t>
  </si>
  <si>
    <t>CTLV BUDGET</t>
  </si>
  <si>
    <t>BIN BUDGET</t>
  </si>
  <si>
    <t>IOC BUDGET</t>
  </si>
  <si>
    <t>HIE BUDGET</t>
  </si>
  <si>
    <t>BAL BUDGET</t>
  </si>
  <si>
    <t>MEERI BUDGET</t>
  </si>
  <si>
    <t>MCN BUDGET</t>
  </si>
  <si>
    <t>CKR BUDGET</t>
  </si>
  <si>
    <t>MNU
COST</t>
  </si>
  <si>
    <t>SCA
COST</t>
  </si>
  <si>
    <t>FOC
COST</t>
  </si>
  <si>
    <t>CTLV
COST</t>
  </si>
  <si>
    <t>MAI
COST</t>
  </si>
  <si>
    <t>BIN
COST</t>
  </si>
  <si>
    <t>IOC
COST</t>
  </si>
  <si>
    <t>HIE
COST</t>
  </si>
  <si>
    <t>BAL
COST</t>
  </si>
  <si>
    <t>MEERI
COST</t>
  </si>
  <si>
    <t>MCN
COST</t>
  </si>
  <si>
    <t>CKR
COST</t>
  </si>
  <si>
    <t>GOT</t>
  </si>
  <si>
    <t>Partner</t>
  </si>
  <si>
    <t>Programme of Business Support Services to winner SMEs</t>
  </si>
  <si>
    <t>Business Support Service #4 One-to-One Mentoring and Coaching</t>
  </si>
  <si>
    <t>Budget WP1-5</t>
  </si>
  <si>
    <t>Without travel cost</t>
  </si>
  <si>
    <t xml:space="preserve"> % Cost Allocated to the SMEs</t>
  </si>
  <si>
    <t>Total budget of the project</t>
  </si>
  <si>
    <t>70%.                               Delivered Hourly cost estimate and Budget allocation.</t>
  </si>
  <si>
    <t>Revised
MAI BUDGET</t>
  </si>
  <si>
    <t xml:space="preserve">
MAI BUDGET</t>
  </si>
  <si>
    <t>AMD2</t>
  </si>
  <si>
    <t>For BUDGET</t>
  </si>
  <si>
    <t>For 75% RULE</t>
  </si>
  <si>
    <t>ORG =</t>
  </si>
  <si>
    <t xml:space="preserve">Direct monthly rate </t>
  </si>
  <si>
    <t>AMD1</t>
  </si>
  <si>
    <t>BUDGET</t>
  </si>
  <si>
    <t>REVISION</t>
  </si>
  <si>
    <t>COMMENT</t>
  </si>
  <si>
    <t xml:space="preserve">Personnel costs (DIRECT only) </t>
  </si>
  <si>
    <t>Personnel costs (DIRECT &amp; INDIRECT)</t>
  </si>
  <si>
    <t>hours</t>
  </si>
  <si>
    <t>PMs</t>
  </si>
  <si>
    <t>Hours</t>
  </si>
  <si>
    <t>EUR</t>
  </si>
  <si>
    <t>OK</t>
  </si>
  <si>
    <t>Ok.</t>
  </si>
  <si>
    <t>Ok</t>
  </si>
  <si>
    <t xml:space="preserve">Business Support Services to winner SMEs  </t>
  </si>
  <si>
    <t xml:space="preserve">Programme of Business Support Services to winner SMEs </t>
  </si>
  <si>
    <r>
      <t xml:space="preserve">Business Support Service #4 One-to-One Mentoring and Coaching </t>
    </r>
    <r>
      <rPr>
        <b/>
        <sz val="8"/>
        <color rgb="FFFF0000"/>
        <rFont val="Calibri"/>
        <family val="2"/>
        <scheme val="minor"/>
      </rPr>
      <t>(prep + service)</t>
    </r>
  </si>
  <si>
    <r>
      <t xml:space="preserve">Validation &amp; Impact assessment of GreenOffshoreTech LSD </t>
    </r>
    <r>
      <rPr>
        <b/>
        <sz val="8"/>
        <color rgb="FFFF0000"/>
        <rFont val="Calibri"/>
        <family val="2"/>
        <scheme val="minor"/>
      </rPr>
      <t>(data collection &amp; analysis)</t>
    </r>
  </si>
  <si>
    <t>NOTE: Key Tasks to be  marked light green</t>
  </si>
  <si>
    <t>minus 0,53 PM ( shift to WP6)</t>
  </si>
  <si>
    <t>minus 0,11 PM</t>
  </si>
  <si>
    <t>pminus 0,42 PM</t>
  </si>
  <si>
    <t>ok</t>
  </si>
  <si>
    <t xml:space="preserve">We would like to add 8000 EUR to this (allocate money from our travel budget). Under this Task not only one persone will be working. The main thing is that one part is coordination, planning, but other thing is - planned staff who will be making B2B meeting, making plans to teach and educate SMEs about investor pitching. When we elaborated deliverable and description for this task, we understood that staff who could make quality training, that will be specially aimed to winner SME's, needs more hours for work. Work includes planning, communication with SMEs, B2B meetings, getting to understend SMEs and what they need and what they want. </t>
  </si>
  <si>
    <t>Plus 0,53 PM</t>
  </si>
  <si>
    <t xml:space="preserve">plus 0.35 PM </t>
  </si>
  <si>
    <t xml:space="preserve">plus 0.18 PM </t>
  </si>
  <si>
    <t>plus 0.2 PM</t>
  </si>
  <si>
    <t>plus 0.1 PM</t>
  </si>
  <si>
    <t>plus 0.05 PM</t>
  </si>
  <si>
    <t>minus 0.1 PM</t>
  </si>
  <si>
    <t>minus 0.15 PM</t>
  </si>
  <si>
    <t>minus 0.3 PM</t>
  </si>
  <si>
    <t>plus 0.5 PM (support with Call docs)</t>
  </si>
  <si>
    <t>plus 0.1 PM (support with Call announcement doc)</t>
  </si>
  <si>
    <t>minus 0.9 PM: SCA cannot be evaluator due to conflict of intrest.</t>
  </si>
  <si>
    <t>minus 0.9 PM (shift to WP7)</t>
  </si>
  <si>
    <t>plus 0.2 PM (input to definition of all BSSs)</t>
  </si>
  <si>
    <t>minus 0.4 PM (virtual instead of F2F)</t>
  </si>
  <si>
    <t>minus 0.5 PM</t>
  </si>
  <si>
    <t xml:space="preserve">minus 0.2 PM </t>
  </si>
  <si>
    <t>OK, but internal shift.</t>
  </si>
  <si>
    <t>plus 0.5 PM (from T5.3)</t>
  </si>
  <si>
    <t>minus 0.5 PM (no INNOSUP comparison)</t>
  </si>
  <si>
    <t>plus 0.4 PM (support with first com kit)</t>
  </si>
  <si>
    <t>minus 0.2 PM (being SME less relevant)</t>
  </si>
  <si>
    <t>minus 0.2 PM</t>
  </si>
  <si>
    <t>plus 1.1 PM</t>
  </si>
  <si>
    <t>plus 0.5 PM (participation GA meets)</t>
  </si>
  <si>
    <t>plus 0.5 PM (cost statements, 75% prep)</t>
  </si>
  <si>
    <t>plus 0.1 (review work)</t>
  </si>
  <si>
    <t>NOTE: Key Tasks are marked light green</t>
  </si>
  <si>
    <t>Shift 2,05; Shift 2PM to WP7, Shift 0,5 to WP4</t>
  </si>
  <si>
    <t>no changes</t>
  </si>
  <si>
    <t>no changes (WP is extended as discussed)</t>
  </si>
  <si>
    <t>plus 0,05 from WP 1</t>
  </si>
  <si>
    <t>plus 2 PM from WP 1</t>
  </si>
  <si>
    <t>the shifted 2PM are split between 7.2 and 7.3</t>
  </si>
  <si>
    <t>the shifted 2PM are split between 7.2 and 7.4</t>
  </si>
  <si>
    <t>plus 1,05 PM (participation GA meets)</t>
  </si>
  <si>
    <t>plus 1 PM (cost statements)</t>
  </si>
  <si>
    <t>no Change</t>
  </si>
  <si>
    <t>WP/Task</t>
  </si>
  <si>
    <t>Duration (M)</t>
  </si>
  <si>
    <t>Proposal of changes of PM (12.2022)</t>
  </si>
  <si>
    <t>Personnel Direct and Indirect</t>
  </si>
  <si>
    <t>Proposal of changes (12.2022)</t>
  </si>
  <si>
    <t xml:space="preserve"> 1-19</t>
  </si>
  <si>
    <t xml:space="preserve"> 1-6</t>
  </si>
  <si>
    <t xml:space="preserve"> 1-36</t>
  </si>
  <si>
    <t xml:space="preserve"> 1-7</t>
  </si>
  <si>
    <t xml:space="preserve"> 8-18</t>
  </si>
  <si>
    <t xml:space="preserve"> 11-20</t>
  </si>
  <si>
    <t xml:space="preserve"> 13-22</t>
  </si>
  <si>
    <t xml:space="preserve"> 13-36</t>
  </si>
  <si>
    <r>
      <t xml:space="preserve">Programme of Business Support Services to winner SMEs </t>
    </r>
    <r>
      <rPr>
        <b/>
        <sz val="8"/>
        <color theme="1"/>
        <rFont val="Calibri"/>
        <family val="2"/>
        <scheme val="minor"/>
      </rPr>
      <t>(prep)</t>
    </r>
  </si>
  <si>
    <t xml:space="preserve"> 1-24</t>
  </si>
  <si>
    <r>
      <t xml:space="preserve">Business Support Service #4 One-to-One Mentoring and Coaching </t>
    </r>
    <r>
      <rPr>
        <b/>
        <sz val="8"/>
        <color theme="1"/>
        <rFont val="Calibri"/>
        <family val="2"/>
        <scheme val="minor"/>
      </rPr>
      <t>(prep)</t>
    </r>
  </si>
  <si>
    <t xml:space="preserve"> 1-32</t>
  </si>
  <si>
    <r>
      <t xml:space="preserve">Validation &amp; Impact assessment of GreenOffshoreTech LSD </t>
    </r>
    <r>
      <rPr>
        <b/>
        <sz val="8"/>
        <color theme="1"/>
        <rFont val="Calibri"/>
        <family val="2"/>
        <scheme val="minor"/>
      </rPr>
      <t>(data collection)</t>
    </r>
  </si>
  <si>
    <t xml:space="preserve"> 35-36</t>
  </si>
  <si>
    <t>Other direct costs &amp; Other goods and services including Indirect costs</t>
  </si>
  <si>
    <t>Budget total</t>
  </si>
  <si>
    <t>minus 0,1 PM</t>
  </si>
  <si>
    <t>plus 0,1 PM</t>
  </si>
  <si>
    <t>INNOSUP 1: Monitoring Table 75% requirement</t>
  </si>
  <si>
    <t>version 23/03/2018</t>
  </si>
  <si>
    <r>
      <rPr>
        <b/>
        <sz val="14"/>
        <color theme="1"/>
        <rFont val="Calibri"/>
        <family val="2"/>
        <scheme val="minor"/>
      </rPr>
      <t>Project</t>
    </r>
    <r>
      <rPr>
        <sz val="14"/>
        <color theme="1"/>
        <rFont val="Calibri"/>
        <family val="2"/>
        <scheme val="minor"/>
      </rPr>
      <t xml:space="preserve">: </t>
    </r>
    <r>
      <rPr>
        <b/>
        <sz val="14"/>
        <color rgb="FF0070C0"/>
        <rFont val="Calibri"/>
        <family val="2"/>
        <scheme val="minor"/>
      </rPr>
      <t>GreenOffshoreTech - GA 101005541</t>
    </r>
  </si>
  <si>
    <r>
      <rPr>
        <b/>
        <sz val="12"/>
        <color theme="1"/>
        <rFont val="Calibri"/>
        <family val="2"/>
        <scheme val="minor"/>
      </rPr>
      <t>Period covered</t>
    </r>
    <r>
      <rPr>
        <sz val="12"/>
        <color theme="1"/>
        <rFont val="Calibri"/>
        <family val="2"/>
        <scheme val="minor"/>
      </rPr>
      <t xml:space="preserve">: </t>
    </r>
    <r>
      <rPr>
        <b/>
        <sz val="14"/>
        <color rgb="FF0070C0"/>
        <rFont val="Calibri"/>
        <family val="2"/>
        <scheme val="minor"/>
      </rPr>
      <t>from project start date (01/09/2021) to 31/05/2022 - M1-M9</t>
    </r>
  </si>
  <si>
    <t>Deliverable D7.5</t>
  </si>
  <si>
    <r>
      <t xml:space="preserve">***Please read the instructions in </t>
    </r>
    <r>
      <rPr>
        <b/>
        <sz val="12"/>
        <color rgb="FFFF0000"/>
        <rFont val="Calibri"/>
        <family val="2"/>
        <scheme val="minor"/>
      </rPr>
      <t>Sheet 2</t>
    </r>
    <r>
      <rPr>
        <b/>
        <sz val="12"/>
        <rFont val="Calibri"/>
        <family val="2"/>
        <scheme val="minor"/>
      </rPr>
      <t xml:space="preserve"> and look at the example in </t>
    </r>
    <r>
      <rPr>
        <b/>
        <sz val="12"/>
        <color rgb="FFFF0000"/>
        <rFont val="Calibri"/>
        <family val="2"/>
        <scheme val="minor"/>
      </rPr>
      <t>Sheet 3</t>
    </r>
    <r>
      <rPr>
        <b/>
        <sz val="12"/>
        <rFont val="Calibri"/>
        <family val="2"/>
        <scheme val="minor"/>
      </rPr>
      <t xml:space="preserve"> before completing the table***</t>
    </r>
  </si>
  <si>
    <t>automatic filling</t>
  </si>
  <si>
    <t>Section 1 - Direct financial support to SMEs to support innovation</t>
  </si>
  <si>
    <t>Related WP task</t>
  </si>
  <si>
    <r>
      <t xml:space="preserve">N° of beneficiary SMEs for country 1: </t>
    </r>
    <r>
      <rPr>
        <b/>
        <i/>
        <sz val="10"/>
        <rFont val="Calibri"/>
        <family val="2"/>
        <scheme val="minor"/>
      </rPr>
      <t>(specify country) for period covered</t>
    </r>
  </si>
  <si>
    <r>
      <t xml:space="preserve">N° of beneficiary SMEs for country 2: </t>
    </r>
    <r>
      <rPr>
        <b/>
        <i/>
        <sz val="10"/>
        <rFont val="Calibri"/>
        <family val="2"/>
        <scheme val="minor"/>
      </rPr>
      <t>(specify country)</t>
    </r>
    <r>
      <rPr>
        <b/>
        <sz val="10"/>
        <rFont val="Calibri"/>
        <family val="2"/>
        <scheme val="minor"/>
      </rPr>
      <t xml:space="preserve"> for period covered</t>
    </r>
  </si>
  <si>
    <r>
      <t xml:space="preserve">N° of beneficiary SMEs for country 3: </t>
    </r>
    <r>
      <rPr>
        <b/>
        <i/>
        <sz val="10"/>
        <rFont val="Calibri"/>
        <family val="2"/>
        <scheme val="minor"/>
      </rPr>
      <t>(specify country)</t>
    </r>
    <r>
      <rPr>
        <b/>
        <sz val="10"/>
        <rFont val="Calibri"/>
        <family val="2"/>
        <scheme val="minor"/>
      </rPr>
      <t xml:space="preserve"> for period covered</t>
    </r>
  </si>
  <si>
    <r>
      <t xml:space="preserve">N° of beneficiary SMEs for country 4: </t>
    </r>
    <r>
      <rPr>
        <b/>
        <i/>
        <sz val="10"/>
        <rFont val="Calibri"/>
        <family val="2"/>
        <scheme val="minor"/>
      </rPr>
      <t>(specify country)</t>
    </r>
    <r>
      <rPr>
        <b/>
        <sz val="10"/>
        <rFont val="Calibri"/>
        <family val="2"/>
        <scheme val="minor"/>
      </rPr>
      <t xml:space="preserve"> for period covered</t>
    </r>
  </si>
  <si>
    <r>
      <t xml:space="preserve">N° of beneficiary SMEs for country 5: </t>
    </r>
    <r>
      <rPr>
        <b/>
        <i/>
        <sz val="10"/>
        <rFont val="Calibri"/>
        <family val="2"/>
        <scheme val="minor"/>
      </rPr>
      <t xml:space="preserve">(specify country) </t>
    </r>
    <r>
      <rPr>
        <b/>
        <sz val="10"/>
        <rFont val="Calibri"/>
        <family val="2"/>
        <scheme val="minor"/>
      </rPr>
      <t>for period covered</t>
    </r>
  </si>
  <si>
    <t>TOTAL n° of beneficiary SMEs  for period covered</t>
  </si>
  <si>
    <t>TOTAL n° of beneficiary SMEs  for whole project duration (target)</t>
  </si>
  <si>
    <t>(Average) cost per individual service (in €)</t>
  </si>
  <si>
    <t>Total costs for all beneficiary SMEs for period covered</t>
  </si>
  <si>
    <t>Total budget for all beneficiary SMEs for whole project duration (target)</t>
  </si>
  <si>
    <t>Beneficiaries: country distribution (for period covered)</t>
  </si>
  <si>
    <t>Partners involved (in period covered)</t>
  </si>
  <si>
    <t>Additional information</t>
  </si>
  <si>
    <t xml:space="preserve"> CALL - cutoff 1:</t>
  </si>
  <si>
    <t xml:space="preserve"> ---</t>
  </si>
  <si>
    <t>Direct funding (lump sums) - PHASE 1</t>
  </si>
  <si>
    <t xml:space="preserve">T3.5 </t>
  </si>
  <si>
    <t>xx SMEs: 10x NO, 8x PL, 6x UK, etc</t>
  </si>
  <si>
    <t>Payments done to SMEs.</t>
  </si>
  <si>
    <t>Direct funding (lump sums) - PHASE 2</t>
  </si>
  <si>
    <t>xx SMEs:   5x NO, 4x PL, 3x UK, etc</t>
  </si>
  <si>
    <t>Direct funding (lump sums) - PHASE 3</t>
  </si>
  <si>
    <t>xx SMEs:   1x NO, 1x PL, 1x UK, etc</t>
  </si>
  <si>
    <t xml:space="preserve"> CALL - cutoff 2:</t>
  </si>
  <si>
    <t>xx SMEs: 8x NO, 6x PL, 4x UK, etc</t>
  </si>
  <si>
    <t>xx SMEs: 4x NO, 3x PL, 2x UK, etc</t>
  </si>
  <si>
    <t>xx SMEs:  1x NO, 1x PL, 1x UK, etc</t>
  </si>
  <si>
    <t>Total amounts -  section 1</t>
  </si>
  <si>
    <t>Total of unique SMEs directly assisted (section 1)</t>
  </si>
  <si>
    <t>xx SMEs: 18x NO, 14x PL, 10x UK, etc.</t>
  </si>
  <si>
    <t>Section 2 - Direct innovation support (non financial) to individual SMEs</t>
  </si>
  <si>
    <r>
      <t xml:space="preserve">N° of beneficiary SMEs for country 1: </t>
    </r>
    <r>
      <rPr>
        <b/>
        <i/>
        <sz val="10"/>
        <color theme="1"/>
        <rFont val="Calibri"/>
        <family val="2"/>
        <scheme val="minor"/>
      </rPr>
      <t>(specify country) for period covered</t>
    </r>
  </si>
  <si>
    <r>
      <t xml:space="preserve">N° of beneficiary SMEs for country 2: </t>
    </r>
    <r>
      <rPr>
        <b/>
        <i/>
        <sz val="10"/>
        <color theme="1"/>
        <rFont val="Calibri"/>
        <family val="2"/>
        <scheme val="minor"/>
      </rPr>
      <t>(specify country)</t>
    </r>
    <r>
      <rPr>
        <b/>
        <sz val="10"/>
        <color theme="1"/>
        <rFont val="Calibri"/>
        <family val="2"/>
        <scheme val="minor"/>
      </rPr>
      <t xml:space="preserve"> for period covered</t>
    </r>
  </si>
  <si>
    <r>
      <t xml:space="preserve">N° of beneficiary SMEs for country 3: </t>
    </r>
    <r>
      <rPr>
        <b/>
        <i/>
        <sz val="10"/>
        <color theme="1"/>
        <rFont val="Calibri"/>
        <family val="2"/>
        <scheme val="minor"/>
      </rPr>
      <t>(specify country)</t>
    </r>
    <r>
      <rPr>
        <b/>
        <sz val="10"/>
        <color theme="1"/>
        <rFont val="Calibri"/>
        <family val="2"/>
        <scheme val="minor"/>
      </rPr>
      <t xml:space="preserve"> for period covered</t>
    </r>
  </si>
  <si>
    <r>
      <t xml:space="preserve">N° of beneficiary SMEs for country 4: </t>
    </r>
    <r>
      <rPr>
        <b/>
        <i/>
        <sz val="10"/>
        <color theme="1"/>
        <rFont val="Calibri"/>
        <family val="2"/>
        <scheme val="minor"/>
      </rPr>
      <t>(specify country)</t>
    </r>
    <r>
      <rPr>
        <b/>
        <sz val="10"/>
        <color theme="1"/>
        <rFont val="Calibri"/>
        <family val="2"/>
        <scheme val="minor"/>
      </rPr>
      <t xml:space="preserve"> for period covered</t>
    </r>
  </si>
  <si>
    <r>
      <t xml:space="preserve">N° of beneficiary SMEs for country 5: </t>
    </r>
    <r>
      <rPr>
        <b/>
        <i/>
        <sz val="10"/>
        <color theme="1"/>
        <rFont val="Calibri"/>
        <family val="2"/>
        <scheme val="minor"/>
      </rPr>
      <t xml:space="preserve">(specify country) </t>
    </r>
    <r>
      <rPr>
        <b/>
        <sz val="10"/>
        <color theme="1"/>
        <rFont val="Calibri"/>
        <family val="2"/>
        <scheme val="minor"/>
      </rPr>
      <t>for period covered</t>
    </r>
  </si>
  <si>
    <t>CALL - cutoff 1+2:</t>
  </si>
  <si>
    <t>Delivery of Business Support Service #1 Business &amp; Tech Academy</t>
  </si>
  <si>
    <t>MAI (lead), MNU, FOC, CTLV, CKR, CMAB, IOC, HIE, MCN, MEERI, SCA, BAL</t>
  </si>
  <si>
    <t>Staff costs (direct + indirect)</t>
  </si>
  <si>
    <t>Delivery of Business Support Service #2 Brokerage &amp; B2B matchmaking events</t>
  </si>
  <si>
    <t>CMAB (lead), MNU, FOC, CTLV, CKR, CMAB, IOC, HIE, MCN, MEERI, SCA, BAL</t>
  </si>
  <si>
    <t>Delivery of Business Support Service #3 Access to Finance</t>
  </si>
  <si>
    <t xml:space="preserve">HIE (lead), MNU, FOC, CTLV, CKR, MAI, CMAB, IOC, HIE, MCN </t>
  </si>
  <si>
    <t>Delivery of Business Support Service #4 One-to-One Mentoring and Coaching</t>
  </si>
  <si>
    <t>xx SMEs: 9x NO, 7x PL, 5x UK, etc.</t>
  </si>
  <si>
    <t xml:space="preserve">SCA (lead) </t>
  </si>
  <si>
    <t>Delivery of Business Support Service #5 Branding</t>
  </si>
  <si>
    <t>FOC (lead)</t>
  </si>
  <si>
    <t>Delivery of Business Support Service #6 Internationalisation</t>
  </si>
  <si>
    <t xml:space="preserve">MCN (lead),  MNU, FOC, CTLV, CKR, MAI, CMAB, IOC, HIE </t>
  </si>
  <si>
    <t>Delivery of Business Support Service #7 Investor pitching</t>
  </si>
  <si>
    <t>CTLV (lead), MNU, HIE, SCA</t>
  </si>
  <si>
    <t>Delivery of Business Support Service #8 Investor rounds</t>
  </si>
  <si>
    <t>MNU (lead), FOC, CTLV, CKR, MAI, CMAB, IOC, HIE, MCN, MEERI, SCA, BAL</t>
  </si>
  <si>
    <t>Total amounts -  section 2</t>
  </si>
  <si>
    <t>Total of unique SMEs directly assisted (section 2)</t>
  </si>
  <si>
    <t>Total of unique SMEs directly assisted (sections 1 + 2)</t>
  </si>
  <si>
    <t xml:space="preserve">Section 3 - other innovation services provided to SMEs </t>
  </si>
  <si>
    <t>TOTAL n° of SMEs for period covered</t>
  </si>
  <si>
    <t>TOTAL n° of  SMEs for whole project duration (target)</t>
  </si>
  <si>
    <t>Total costs for period covered</t>
  </si>
  <si>
    <t>Total budget for whole project duration (target)</t>
  </si>
  <si>
    <t>Number of services (for period covered)</t>
  </si>
  <si>
    <t>Virtual Brockerage Event (?)</t>
  </si>
  <si>
    <t>1x virtual brockerage event</t>
  </si>
  <si>
    <t>FOC (lead), MNU, CTLV, CKR, MAI, CMAB, IOC, HIE, MCN, MEERI, SCA, BAL</t>
  </si>
  <si>
    <t>Total amounts -  section 3</t>
  </si>
  <si>
    <t>Section 4 - costs for preparation / management / monitoring of services in other sections</t>
  </si>
  <si>
    <t>Costs for preparation/ management/ monitoring of services in Section 1+2:</t>
  </si>
  <si>
    <t>Costs for preparation of the Topics for the Call for Proposals</t>
  </si>
  <si>
    <t>T1.1, T1.2, T1.3</t>
  </si>
  <si>
    <t>MEERI (lead), HIE (lead), MNU, FOC, CTLV, CKR, MAI, CMAB, IOC, MCN, SCA, BAL</t>
  </si>
  <si>
    <t>Cost for preparation of the Cluster Collaboration Platform for managing the open Call, the development of the new Virtual Matchmaking tool, and the estbalishment of a Virtual Collaboration Environment</t>
  </si>
  <si>
    <t>T2.1, T2.2, T2.3, T2.4</t>
  </si>
  <si>
    <t>HIE (lead), BAL (lead), CKR (lead), MNU, FOC, CTLV, MAI, CMAB, IOC, MCN, SCA</t>
  </si>
  <si>
    <t>Costs for preparation, evaluation and monitoring of the Call for Proposals and the winner SMEs Projects</t>
  </si>
  <si>
    <t>T3.1, T3.2, T3.3, T3.4, T3.5, T3.6</t>
  </si>
  <si>
    <t xml:space="preserve">CKR (lead), BAL (lead), MNU (lead), SCA (lead), FOC, CTLV, MAI, CMAB, ICO, HIE, MCN, MEERI </t>
  </si>
  <si>
    <t xml:space="preserve">Costs for preparation and monitoring of the Business Support Services </t>
  </si>
  <si>
    <t>T4.1, T4.2, T4.3, T4.4, T4.5, T4.6, T4.7, T4.8, T4.9</t>
  </si>
  <si>
    <t>MAI (lead), MNU (lead), FOC (lead), CTLV(lead), CMAB (lead), HIE (lead), MCN (lead), SCA (lead), IOC, CKR, MEERI,  BAL</t>
  </si>
  <si>
    <t>Costs for preparation and monitoring of the Large-scale Demonstrator</t>
  </si>
  <si>
    <t>T5.1, T5.2, T5.3</t>
  </si>
  <si>
    <t>SCA (lead), MNU, FOC, CTLV, CKR, MAI, CMAB, IOC, HIE, MCN, MEERI, BAL</t>
  </si>
  <si>
    <t>Total amounts -  section 4</t>
  </si>
  <si>
    <t>Section 5 - costs of SME partners in the consortium not declared in sections 1,2, 3 and 4</t>
  </si>
  <si>
    <t>Partner 7 - IOC</t>
  </si>
  <si>
    <t>Reviews, workshop support.</t>
  </si>
  <si>
    <t>FOC, IOC</t>
  </si>
  <si>
    <t>Partner 11 - SCA</t>
  </si>
  <si>
    <t>T7.1, T7.2,T7.3, T6.1</t>
  </si>
  <si>
    <t>FOC, SCA, MNU</t>
  </si>
  <si>
    <t>No Allocated budget for T6.1, T7.1, T7.2 and T7.3 (spending of 6548 Euro without prior clarification from WP owners).</t>
  </si>
  <si>
    <t>Partner 12 - BAL</t>
  </si>
  <si>
    <t>Total amounts -  section 5</t>
  </si>
  <si>
    <t>GRAND TOTAL</t>
  </si>
  <si>
    <t>Total innovation support costs for period covered</t>
  </si>
  <si>
    <t>Total innovation support budget for whole project duration (target)</t>
  </si>
  <si>
    <t>sections 1 to 5</t>
  </si>
  <si>
    <t xml:space="preserve">Total budget of the project (in €): 
</t>
  </si>
  <si>
    <t xml:space="preserve">Total budget of the project to be allocated to support innovation in SMEs (in €): 
</t>
  </si>
  <si>
    <t>€</t>
  </si>
  <si>
    <t>imported from GRAND TOTAL</t>
  </si>
  <si>
    <t xml:space="preserve">% of costs to be allocated to support innovation in SMEs vs total costs:
</t>
  </si>
  <si>
    <t>minimum 75% of total budget</t>
  </si>
  <si>
    <t xml:space="preserve">%  of costs allocated to support innovation in SMEs in the period covered vs total budget: 
</t>
  </si>
  <si>
    <t>Total innovation support costs for period covered from GRAND TOTAL divided by total budget of the project</t>
  </si>
  <si>
    <t>B1</t>
  </si>
  <si>
    <t>B2</t>
  </si>
  <si>
    <t>B3</t>
  </si>
  <si>
    <t>B4</t>
  </si>
  <si>
    <t>B5</t>
  </si>
  <si>
    <t>B6</t>
  </si>
  <si>
    <t>B7</t>
  </si>
  <si>
    <t>B8</t>
  </si>
  <si>
    <t>B9</t>
  </si>
  <si>
    <t>B10</t>
  </si>
  <si>
    <t>B11</t>
  </si>
  <si>
    <t>B12</t>
  </si>
  <si>
    <t>No</t>
  </si>
  <si>
    <t>Work Packages (WP) &amp; Tasks (T)</t>
  </si>
  <si>
    <t>Lead</t>
  </si>
  <si>
    <t>Start</t>
  </si>
  <si>
    <t>End</t>
  </si>
  <si>
    <t>CTLV</t>
  </si>
  <si>
    <t>TOTAL PMs</t>
  </si>
  <si>
    <t>CMAB</t>
  </si>
  <si>
    <t xml:space="preserve">Validation &amp; Impact assessment of GreenOffshoreTech LSD </t>
  </si>
  <si>
    <t>SUM</t>
  </si>
  <si>
    <t xml:space="preserve">Minus 1 PM  </t>
  </si>
  <si>
    <t>minus 1 PM (shift to WP7)</t>
  </si>
  <si>
    <t xml:space="preserve">minus 0,5 PM </t>
  </si>
  <si>
    <t xml:space="preserve">minus 0,25 PM (SHIFT to WP7) </t>
  </si>
  <si>
    <t xml:space="preserve">Minus 0,5 PM </t>
  </si>
  <si>
    <t xml:space="preserve">minus 0,5 PM (SHIFT to WP7) </t>
  </si>
  <si>
    <t>OK.</t>
  </si>
  <si>
    <t xml:space="preserve">plus 1 PM </t>
  </si>
  <si>
    <t>Execution</t>
  </si>
  <si>
    <t>Confirmed rate</t>
  </si>
  <si>
    <t>Retrieved from budget</t>
  </si>
  <si>
    <t>Estimated to 60 EURO per hour</t>
  </si>
  <si>
    <r>
      <rPr>
        <b/>
        <sz val="8"/>
        <color theme="1"/>
        <rFont val="Calibri"/>
        <family val="2"/>
        <scheme val="minor"/>
      </rPr>
      <t>Ok</t>
    </r>
    <r>
      <rPr>
        <sz val="8"/>
        <color theme="1"/>
        <rFont val="Calibri"/>
        <family val="2"/>
        <scheme val="minor"/>
      </rPr>
      <t>.</t>
    </r>
  </si>
  <si>
    <t xml:space="preserve">minus 0.13 PM </t>
  </si>
  <si>
    <t>plus 0.04 PM</t>
  </si>
  <si>
    <t>minus 0.8 PM</t>
  </si>
  <si>
    <t xml:space="preserve">minus 0.71 PM  </t>
  </si>
  <si>
    <t>minus 0.14 PM</t>
  </si>
  <si>
    <t>plus 0.1 0PM</t>
  </si>
  <si>
    <t>minus 0.04 PM</t>
  </si>
  <si>
    <t>Hourly rate 65,37</t>
  </si>
  <si>
    <t>Hourly rate 81,71</t>
  </si>
  <si>
    <t xml:space="preserve">plus 0,08 PM </t>
  </si>
  <si>
    <t>minus 0.33 PM</t>
  </si>
  <si>
    <t>minus 0.16 PM</t>
  </si>
  <si>
    <t>minus 0,83 PM</t>
  </si>
  <si>
    <t>plus 0.17 PM</t>
  </si>
  <si>
    <t>plus 0.24 PM</t>
  </si>
  <si>
    <t>Verify below this line.</t>
  </si>
  <si>
    <t>DELIVERABLE</t>
  </si>
  <si>
    <t>D7.5</t>
  </si>
  <si>
    <t>SECTION 4</t>
  </si>
  <si>
    <t>SECTION 5</t>
  </si>
  <si>
    <t xml:space="preserve">minus 0.66 PM </t>
  </si>
  <si>
    <t>minus 0.20 PM</t>
  </si>
  <si>
    <t>minus 0,4 PM</t>
  </si>
  <si>
    <t>plus 0,01 PM</t>
  </si>
  <si>
    <t xml:space="preserve">minus 0.24 PM </t>
  </si>
  <si>
    <t>minus 0.42 PM</t>
  </si>
  <si>
    <t>minus 0,65 PM</t>
  </si>
  <si>
    <t>plus 0,35 PM</t>
  </si>
  <si>
    <t>plus 0,71 PM</t>
  </si>
  <si>
    <t>plus 1,06 PM</t>
  </si>
  <si>
    <t>81 Euro per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</si>
</sst>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0"/>
    <numFmt numFmtId="165" formatCode="0.000"/>
    <numFmt numFmtId="170" formatCode="_-&quot;£&quot;* #,##0.00_-;\-&quot;£&quot;* #,##0.00_-;_-&quot;£&quot;* &quot;-&quot;??_-;_-@_-"/>
    <numFmt numFmtId="171" formatCode="0.0%"/>
    <numFmt numFmtId="172" formatCode="0.0000"/>
  </numFmts>
  <fonts count="62" x14ac:knownFonts="1">
    <font>
      <sz val="11"/>
      <color theme="1"/>
      <name val="Calibri"/>
      <family val="2"/>
      <scheme val="minor"/>
    </font>
    <font>
      <b/>
      <sz val="11"/>
      <color rgb="FFFF0000"/>
      <name val="Calibri"/>
      <family val="2"/>
      <scheme val="minor"/>
    </font>
    <font>
      <sz val="11"/>
      <color theme="1"/>
      <name val="Calibri"/>
      <family val="2"/>
      <scheme val="minor"/>
    </font>
    <font>
      <b/>
      <sz val="11"/>
      <name val="Calibri"/>
      <family val="2"/>
      <scheme val="minor"/>
    </font>
    <font>
      <b/>
      <sz val="11"/>
      <color theme="0"/>
      <name val="Calibri"/>
      <family val="2"/>
      <scheme val="minor"/>
    </font>
    <font>
      <b/>
      <sz val="11"/>
      <color rgb="FF0070C0"/>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rgb="FF9C0006"/>
      <name val="Calibri"/>
      <family val="2"/>
      <scheme val="minor"/>
    </font>
    <font>
      <sz val="8"/>
      <color theme="1"/>
      <name val="Calibri"/>
      <family val="2"/>
      <scheme val="minor"/>
    </font>
    <font>
      <b/>
      <sz val="8"/>
      <name val="Calibri"/>
      <family val="2"/>
      <scheme val="minor"/>
    </font>
    <font>
      <b/>
      <sz val="8"/>
      <color theme="0"/>
      <name val="Calibri"/>
      <family val="2"/>
      <scheme val="minor"/>
    </font>
    <font>
      <b/>
      <sz val="8"/>
      <color theme="0"/>
      <name val="Times New Roman"/>
      <family val="1"/>
    </font>
    <font>
      <b/>
      <sz val="8"/>
      <color rgb="FF0070C0"/>
      <name val="Calibri"/>
      <family val="2"/>
      <scheme val="minor"/>
    </font>
    <font>
      <sz val="8"/>
      <color rgb="FFFF0000"/>
      <name val="Calibri"/>
      <family val="2"/>
      <scheme val="minor"/>
    </font>
    <font>
      <sz val="8"/>
      <name val="Calibri"/>
      <family val="2"/>
      <scheme val="minor"/>
    </font>
    <font>
      <b/>
      <sz val="8"/>
      <color rgb="FFFF0000"/>
      <name val="Calibri"/>
      <family val="2"/>
      <scheme val="minor"/>
    </font>
    <font>
      <sz val="10"/>
      <color theme="1"/>
      <name val="Calibri"/>
      <family val="2"/>
      <scheme val="minor"/>
    </font>
    <font>
      <b/>
      <sz val="11"/>
      <color theme="8" tint="-0.249977111117893"/>
      <name val="Calibri"/>
      <family val="2"/>
      <scheme val="minor"/>
    </font>
    <font>
      <b/>
      <sz val="14"/>
      <name val="Calibri"/>
      <family val="2"/>
      <scheme val="minor"/>
    </font>
    <font>
      <b/>
      <sz val="16"/>
      <name val="Calibri"/>
      <family val="2"/>
      <scheme val="minor"/>
    </font>
    <font>
      <b/>
      <sz val="11"/>
      <color theme="4"/>
      <name val="Calibri"/>
      <family val="2"/>
      <scheme val="minor"/>
    </font>
    <font>
      <b/>
      <sz val="12"/>
      <color theme="1"/>
      <name val="Calibri"/>
      <family val="2"/>
      <scheme val="minor"/>
    </font>
    <font>
      <sz val="11"/>
      <color theme="0"/>
      <name val="Calibri"/>
      <family val="2"/>
      <scheme val="minor"/>
    </font>
    <font>
      <sz val="12"/>
      <color rgb="FF333333"/>
      <name val="Roboto"/>
    </font>
    <font>
      <b/>
      <sz val="11"/>
      <color theme="8"/>
      <name val="Calibri"/>
      <family val="2"/>
      <scheme val="minor"/>
    </font>
    <font>
      <b/>
      <sz val="10"/>
      <name val="Calibri"/>
      <family val="2"/>
      <scheme val="minor"/>
    </font>
    <font>
      <b/>
      <sz val="8"/>
      <color theme="1"/>
      <name val="Calibri"/>
      <family val="2"/>
      <scheme val="minor"/>
    </font>
    <font>
      <b/>
      <sz val="8"/>
      <name val="Times New Roman"/>
      <family val="1"/>
    </font>
    <font>
      <sz val="8"/>
      <color rgb="FF00B050"/>
      <name val="Calibri"/>
      <family val="2"/>
      <scheme val="minor"/>
    </font>
    <font>
      <sz val="8"/>
      <color theme="1"/>
      <name val="Times New Roman"/>
      <family val="1"/>
    </font>
    <font>
      <b/>
      <sz val="8"/>
      <color rgb="FFC00000"/>
      <name val="Times New Roman"/>
      <family val="1"/>
    </font>
    <font>
      <sz val="11"/>
      <color theme="1"/>
      <name val="Calibri"/>
      <family val="2"/>
      <charset val="238"/>
      <scheme val="minor"/>
    </font>
    <font>
      <sz val="11"/>
      <color theme="0"/>
      <name val="Calibri"/>
      <family val="2"/>
      <charset val="238"/>
      <scheme val="minor"/>
    </font>
    <font>
      <b/>
      <sz val="8"/>
      <color theme="1"/>
      <name val="Calibri"/>
      <family val="2"/>
      <charset val="238"/>
      <scheme val="minor"/>
    </font>
    <font>
      <b/>
      <sz val="16"/>
      <color theme="1"/>
      <name val="Calibri"/>
      <family val="2"/>
      <scheme val="minor"/>
    </font>
    <font>
      <sz val="16"/>
      <color theme="1"/>
      <name val="Calibri"/>
      <family val="2"/>
      <scheme val="minor"/>
    </font>
    <font>
      <sz val="14"/>
      <color theme="1"/>
      <name val="Calibri"/>
      <family val="2"/>
      <scheme val="minor"/>
    </font>
    <font>
      <b/>
      <sz val="14"/>
      <color theme="1"/>
      <name val="Calibri"/>
      <family val="2"/>
      <scheme val="minor"/>
    </font>
    <font>
      <b/>
      <sz val="14"/>
      <color rgb="FF0070C0"/>
      <name val="Calibri"/>
      <family val="2"/>
      <scheme val="minor"/>
    </font>
    <font>
      <sz val="12"/>
      <color theme="1"/>
      <name val="Calibri"/>
      <family val="2"/>
      <scheme val="minor"/>
    </font>
    <font>
      <b/>
      <sz val="12"/>
      <name val="Calibri"/>
      <family val="2"/>
      <scheme val="minor"/>
    </font>
    <font>
      <b/>
      <sz val="12"/>
      <color rgb="FFFF0000"/>
      <name val="Calibri"/>
      <family val="2"/>
      <scheme val="minor"/>
    </font>
    <font>
      <sz val="12"/>
      <name val="Calibri"/>
      <family val="2"/>
      <scheme val="minor"/>
    </font>
    <font>
      <b/>
      <i/>
      <sz val="10"/>
      <name val="Calibri"/>
      <family val="2"/>
      <scheme val="minor"/>
    </font>
    <font>
      <b/>
      <i/>
      <sz val="11"/>
      <color rgb="FF0070C0"/>
      <name val="Calibri"/>
      <family val="2"/>
      <scheme val="minor"/>
    </font>
    <font>
      <b/>
      <sz val="11"/>
      <color rgb="FFC00000"/>
      <name val="Calibri"/>
      <family val="2"/>
      <scheme val="minor"/>
    </font>
    <font>
      <b/>
      <i/>
      <sz val="11"/>
      <color theme="1"/>
      <name val="Calibri"/>
      <family val="2"/>
      <scheme val="minor"/>
    </font>
    <font>
      <b/>
      <sz val="10"/>
      <color theme="1"/>
      <name val="Calibri"/>
      <family val="2"/>
      <scheme val="minor"/>
    </font>
    <font>
      <b/>
      <i/>
      <sz val="10"/>
      <color theme="1"/>
      <name val="Calibri"/>
      <family val="2"/>
      <scheme val="minor"/>
    </font>
    <font>
      <b/>
      <i/>
      <sz val="11"/>
      <color rgb="FFFF0000"/>
      <name val="Calibri"/>
      <family val="2"/>
      <scheme val="minor"/>
    </font>
    <font>
      <sz val="11"/>
      <color rgb="FF0070C0"/>
      <name val="Calibri"/>
      <family val="2"/>
      <scheme val="minor"/>
    </font>
    <font>
      <i/>
      <sz val="11"/>
      <color theme="1"/>
      <name val="Calibri"/>
      <family val="2"/>
      <scheme val="minor"/>
    </font>
    <font>
      <b/>
      <sz val="10"/>
      <color theme="1"/>
      <name val="Times New Roman"/>
      <family val="1"/>
    </font>
    <font>
      <b/>
      <sz val="11"/>
      <color theme="1"/>
      <name val="Times New Roman"/>
      <family val="1"/>
    </font>
    <font>
      <b/>
      <sz val="10"/>
      <name val="Times New Roman"/>
      <family val="1"/>
    </font>
    <font>
      <sz val="10"/>
      <color theme="1"/>
      <name val="Times New Roman"/>
      <family val="1"/>
    </font>
    <font>
      <b/>
      <sz val="10"/>
      <color theme="0"/>
      <name val="Times New Roman"/>
      <family val="1"/>
    </font>
    <font>
      <sz val="10"/>
      <name val="Times New Roman"/>
      <family val="1"/>
    </font>
    <font>
      <sz val="10"/>
      <color rgb="FFFF0000"/>
      <name val="Times New Roman"/>
      <family val="1"/>
    </font>
    <font>
      <sz val="11"/>
      <color theme="1"/>
      <name val="Times New Roman"/>
      <family val="1"/>
    </font>
  </fonts>
  <fills count="27">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0070C0"/>
        <bgColor indexed="64"/>
      </patternFill>
    </fill>
    <fill>
      <patternFill patternType="solid">
        <fgColor rgb="FFFFC7CE"/>
      </patternFill>
    </fill>
    <fill>
      <patternFill patternType="solid">
        <fgColor theme="4"/>
        <bgColor indexed="64"/>
      </patternFill>
    </fill>
    <fill>
      <patternFill patternType="solid">
        <fgColor theme="5" tint="0.39997558519241921"/>
        <bgColor indexed="64"/>
      </patternFill>
    </fill>
    <fill>
      <patternFill patternType="solid">
        <fgColor theme="5"/>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rgb="FF00FF00"/>
        <bgColor indexed="64"/>
      </patternFill>
    </fill>
    <fill>
      <patternFill patternType="solid">
        <fgColor rgb="FF00FFFF"/>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rgb="FF00B050"/>
        <bgColor indexed="64"/>
      </patternFill>
    </fill>
  </fills>
  <borders count="78">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1" tint="0.499984740745262"/>
      </right>
      <top style="thin">
        <color indexed="64"/>
      </top>
      <bottom style="thin">
        <color theme="1" tint="0.499984740745262"/>
      </bottom>
      <diagonal/>
    </border>
    <border>
      <left/>
      <right style="thin">
        <color auto="1"/>
      </right>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medium">
        <color theme="1" tint="0.499984740745262"/>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auto="1"/>
      </right>
      <top/>
      <bottom/>
      <diagonal/>
    </border>
    <border>
      <left style="thin">
        <color indexed="64"/>
      </left>
      <right style="thin">
        <color theme="1" tint="0.499984740745262"/>
      </right>
      <top style="thin">
        <color theme="1" tint="0.499984740745262"/>
      </top>
      <bottom style="thin">
        <color theme="1" tint="0.499984740745262"/>
      </bottom>
      <diagonal/>
    </border>
    <border>
      <left style="thin">
        <color indexed="64"/>
      </left>
      <right/>
      <top style="medium">
        <color theme="1" tint="0.499984740745262"/>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right style="thin">
        <color theme="1" tint="0.499984740745262"/>
      </right>
      <top style="thin">
        <color theme="1" tint="0.499984740745262"/>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theme="1" tint="0.499984740745262"/>
      </left>
      <right/>
      <top style="medium">
        <color theme="1" tint="0.499984740745262"/>
      </top>
      <bottom style="medium">
        <color theme="1" tint="0.499984740745262"/>
      </bottom>
      <diagonal/>
    </border>
    <border>
      <left/>
      <right/>
      <top style="thin">
        <color theme="1" tint="0.499984740745262"/>
      </top>
      <bottom style="thin">
        <color theme="1" tint="0.499984740745262"/>
      </bottom>
      <diagonal/>
    </border>
    <border>
      <left style="thick">
        <color theme="0"/>
      </left>
      <right/>
      <top/>
      <bottom/>
      <diagonal/>
    </border>
    <border>
      <left style="thin">
        <color theme="0" tint="-0.499984740745262"/>
      </left>
      <right style="thick">
        <color theme="0"/>
      </right>
      <top style="thin">
        <color theme="1" tint="0.499984740745262"/>
      </top>
      <bottom style="thin">
        <color theme="1" tint="0.499984740745262"/>
      </bottom>
      <diagonal/>
    </border>
    <border>
      <left/>
      <right style="thick">
        <color theme="0"/>
      </right>
      <top style="thin">
        <color indexed="64"/>
      </top>
      <bottom style="thin">
        <color theme="1" tint="0.499984740745262"/>
      </bottom>
      <diagonal/>
    </border>
    <border>
      <left/>
      <right style="thick">
        <color theme="0"/>
      </right>
      <top style="thin">
        <color theme="1" tint="0.499984740745262"/>
      </top>
      <bottom style="thin">
        <color theme="1" tint="0.499984740745262"/>
      </bottom>
      <diagonal/>
    </border>
    <border>
      <left/>
      <right style="thick">
        <color theme="0"/>
      </right>
      <top style="thin">
        <color theme="1" tint="0.499984740745262"/>
      </top>
      <bottom/>
      <diagonal/>
    </border>
    <border>
      <left/>
      <right style="thick">
        <color theme="0"/>
      </right>
      <top/>
      <bottom/>
      <diagonal/>
    </border>
    <border>
      <left style="thick">
        <color theme="0"/>
      </left>
      <right/>
      <top style="thick">
        <color theme="0"/>
      </top>
      <bottom/>
      <diagonal/>
    </border>
    <border>
      <left/>
      <right/>
      <top style="thick">
        <color theme="0"/>
      </top>
      <bottom/>
      <diagonal/>
    </border>
    <border>
      <left/>
      <right style="thick">
        <color theme="0"/>
      </right>
      <top style="thick">
        <color theme="0"/>
      </top>
      <bottom/>
      <diagonal/>
    </border>
    <border>
      <left style="thick">
        <color theme="0"/>
      </left>
      <right style="thin">
        <color auto="1"/>
      </right>
      <top/>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right style="medium">
        <color theme="1" tint="0.499984740745262"/>
      </right>
      <top style="medium">
        <color theme="1" tint="0.499984740745262"/>
      </top>
      <bottom style="thick">
        <color theme="0"/>
      </bottom>
      <diagonal/>
    </border>
    <border>
      <left/>
      <right style="thin">
        <color auto="1"/>
      </right>
      <top/>
      <bottom style="thick">
        <color theme="0"/>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ck">
        <color theme="0"/>
      </right>
      <top/>
      <bottom style="thin">
        <color theme="1" tint="0.499984740745262"/>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right style="thick">
        <color theme="0"/>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theme="0"/>
      </right>
      <top style="thin">
        <color indexed="64"/>
      </top>
      <bottom style="thin">
        <color theme="1" tint="0.499984740745262"/>
      </bottom>
      <diagonal/>
    </border>
    <border>
      <left/>
      <right/>
      <top style="thin">
        <color indexed="64"/>
      </top>
      <bottom style="thick">
        <color theme="0"/>
      </bottom>
      <diagonal/>
    </border>
    <border>
      <left/>
      <right style="thin">
        <color indexed="64"/>
      </right>
      <top style="thin">
        <color indexed="64"/>
      </top>
      <bottom style="thick">
        <color theme="0"/>
      </bottom>
      <diagonal/>
    </border>
    <border>
      <left style="thin">
        <color indexed="64"/>
      </left>
      <right style="thick">
        <color theme="0"/>
      </right>
      <top style="thin">
        <color theme="1" tint="0.499984740745262"/>
      </top>
      <bottom style="thin">
        <color theme="1" tint="0.499984740745262"/>
      </bottom>
      <diagonal/>
    </border>
    <border>
      <left style="thin">
        <color indexed="64"/>
      </left>
      <right style="thick">
        <color theme="0"/>
      </right>
      <top style="thin">
        <color theme="1" tint="0.499984740745262"/>
      </top>
      <bottom style="thin">
        <color indexed="64"/>
      </bottom>
      <diagonal/>
    </border>
    <border>
      <left style="thin">
        <color indexed="64"/>
      </left>
      <right style="thick">
        <color theme="0"/>
      </right>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medium">
        <color theme="1" tint="0.499984740745262"/>
      </left>
      <right/>
      <top/>
      <bottom style="medium">
        <color theme="1" tint="0.499984740745262"/>
      </bottom>
      <diagonal/>
    </border>
    <border>
      <left/>
      <right/>
      <top style="thin">
        <color indexed="64"/>
      </top>
      <bottom style="thin">
        <color theme="1" tint="0.49998474074526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n">
        <color indexed="64"/>
      </left>
      <right/>
      <top/>
      <bottom style="thin">
        <color indexed="64"/>
      </bottom>
      <diagonal/>
    </border>
    <border>
      <left/>
      <right/>
      <top style="thin">
        <color indexed="64"/>
      </top>
      <bottom/>
      <diagonal/>
    </border>
    <border>
      <left style="thick">
        <color indexed="64"/>
      </left>
      <right style="thick">
        <color indexed="64"/>
      </right>
      <top style="thick">
        <color indexed="64"/>
      </top>
      <bottom style="thick">
        <color indexed="64"/>
      </bottom>
      <diagonal/>
    </border>
    <border>
      <left/>
      <right/>
      <top/>
      <bottom style="thick">
        <color theme="1" tint="0.499984740745262"/>
      </bottom>
      <diagonal/>
    </border>
    <border>
      <left style="thin">
        <color theme="1" tint="0.499984740745262"/>
      </left>
      <right style="thin">
        <color theme="1" tint="0.499984740745262"/>
      </right>
      <top style="thin">
        <color theme="1" tint="0.499984740745262"/>
      </top>
      <bottom style="thin">
        <color indexed="64"/>
      </bottom>
      <diagonal/>
    </border>
    <border>
      <left style="thin">
        <color theme="1" tint="0.499984740745262"/>
      </left>
      <right/>
      <top style="thin">
        <color theme="1" tint="0.499984740745262"/>
      </top>
      <bottom style="thin">
        <color indexed="64"/>
      </bottom>
      <diagonal/>
    </border>
    <border>
      <left style="thick">
        <color theme="1" tint="0.499984740745262"/>
      </left>
      <right style="thin">
        <color theme="1" tint="0.499984740745262"/>
      </right>
      <top style="thick">
        <color theme="1" tint="0.499984740745262"/>
      </top>
      <bottom style="thin">
        <color indexed="64"/>
      </bottom>
      <diagonal/>
    </border>
    <border>
      <left style="thin">
        <color theme="1" tint="0.499984740745262"/>
      </left>
      <right style="thin">
        <color theme="1" tint="0.499984740745262"/>
      </right>
      <top style="thick">
        <color theme="1" tint="0.499984740745262"/>
      </top>
      <bottom style="thin">
        <color indexed="64"/>
      </bottom>
      <diagonal/>
    </border>
    <border>
      <left style="thin">
        <color theme="1" tint="0.499984740745262"/>
      </left>
      <right style="medium">
        <color theme="1" tint="0.499984740745262"/>
      </right>
      <top style="thick">
        <color theme="1" tint="0.499984740745262"/>
      </top>
      <bottom style="thin">
        <color indexed="64"/>
      </bottom>
      <diagonal/>
    </border>
    <border>
      <left style="thin">
        <color theme="1" tint="0.499984740745262"/>
      </left>
      <right style="thin">
        <color theme="1" tint="0.499984740745262"/>
      </right>
      <top style="thin">
        <color indexed="64"/>
      </top>
      <bottom style="thin">
        <color theme="1" tint="0.499984740745262"/>
      </bottom>
      <diagonal/>
    </border>
    <border>
      <left style="thin">
        <color theme="1" tint="0.499984740745262"/>
      </left>
      <right/>
      <top style="thin">
        <color indexed="64"/>
      </top>
      <bottom style="thin">
        <color theme="1" tint="0.499984740745262"/>
      </bottom>
      <diagonal/>
    </border>
    <border>
      <left style="thick">
        <color theme="1" tint="0.499984740745262"/>
      </left>
      <right style="thin">
        <color theme="1" tint="0.499984740745262"/>
      </right>
      <top style="thin">
        <color indexed="64"/>
      </top>
      <bottom style="thin">
        <color theme="1" tint="0.499984740745262"/>
      </bottom>
      <diagonal/>
    </border>
    <border>
      <left style="thin">
        <color theme="1" tint="0.499984740745262"/>
      </left>
      <right style="medium">
        <color theme="1" tint="0.499984740745262"/>
      </right>
      <top style="thin">
        <color indexed="64"/>
      </top>
      <bottom style="thin">
        <color theme="1" tint="0.499984740745262"/>
      </bottom>
      <diagonal/>
    </border>
    <border>
      <left style="thin">
        <color theme="1" tint="0.499984740745262"/>
      </left>
      <right style="thick">
        <color theme="1" tint="0.499984740745262"/>
      </right>
      <top style="thin">
        <color theme="1" tint="0.499984740745262"/>
      </top>
      <bottom style="thin">
        <color theme="1" tint="0.499984740745262"/>
      </bottom>
      <diagonal/>
    </border>
    <border>
      <left style="thick">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tint="0.499984740745262"/>
      </right>
      <top style="thin">
        <color theme="1" tint="0.499984740745262"/>
      </top>
      <bottom style="thin">
        <color theme="1" tint="0.499984740745262"/>
      </bottom>
      <diagonal/>
    </border>
    <border>
      <left/>
      <right style="thick">
        <color theme="1" tint="0.499984740745262"/>
      </right>
      <top style="thin">
        <color theme="1" tint="0.499984740745262"/>
      </top>
      <bottom style="thin">
        <color theme="1" tint="0.499984740745262"/>
      </bottom>
      <diagonal/>
    </border>
    <border>
      <left style="thick">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style="medium">
        <color theme="1" tint="0.499984740745262"/>
      </right>
      <top style="thin">
        <color theme="1" tint="0.499984740745262"/>
      </top>
      <bottom style="thick">
        <color theme="1" tint="0.499984740745262"/>
      </bottom>
      <diagonal/>
    </border>
    <border>
      <left style="thin">
        <color auto="1"/>
      </left>
      <right style="medium">
        <color theme="1" tint="0.499984740745262"/>
      </right>
      <top style="medium">
        <color theme="1" tint="0.499984740745262"/>
      </top>
      <bottom style="medium">
        <color theme="1" tint="0.499984740745262"/>
      </bottom>
      <diagonal/>
    </border>
  </borders>
  <cellStyleXfs count="5">
    <xf numFmtId="0" fontId="0" fillId="0" borderId="0"/>
    <xf numFmtId="43" fontId="2" fillId="0" borderId="0" applyFont="0" applyFill="0" applyBorder="0" applyAlignment="0" applyProtection="0"/>
    <xf numFmtId="0" fontId="9" fillId="5" borderId="0" applyNumberFormat="0" applyBorder="0" applyAlignment="0" applyProtection="0"/>
    <xf numFmtId="43" fontId="2" fillId="0" borderId="0" applyFont="0" applyFill="0" applyBorder="0" applyAlignment="0" applyProtection="0"/>
    <xf numFmtId="0" fontId="33" fillId="0" borderId="0"/>
  </cellStyleXfs>
  <cellXfs count="673">
    <xf numFmtId="0" fontId="0" fillId="0" borderId="0" xfId="0"/>
    <xf numFmtId="0" fontId="1" fillId="0" borderId="0" xfId="0" applyFont="1" applyAlignment="1">
      <alignment horizontal="right"/>
    </xf>
    <xf numFmtId="0" fontId="0" fillId="2" borderId="0" xfId="0" applyFill="1"/>
    <xf numFmtId="0" fontId="0" fillId="2" borderId="0" xfId="0" applyFill="1" applyAlignment="1">
      <alignment horizontal="center"/>
    </xf>
    <xf numFmtId="0" fontId="0" fillId="0" borderId="0" xfId="0" applyAlignment="1">
      <alignment horizontal="right"/>
    </xf>
    <xf numFmtId="9" fontId="0" fillId="0" borderId="0" xfId="0" applyNumberFormat="1"/>
    <xf numFmtId="0" fontId="0" fillId="0" borderId="0" xfId="0" applyAlignment="1">
      <alignment horizontal="center"/>
    </xf>
    <xf numFmtId="1" fontId="3" fillId="3" borderId="0" xfId="0" applyNumberFormat="1" applyFont="1" applyFill="1" applyAlignment="1">
      <alignment horizontal="right"/>
    </xf>
    <xf numFmtId="1" fontId="0" fillId="3" borderId="0" xfId="0" applyNumberFormat="1" applyFill="1" applyAlignment="1">
      <alignment horizontal="right"/>
    </xf>
    <xf numFmtId="0" fontId="4" fillId="4" borderId="1" xfId="0" applyFont="1" applyFill="1" applyBorder="1" applyAlignment="1">
      <alignment horizontal="left" vertical="top" wrapText="1"/>
    </xf>
    <xf numFmtId="0" fontId="4" fillId="4" borderId="2" xfId="0" applyFont="1" applyFill="1" applyBorder="1" applyAlignment="1">
      <alignment horizontal="center"/>
    </xf>
    <xf numFmtId="4" fontId="4" fillId="4" borderId="3" xfId="0" applyNumberFormat="1" applyFont="1" applyFill="1" applyBorder="1"/>
    <xf numFmtId="4" fontId="4" fillId="4" borderId="3" xfId="0" applyNumberFormat="1" applyFont="1" applyFill="1" applyBorder="1" applyAlignment="1">
      <alignment horizontal="right"/>
    </xf>
    <xf numFmtId="0" fontId="0" fillId="0" borderId="1" xfId="0" applyBorder="1" applyAlignment="1">
      <alignment horizontal="left" vertical="top" wrapText="1"/>
    </xf>
    <xf numFmtId="0" fontId="0" fillId="0" borderId="4" xfId="0" applyBorder="1" applyAlignment="1">
      <alignment horizontal="center"/>
    </xf>
    <xf numFmtId="4" fontId="5" fillId="3" borderId="0" xfId="0" applyNumberFormat="1" applyFont="1" applyFill="1"/>
    <xf numFmtId="4" fontId="0" fillId="3" borderId="0" xfId="0" applyNumberFormat="1" applyFill="1" applyAlignment="1">
      <alignment horizontal="right"/>
    </xf>
    <xf numFmtId="0" fontId="6" fillId="0" borderId="0" xfId="0" applyFont="1" applyAlignment="1">
      <alignment horizontal="right"/>
    </xf>
    <xf numFmtId="4" fontId="4" fillId="4" borderId="5" xfId="0" applyNumberFormat="1" applyFont="1" applyFill="1" applyBorder="1"/>
    <xf numFmtId="4" fontId="4" fillId="4" borderId="0" xfId="0" applyNumberFormat="1" applyFont="1" applyFill="1" applyAlignment="1">
      <alignment horizontal="right"/>
    </xf>
    <xf numFmtId="1" fontId="4" fillId="4" borderId="0" xfId="0" applyNumberFormat="1" applyFont="1" applyFill="1" applyAlignment="1">
      <alignment horizontal="center"/>
    </xf>
    <xf numFmtId="0" fontId="7" fillId="0" borderId="1" xfId="0" applyFont="1" applyBorder="1" applyAlignment="1">
      <alignment horizontal="left" vertical="top" wrapText="1"/>
    </xf>
    <xf numFmtId="0" fontId="7" fillId="3" borderId="1" xfId="0" applyFont="1" applyFill="1" applyBorder="1" applyAlignment="1">
      <alignment horizontal="left" vertical="top" wrapText="1"/>
    </xf>
    <xf numFmtId="3" fontId="4" fillId="4" borderId="6" xfId="0" applyNumberFormat="1" applyFont="1" applyFill="1" applyBorder="1" applyAlignment="1">
      <alignment horizontal="center"/>
    </xf>
    <xf numFmtId="1" fontId="0" fillId="0" borderId="0" xfId="0" applyNumberFormat="1" applyAlignment="1">
      <alignment horizontal="center"/>
    </xf>
    <xf numFmtId="0" fontId="8" fillId="2" borderId="0" xfId="0" applyFont="1" applyFill="1"/>
    <xf numFmtId="4" fontId="4" fillId="4" borderId="7" xfId="0" applyNumberFormat="1" applyFont="1" applyFill="1" applyBorder="1" applyAlignment="1">
      <alignment horizontal="right"/>
    </xf>
    <xf numFmtId="0" fontId="0" fillId="0" borderId="10" xfId="0" applyBorder="1"/>
    <xf numFmtId="0" fontId="0" fillId="0" borderId="3" xfId="0" applyBorder="1"/>
    <xf numFmtId="4" fontId="4" fillId="4" borderId="11" xfId="0" applyNumberFormat="1" applyFont="1" applyFill="1" applyBorder="1"/>
    <xf numFmtId="43" fontId="0" fillId="0" borderId="3" xfId="1" applyFont="1" applyBorder="1"/>
    <xf numFmtId="4" fontId="5" fillId="3" borderId="10" xfId="0" applyNumberFormat="1" applyFont="1" applyFill="1" applyBorder="1"/>
    <xf numFmtId="4" fontId="4" fillId="4" borderId="12" xfId="0" applyNumberFormat="1" applyFont="1" applyFill="1" applyBorder="1"/>
    <xf numFmtId="4" fontId="5" fillId="3" borderId="10" xfId="0" applyNumberFormat="1" applyFont="1" applyFill="1" applyBorder="1" applyAlignment="1">
      <alignment horizontal="right"/>
    </xf>
    <xf numFmtId="4" fontId="4" fillId="4" borderId="13" xfId="0" applyNumberFormat="1" applyFont="1" applyFill="1" applyBorder="1" applyAlignment="1">
      <alignment horizontal="right"/>
    </xf>
    <xf numFmtId="43" fontId="0" fillId="0" borderId="14" xfId="1" applyFont="1" applyBorder="1"/>
    <xf numFmtId="0" fontId="7" fillId="0" borderId="15" xfId="0" applyFont="1" applyBorder="1" applyAlignment="1">
      <alignment horizontal="left" vertical="top" wrapText="1"/>
    </xf>
    <xf numFmtId="0" fontId="0" fillId="0" borderId="16" xfId="0" applyBorder="1" applyAlignment="1">
      <alignment horizontal="center"/>
    </xf>
    <xf numFmtId="0" fontId="0" fillId="2" borderId="18" xfId="0" applyFill="1" applyBorder="1" applyAlignment="1">
      <alignment horizontal="center"/>
    </xf>
    <xf numFmtId="0" fontId="8" fillId="2" borderId="17" xfId="0" applyFont="1" applyFill="1" applyBorder="1" applyAlignment="1">
      <alignment horizontal="center"/>
    </xf>
    <xf numFmtId="0" fontId="8" fillId="0" borderId="10" xfId="0" applyFont="1" applyBorder="1" applyAlignment="1">
      <alignment horizontal="center"/>
    </xf>
    <xf numFmtId="2" fontId="0" fillId="0" borderId="0" xfId="0" applyNumberFormat="1"/>
    <xf numFmtId="4" fontId="4" fillId="6" borderId="0" xfId="0" applyNumberFormat="1" applyFont="1" applyFill="1"/>
    <xf numFmtId="0" fontId="7" fillId="2" borderId="1" xfId="0" applyFont="1" applyFill="1" applyBorder="1" applyAlignment="1">
      <alignment horizontal="left" vertical="top" wrapText="1"/>
    </xf>
    <xf numFmtId="0" fontId="0" fillId="2" borderId="4" xfId="0" applyFill="1" applyBorder="1" applyAlignment="1">
      <alignment horizontal="center"/>
    </xf>
    <xf numFmtId="1" fontId="10" fillId="0" borderId="0" xfId="0" applyNumberFormat="1" applyFont="1" applyAlignment="1">
      <alignment horizontal="left"/>
    </xf>
    <xf numFmtId="1" fontId="11" fillId="3" borderId="0" xfId="0" applyNumberFormat="1" applyFont="1" applyFill="1" applyAlignment="1">
      <alignment horizontal="right"/>
    </xf>
    <xf numFmtId="164" fontId="10" fillId="3" borderId="0" xfId="0" applyNumberFormat="1" applyFont="1" applyFill="1" applyAlignment="1">
      <alignment horizontal="right"/>
    </xf>
    <xf numFmtId="1" fontId="10" fillId="3" borderId="0" xfId="0" applyNumberFormat="1" applyFont="1" applyFill="1" applyAlignment="1">
      <alignment horizontal="center"/>
    </xf>
    <xf numFmtId="1" fontId="10" fillId="3" borderId="0" xfId="0" applyNumberFormat="1" applyFont="1" applyFill="1" applyAlignment="1">
      <alignment horizontal="right"/>
    </xf>
    <xf numFmtId="0" fontId="10" fillId="2" borderId="0" xfId="0" applyFont="1" applyFill="1" applyAlignment="1">
      <alignment horizontal="center"/>
    </xf>
    <xf numFmtId="0" fontId="12" fillId="4" borderId="1" xfId="0" applyFont="1" applyFill="1" applyBorder="1" applyAlignment="1">
      <alignment horizontal="left" vertical="top" wrapText="1"/>
    </xf>
    <xf numFmtId="0" fontId="12" fillId="4" borderId="2" xfId="0" applyFont="1" applyFill="1" applyBorder="1" applyAlignment="1">
      <alignment horizontal="center"/>
    </xf>
    <xf numFmtId="4" fontId="13" fillId="4" borderId="3" xfId="0" applyNumberFormat="1" applyFont="1" applyFill="1" applyBorder="1"/>
    <xf numFmtId="4" fontId="13" fillId="4" borderId="3" xfId="0" applyNumberFormat="1" applyFont="1" applyFill="1" applyBorder="1" applyAlignment="1">
      <alignment horizontal="right"/>
    </xf>
    <xf numFmtId="0" fontId="10" fillId="0" borderId="1" xfId="0" applyFont="1" applyBorder="1" applyAlignment="1">
      <alignment horizontal="left" vertical="top" wrapText="1"/>
    </xf>
    <xf numFmtId="0" fontId="10" fillId="0" borderId="4" xfId="0" applyFont="1" applyBorder="1" applyAlignment="1">
      <alignment horizontal="center"/>
    </xf>
    <xf numFmtId="4" fontId="14" fillId="3" borderId="0" xfId="0" applyNumberFormat="1" applyFont="1" applyFill="1"/>
    <xf numFmtId="4" fontId="10" fillId="3" borderId="0" xfId="0" applyNumberFormat="1" applyFont="1" applyFill="1" applyAlignment="1">
      <alignment horizontal="right"/>
    </xf>
    <xf numFmtId="4" fontId="13" fillId="4" borderId="5" xfId="0" applyNumberFormat="1" applyFont="1" applyFill="1" applyBorder="1"/>
    <xf numFmtId="4" fontId="13" fillId="4" borderId="0" xfId="0" applyNumberFormat="1" applyFont="1" applyFill="1" applyAlignment="1">
      <alignment horizontal="right"/>
    </xf>
    <xf numFmtId="0" fontId="9" fillId="5" borderId="1" xfId="2" applyBorder="1" applyAlignment="1">
      <alignment horizontal="left" vertical="top" wrapText="1"/>
    </xf>
    <xf numFmtId="0" fontId="9" fillId="5" borderId="4" xfId="2" applyBorder="1" applyAlignment="1">
      <alignment horizontal="center"/>
    </xf>
    <xf numFmtId="4" fontId="9" fillId="5" borderId="0" xfId="2" applyNumberFormat="1"/>
    <xf numFmtId="4" fontId="9" fillId="5" borderId="0" xfId="2" applyNumberFormat="1" applyAlignment="1">
      <alignment horizontal="right"/>
    </xf>
    <xf numFmtId="0" fontId="10" fillId="3" borderId="1" xfId="0" applyFont="1" applyFill="1" applyBorder="1" applyAlignment="1">
      <alignment horizontal="left" vertical="top" wrapText="1"/>
    </xf>
    <xf numFmtId="0" fontId="10" fillId="3" borderId="4" xfId="0" applyFont="1" applyFill="1" applyBorder="1" applyAlignment="1">
      <alignment horizontal="center"/>
    </xf>
    <xf numFmtId="1" fontId="13" fillId="4" borderId="0" xfId="0" applyNumberFormat="1" applyFont="1" applyFill="1" applyAlignment="1">
      <alignment horizontal="center"/>
    </xf>
    <xf numFmtId="0" fontId="1" fillId="0" borderId="0" xfId="0" applyFont="1"/>
    <xf numFmtId="0" fontId="16" fillId="0" borderId="1" xfId="0" applyFont="1" applyBorder="1" applyAlignment="1">
      <alignment horizontal="left" vertical="top" wrapText="1"/>
    </xf>
    <xf numFmtId="0" fontId="16" fillId="3" borderId="1" xfId="0" applyFont="1" applyFill="1" applyBorder="1" applyAlignment="1">
      <alignment horizontal="left" vertical="top" wrapText="1"/>
    </xf>
    <xf numFmtId="0" fontId="18" fillId="2" borderId="0" xfId="0" applyFont="1" applyFill="1" applyAlignment="1">
      <alignment horizontal="center"/>
    </xf>
    <xf numFmtId="4" fontId="13" fillId="4" borderId="19" xfId="0" applyNumberFormat="1" applyFont="1" applyFill="1" applyBorder="1" applyAlignment="1">
      <alignment horizontal="right"/>
    </xf>
    <xf numFmtId="3" fontId="13" fillId="4" borderId="6" xfId="0" applyNumberFormat="1" applyFont="1" applyFill="1" applyBorder="1" applyAlignment="1">
      <alignment horizontal="center"/>
    </xf>
    <xf numFmtId="1" fontId="10" fillId="0" borderId="0" xfId="0" applyNumberFormat="1" applyFont="1" applyAlignment="1">
      <alignment horizontal="center"/>
    </xf>
    <xf numFmtId="4" fontId="14" fillId="3" borderId="0" xfId="0" applyNumberFormat="1" applyFont="1" applyFill="1" applyAlignment="1">
      <alignment horizontal="right"/>
    </xf>
    <xf numFmtId="2" fontId="10" fillId="0" borderId="0" xfId="0" quotePrefix="1" applyNumberFormat="1" applyFont="1" applyAlignment="1">
      <alignment horizontal="center"/>
    </xf>
    <xf numFmtId="2" fontId="10" fillId="0" borderId="0" xfId="0" applyNumberFormat="1" applyFont="1" applyAlignment="1">
      <alignment horizontal="center"/>
    </xf>
    <xf numFmtId="165" fontId="10" fillId="0" borderId="0" xfId="0" applyNumberFormat="1" applyFont="1" applyAlignment="1">
      <alignment horizontal="center"/>
    </xf>
    <xf numFmtId="0" fontId="1" fillId="0" borderId="0" xfId="0" applyFont="1" applyAlignment="1">
      <alignment horizontal="right" wrapText="1"/>
    </xf>
    <xf numFmtId="4" fontId="0" fillId="0" borderId="0" xfId="0" applyNumberFormat="1" applyAlignment="1">
      <alignment horizontal="center"/>
    </xf>
    <xf numFmtId="0" fontId="0" fillId="3" borderId="4" xfId="0" applyFill="1" applyBorder="1" applyAlignment="1">
      <alignment horizontal="center"/>
    </xf>
    <xf numFmtId="4" fontId="0" fillId="0" borderId="0" xfId="0" applyNumberFormat="1"/>
    <xf numFmtId="0" fontId="7" fillId="2" borderId="0" xfId="0" applyFont="1" applyFill="1"/>
    <xf numFmtId="9" fontId="7" fillId="2" borderId="0" xfId="0" applyNumberFormat="1" applyFont="1" applyFill="1"/>
    <xf numFmtId="0" fontId="3" fillId="2" borderId="0" xfId="0" applyFont="1" applyFill="1" applyAlignment="1">
      <alignment horizontal="center"/>
    </xf>
    <xf numFmtId="43" fontId="7" fillId="2" borderId="0" xfId="1" applyFont="1" applyFill="1" applyBorder="1"/>
    <xf numFmtId="4" fontId="3" fillId="2" borderId="0" xfId="0" applyNumberFormat="1" applyFont="1" applyFill="1"/>
    <xf numFmtId="4" fontId="3" fillId="2" borderId="0" xfId="0" applyNumberFormat="1" applyFont="1" applyFill="1" applyAlignment="1">
      <alignment horizontal="right"/>
    </xf>
    <xf numFmtId="4" fontId="19" fillId="3" borderId="3" xfId="0" applyNumberFormat="1" applyFont="1" applyFill="1" applyBorder="1"/>
    <xf numFmtId="0" fontId="20" fillId="2" borderId="0" xfId="0" applyFont="1" applyFill="1"/>
    <xf numFmtId="0" fontId="8" fillId="0" borderId="0" xfId="0" applyFont="1"/>
    <xf numFmtId="1" fontId="3" fillId="3" borderId="0" xfId="0" applyNumberFormat="1" applyFont="1" applyFill="1" applyAlignment="1">
      <alignment horizontal="center"/>
    </xf>
    <xf numFmtId="1" fontId="0" fillId="0" borderId="0" xfId="0" applyNumberFormat="1" applyAlignment="1">
      <alignment horizontal="right"/>
    </xf>
    <xf numFmtId="1" fontId="1" fillId="0" borderId="0" xfId="0" applyNumberFormat="1" applyFont="1" applyAlignment="1">
      <alignment horizontal="right"/>
    </xf>
    <xf numFmtId="1" fontId="11" fillId="3" borderId="0" xfId="0" applyNumberFormat="1" applyFont="1" applyFill="1" applyAlignment="1">
      <alignment horizontal="center"/>
    </xf>
    <xf numFmtId="1" fontId="15" fillId="0" borderId="0" xfId="0" applyNumberFormat="1" applyFont="1" applyAlignment="1">
      <alignment horizontal="right"/>
    </xf>
    <xf numFmtId="1" fontId="7" fillId="2" borderId="0" xfId="0" applyNumberFormat="1" applyFont="1" applyFill="1"/>
    <xf numFmtId="1" fontId="7" fillId="2" borderId="0" xfId="1" applyNumberFormat="1" applyFont="1" applyFill="1" applyBorder="1"/>
    <xf numFmtId="1" fontId="4" fillId="4" borderId="3" xfId="0" applyNumberFormat="1" applyFont="1" applyFill="1" applyBorder="1"/>
    <xf numFmtId="1" fontId="5" fillId="3" borderId="0" xfId="0" applyNumberFormat="1" applyFont="1" applyFill="1"/>
    <xf numFmtId="1" fontId="4" fillId="6" borderId="0" xfId="0" applyNumberFormat="1" applyFont="1" applyFill="1"/>
    <xf numFmtId="4" fontId="4" fillId="3" borderId="3" xfId="0" applyNumberFormat="1" applyFont="1" applyFill="1" applyBorder="1"/>
    <xf numFmtId="1" fontId="0" fillId="0" borderId="0" xfId="0" applyNumberFormat="1"/>
    <xf numFmtId="3" fontId="4" fillId="4" borderId="3" xfId="0" applyNumberFormat="1" applyFont="1" applyFill="1" applyBorder="1"/>
    <xf numFmtId="3" fontId="4" fillId="8" borderId="3" xfId="0" applyNumberFormat="1" applyFont="1" applyFill="1" applyBorder="1" applyAlignment="1">
      <alignment horizontal="right"/>
    </xf>
    <xf numFmtId="3" fontId="22" fillId="3" borderId="3" xfId="0" applyNumberFormat="1" applyFont="1" applyFill="1" applyBorder="1"/>
    <xf numFmtId="3" fontId="4" fillId="7" borderId="3" xfId="0" applyNumberFormat="1" applyFont="1" applyFill="1" applyBorder="1" applyAlignment="1">
      <alignment horizontal="right"/>
    </xf>
    <xf numFmtId="3" fontId="5" fillId="3" borderId="0" xfId="0" applyNumberFormat="1" applyFont="1" applyFill="1"/>
    <xf numFmtId="3" fontId="4" fillId="6" borderId="0" xfId="0" applyNumberFormat="1" applyFont="1" applyFill="1"/>
    <xf numFmtId="3" fontId="0" fillId="0" borderId="0" xfId="0" applyNumberFormat="1" applyAlignment="1">
      <alignment horizontal="center"/>
    </xf>
    <xf numFmtId="3" fontId="0" fillId="0" borderId="0" xfId="0" applyNumberFormat="1"/>
    <xf numFmtId="0" fontId="23" fillId="2" borderId="0" xfId="0" applyFont="1" applyFill="1"/>
    <xf numFmtId="1" fontId="21" fillId="3" borderId="0" xfId="0" applyNumberFormat="1" applyFont="1" applyFill="1" applyAlignment="1">
      <alignment horizontal="center"/>
    </xf>
    <xf numFmtId="3" fontId="0" fillId="7" borderId="0" xfId="0" applyNumberFormat="1" applyFill="1" applyAlignment="1">
      <alignment horizontal="right"/>
    </xf>
    <xf numFmtId="3" fontId="4" fillId="8" borderId="0" xfId="0" applyNumberFormat="1" applyFont="1" applyFill="1" applyAlignment="1">
      <alignment horizontal="right"/>
    </xf>
    <xf numFmtId="3" fontId="4" fillId="8" borderId="0" xfId="0" applyNumberFormat="1" applyFont="1" applyFill="1" applyAlignment="1">
      <alignment horizontal="center"/>
    </xf>
    <xf numFmtId="3" fontId="4" fillId="8" borderId="6" xfId="0" applyNumberFormat="1" applyFont="1" applyFill="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 fontId="3" fillId="11" borderId="0" xfId="0" applyNumberFormat="1" applyFont="1" applyFill="1" applyAlignment="1">
      <alignment horizontal="center" wrapText="1"/>
    </xf>
    <xf numFmtId="3" fontId="4" fillId="4" borderId="0" xfId="0" applyNumberFormat="1" applyFont="1" applyFill="1"/>
    <xf numFmtId="3" fontId="8" fillId="10" borderId="0" xfId="0" applyNumberFormat="1" applyFont="1" applyFill="1" applyAlignment="1">
      <alignment horizontal="right"/>
    </xf>
    <xf numFmtId="3" fontId="8" fillId="9" borderId="0" xfId="0" applyNumberFormat="1" applyFont="1" applyFill="1" applyAlignment="1">
      <alignment horizontal="right"/>
    </xf>
    <xf numFmtId="1" fontId="8" fillId="8" borderId="0" xfId="0" applyNumberFormat="1" applyFont="1" applyFill="1" applyAlignment="1">
      <alignment horizontal="center" wrapText="1"/>
    </xf>
    <xf numFmtId="3" fontId="4" fillId="4" borderId="21" xfId="0" applyNumberFormat="1" applyFont="1" applyFill="1" applyBorder="1"/>
    <xf numFmtId="3" fontId="8" fillId="10" borderId="26" xfId="0" applyNumberFormat="1" applyFont="1" applyFill="1" applyBorder="1" applyAlignment="1">
      <alignment horizontal="right"/>
    </xf>
    <xf numFmtId="3" fontId="8" fillId="9" borderId="26" xfId="0" applyNumberFormat="1" applyFont="1" applyFill="1" applyBorder="1" applyAlignment="1">
      <alignment horizontal="right"/>
    </xf>
    <xf numFmtId="3" fontId="4" fillId="4" borderId="30" xfId="0" applyNumberFormat="1" applyFont="1" applyFill="1" applyBorder="1"/>
    <xf numFmtId="3" fontId="5" fillId="3" borderId="21" xfId="0" applyNumberFormat="1" applyFont="1" applyFill="1" applyBorder="1"/>
    <xf numFmtId="3" fontId="4" fillId="6" borderId="21" xfId="0" applyNumberFormat="1" applyFont="1" applyFill="1" applyBorder="1"/>
    <xf numFmtId="3" fontId="4" fillId="6" borderId="31" xfId="0" applyNumberFormat="1" applyFont="1" applyFill="1" applyBorder="1"/>
    <xf numFmtId="3" fontId="4" fillId="6" borderId="32" xfId="0" applyNumberFormat="1" applyFont="1" applyFill="1" applyBorder="1"/>
    <xf numFmtId="3" fontId="4" fillId="8" borderId="34" xfId="0" applyNumberFormat="1" applyFont="1" applyFill="1" applyBorder="1" applyAlignment="1">
      <alignment horizontal="center"/>
    </xf>
    <xf numFmtId="3" fontId="4" fillId="4" borderId="35" xfId="0" applyNumberFormat="1" applyFont="1" applyFill="1" applyBorder="1"/>
    <xf numFmtId="3" fontId="8" fillId="10" borderId="33" xfId="0" applyNumberFormat="1" applyFont="1" applyFill="1" applyBorder="1" applyAlignment="1">
      <alignment horizontal="right"/>
    </xf>
    <xf numFmtId="3" fontId="8" fillId="10" borderId="32" xfId="0" applyNumberFormat="1" applyFont="1" applyFill="1" applyBorder="1" applyAlignment="1">
      <alignment horizontal="right"/>
    </xf>
    <xf numFmtId="0" fontId="4" fillId="4" borderId="36" xfId="0" applyFont="1" applyFill="1" applyBorder="1" applyAlignment="1">
      <alignment horizontal="left" vertical="top" wrapText="1"/>
    </xf>
    <xf numFmtId="0" fontId="4" fillId="11" borderId="32" xfId="0" applyFont="1" applyFill="1" applyBorder="1"/>
    <xf numFmtId="1" fontId="3" fillId="3" borderId="32" xfId="0" applyNumberFormat="1" applyFont="1" applyFill="1" applyBorder="1" applyAlignment="1">
      <alignment horizontal="center" wrapText="1"/>
    </xf>
    <xf numFmtId="1" fontId="3" fillId="3" borderId="39" xfId="0" applyNumberFormat="1" applyFont="1" applyFill="1" applyBorder="1" applyAlignment="1">
      <alignment horizontal="center" wrapText="1"/>
    </xf>
    <xf numFmtId="1" fontId="8" fillId="3" borderId="32" xfId="0" applyNumberFormat="1" applyFont="1" applyFill="1" applyBorder="1" applyAlignment="1">
      <alignment horizontal="center" wrapText="1"/>
    </xf>
    <xf numFmtId="1" fontId="3" fillId="3" borderId="26" xfId="0" applyNumberFormat="1" applyFont="1" applyFill="1" applyBorder="1" applyAlignment="1">
      <alignment horizontal="center"/>
    </xf>
    <xf numFmtId="3" fontId="4" fillId="4" borderId="32" xfId="0" applyNumberFormat="1" applyFont="1" applyFill="1" applyBorder="1"/>
    <xf numFmtId="3" fontId="4" fillId="8" borderId="32" xfId="0" applyNumberFormat="1" applyFont="1" applyFill="1" applyBorder="1" applyAlignment="1">
      <alignment horizontal="right"/>
    </xf>
    <xf numFmtId="3" fontId="4" fillId="8" borderId="32" xfId="0" applyNumberFormat="1" applyFont="1" applyFill="1" applyBorder="1"/>
    <xf numFmtId="0" fontId="0" fillId="0" borderId="28" xfId="0" applyBorder="1"/>
    <xf numFmtId="3" fontId="4" fillId="4" borderId="27" xfId="0" applyNumberFormat="1" applyFont="1" applyFill="1" applyBorder="1"/>
    <xf numFmtId="3" fontId="22" fillId="3" borderId="21" xfId="0" applyNumberFormat="1" applyFont="1" applyFill="1" applyBorder="1"/>
    <xf numFmtId="3" fontId="4" fillId="8" borderId="28" xfId="0" applyNumberFormat="1" applyFont="1" applyFill="1" applyBorder="1" applyAlignment="1">
      <alignment horizontal="right"/>
    </xf>
    <xf numFmtId="1" fontId="4" fillId="8" borderId="28" xfId="0" applyNumberFormat="1" applyFont="1" applyFill="1" applyBorder="1" applyAlignment="1">
      <alignment horizontal="center" wrapText="1"/>
    </xf>
    <xf numFmtId="1" fontId="4" fillId="7" borderId="0" xfId="0" applyNumberFormat="1" applyFont="1" applyFill="1" applyAlignment="1">
      <alignment horizontal="center" wrapText="1"/>
    </xf>
    <xf numFmtId="1" fontId="4" fillId="8" borderId="0" xfId="0" applyNumberFormat="1" applyFont="1" applyFill="1" applyAlignment="1">
      <alignment horizontal="center" wrapText="1"/>
    </xf>
    <xf numFmtId="3" fontId="8" fillId="10" borderId="40" xfId="0" applyNumberFormat="1" applyFont="1" applyFill="1" applyBorder="1" applyAlignment="1">
      <alignment horizontal="right"/>
    </xf>
    <xf numFmtId="1" fontId="4" fillId="8" borderId="39" xfId="0" applyNumberFormat="1" applyFont="1" applyFill="1" applyBorder="1" applyAlignment="1">
      <alignment horizontal="center" wrapText="1"/>
    </xf>
    <xf numFmtId="1" fontId="4" fillId="11" borderId="0" xfId="0" applyNumberFormat="1" applyFont="1" applyFill="1" applyAlignment="1">
      <alignment horizontal="center" wrapText="1"/>
    </xf>
    <xf numFmtId="1" fontId="4" fillId="3" borderId="32" xfId="0" applyNumberFormat="1" applyFont="1" applyFill="1" applyBorder="1" applyAlignment="1">
      <alignment horizontal="center" wrapText="1"/>
    </xf>
    <xf numFmtId="3" fontId="4" fillId="10" borderId="0" xfId="0" applyNumberFormat="1" applyFont="1" applyFill="1" applyAlignment="1">
      <alignment horizontal="right"/>
    </xf>
    <xf numFmtId="1" fontId="4" fillId="11" borderId="31" xfId="0" applyNumberFormat="1" applyFont="1" applyFill="1" applyBorder="1" applyAlignment="1">
      <alignment horizontal="center" wrapText="1"/>
    </xf>
    <xf numFmtId="3" fontId="4" fillId="10" borderId="26" xfId="0" applyNumberFormat="1" applyFont="1" applyFill="1" applyBorder="1" applyAlignment="1">
      <alignment horizontal="right"/>
    </xf>
    <xf numFmtId="1" fontId="4" fillId="11" borderId="32" xfId="0" applyNumberFormat="1" applyFont="1" applyFill="1" applyBorder="1" applyAlignment="1">
      <alignment horizontal="center" wrapText="1"/>
    </xf>
    <xf numFmtId="3" fontId="4" fillId="10" borderId="40" xfId="0" applyNumberFormat="1" applyFont="1" applyFill="1" applyBorder="1" applyAlignment="1">
      <alignment horizontal="right"/>
    </xf>
    <xf numFmtId="1" fontId="4" fillId="11" borderId="39" xfId="0" applyNumberFormat="1" applyFont="1" applyFill="1" applyBorder="1" applyAlignment="1">
      <alignment horizontal="center" wrapText="1"/>
    </xf>
    <xf numFmtId="1" fontId="4" fillId="3" borderId="39" xfId="0" applyNumberFormat="1" applyFont="1" applyFill="1" applyBorder="1" applyAlignment="1">
      <alignment horizontal="center" wrapText="1"/>
    </xf>
    <xf numFmtId="3" fontId="4" fillId="10" borderId="39" xfId="0" applyNumberFormat="1" applyFont="1" applyFill="1" applyBorder="1" applyAlignment="1">
      <alignment horizontal="right"/>
    </xf>
    <xf numFmtId="3" fontId="4" fillId="10" borderId="29" xfId="0" applyNumberFormat="1" applyFont="1" applyFill="1" applyBorder="1" applyAlignment="1">
      <alignment horizontal="right"/>
    </xf>
    <xf numFmtId="3" fontId="19" fillId="3" borderId="0" xfId="0" applyNumberFormat="1" applyFont="1" applyFill="1"/>
    <xf numFmtId="3" fontId="19" fillId="3" borderId="21" xfId="0" applyNumberFormat="1" applyFont="1" applyFill="1" applyBorder="1"/>
    <xf numFmtId="3" fontId="4" fillId="0" borderId="0" xfId="0" applyNumberFormat="1" applyFont="1" applyAlignment="1">
      <alignment horizontal="right"/>
    </xf>
    <xf numFmtId="0" fontId="0" fillId="0" borderId="43" xfId="0" applyBorder="1"/>
    <xf numFmtId="0" fontId="4" fillId="11" borderId="44" xfId="0" applyFont="1" applyFill="1" applyBorder="1" applyAlignment="1">
      <alignment horizontal="center"/>
    </xf>
    <xf numFmtId="1" fontId="3" fillId="3" borderId="45" xfId="0" applyNumberFormat="1" applyFont="1" applyFill="1" applyBorder="1" applyAlignment="1">
      <alignment horizontal="center" wrapText="1"/>
    </xf>
    <xf numFmtId="1" fontId="3" fillId="3" borderId="46" xfId="0" applyNumberFormat="1" applyFont="1" applyFill="1" applyBorder="1" applyAlignment="1">
      <alignment horizontal="center" wrapText="1"/>
    </xf>
    <xf numFmtId="0" fontId="3" fillId="3" borderId="44" xfId="0" applyFont="1" applyFill="1" applyBorder="1" applyAlignment="1">
      <alignment horizontal="center"/>
    </xf>
    <xf numFmtId="3" fontId="0" fillId="0" borderId="3" xfId="0" applyNumberFormat="1" applyBorder="1"/>
    <xf numFmtId="0" fontId="0" fillId="3" borderId="47" xfId="0" applyFill="1" applyBorder="1" applyAlignment="1">
      <alignment horizontal="center"/>
    </xf>
    <xf numFmtId="0" fontId="0" fillId="3" borderId="48" xfId="0" applyFill="1" applyBorder="1" applyAlignment="1">
      <alignment horizontal="center"/>
    </xf>
    <xf numFmtId="3" fontId="0" fillId="0" borderId="42" xfId="0" applyNumberFormat="1" applyBorder="1"/>
    <xf numFmtId="3" fontId="0" fillId="0" borderId="14" xfId="0" applyNumberFormat="1" applyBorder="1"/>
    <xf numFmtId="0" fontId="4" fillId="4" borderId="44" xfId="0" applyFont="1" applyFill="1" applyBorder="1" applyAlignment="1">
      <alignment horizontal="center"/>
    </xf>
    <xf numFmtId="1" fontId="8" fillId="3" borderId="46" xfId="0" applyNumberFormat="1" applyFont="1" applyFill="1" applyBorder="1" applyAlignment="1">
      <alignment horizontal="center" wrapText="1"/>
    </xf>
    <xf numFmtId="3" fontId="7" fillId="0" borderId="0" xfId="0" applyNumberFormat="1" applyFont="1"/>
    <xf numFmtId="3" fontId="7" fillId="0" borderId="3" xfId="0" applyNumberFormat="1" applyFont="1" applyBorder="1"/>
    <xf numFmtId="3" fontId="7" fillId="0" borderId="42" xfId="0" applyNumberFormat="1" applyFont="1" applyBorder="1"/>
    <xf numFmtId="3" fontId="7" fillId="0" borderId="14" xfId="0" applyNumberFormat="1" applyFont="1" applyBorder="1"/>
    <xf numFmtId="0" fontId="3" fillId="3" borderId="49" xfId="0" applyFont="1" applyFill="1" applyBorder="1" applyAlignment="1">
      <alignment horizontal="center"/>
    </xf>
    <xf numFmtId="0" fontId="0" fillId="0" borderId="32" xfId="0" applyBorder="1"/>
    <xf numFmtId="0" fontId="25" fillId="0" borderId="0" xfId="0" applyFont="1"/>
    <xf numFmtId="3" fontId="4" fillId="8" borderId="28" xfId="0" applyNumberFormat="1" applyFont="1" applyFill="1" applyBorder="1" applyAlignment="1">
      <alignment horizontal="center"/>
    </xf>
    <xf numFmtId="3" fontId="24" fillId="7" borderId="0" xfId="0" applyNumberFormat="1" applyFont="1" applyFill="1" applyAlignment="1">
      <alignment horizontal="center"/>
    </xf>
    <xf numFmtId="3" fontId="4" fillId="7" borderId="0" xfId="0" applyNumberFormat="1" applyFont="1" applyFill="1" applyAlignment="1">
      <alignment horizontal="center"/>
    </xf>
    <xf numFmtId="0" fontId="10" fillId="2" borderId="0" xfId="0" applyFont="1" applyFill="1"/>
    <xf numFmtId="1" fontId="26" fillId="3" borderId="0" xfId="0" applyNumberFormat="1" applyFont="1" applyFill="1" applyAlignment="1">
      <alignment horizontal="center" wrapText="1"/>
    </xf>
    <xf numFmtId="1" fontId="4" fillId="11" borderId="27" xfId="0" applyNumberFormat="1" applyFont="1" applyFill="1" applyBorder="1" applyAlignment="1">
      <alignment horizontal="center" wrapText="1"/>
    </xf>
    <xf numFmtId="1" fontId="3" fillId="3" borderId="38" xfId="0" applyNumberFormat="1" applyFont="1" applyFill="1" applyBorder="1" applyAlignment="1">
      <alignment horizontal="center" wrapText="1"/>
    </xf>
    <xf numFmtId="1" fontId="8" fillId="3" borderId="39" xfId="0" applyNumberFormat="1" applyFont="1" applyFill="1" applyBorder="1" applyAlignment="1">
      <alignment horizontal="center" wrapText="1"/>
    </xf>
    <xf numFmtId="1" fontId="8" fillId="3" borderId="40" xfId="0" applyNumberFormat="1" applyFont="1" applyFill="1" applyBorder="1" applyAlignment="1">
      <alignment horizontal="right"/>
    </xf>
    <xf numFmtId="1" fontId="3" fillId="3" borderId="32" xfId="0" applyNumberFormat="1" applyFont="1" applyFill="1" applyBorder="1" applyAlignment="1">
      <alignment horizontal="center"/>
    </xf>
    <xf numFmtId="3" fontId="8" fillId="3" borderId="39" xfId="0" applyNumberFormat="1" applyFont="1" applyFill="1" applyBorder="1" applyAlignment="1">
      <alignment horizontal="center" wrapText="1"/>
    </xf>
    <xf numFmtId="49" fontId="0" fillId="2" borderId="0" xfId="0" applyNumberFormat="1" applyFill="1" applyAlignment="1">
      <alignment horizontal="center"/>
    </xf>
    <xf numFmtId="49" fontId="8" fillId="2" borderId="0" xfId="0" applyNumberFormat="1" applyFont="1" applyFill="1" applyAlignment="1">
      <alignment horizontal="center"/>
    </xf>
    <xf numFmtId="49" fontId="8" fillId="2" borderId="32" xfId="0" applyNumberFormat="1" applyFont="1" applyFill="1" applyBorder="1" applyAlignment="1">
      <alignment horizontal="center" wrapText="1"/>
    </xf>
    <xf numFmtId="49" fontId="24" fillId="11" borderId="32" xfId="0" applyNumberFormat="1" applyFont="1" applyFill="1" applyBorder="1" applyAlignment="1">
      <alignment horizontal="center"/>
    </xf>
    <xf numFmtId="49" fontId="4" fillId="4" borderId="37" xfId="0" applyNumberFormat="1" applyFont="1" applyFill="1" applyBorder="1" applyAlignment="1">
      <alignment horizontal="center"/>
    </xf>
    <xf numFmtId="49" fontId="0" fillId="0" borderId="22" xfId="0" applyNumberFormat="1" applyBorder="1" applyAlignment="1">
      <alignment horizontal="center"/>
    </xf>
    <xf numFmtId="49" fontId="0" fillId="0" borderId="20" xfId="0" applyNumberFormat="1" applyBorder="1" applyAlignment="1">
      <alignment horizontal="center"/>
    </xf>
    <xf numFmtId="49" fontId="4" fillId="4" borderId="23" xfId="0" applyNumberFormat="1" applyFont="1" applyFill="1" applyBorder="1" applyAlignment="1">
      <alignment horizontal="center"/>
    </xf>
    <xf numFmtId="49" fontId="0" fillId="0" borderId="24" xfId="0" applyNumberFormat="1" applyBorder="1" applyAlignment="1">
      <alignment horizontal="center"/>
    </xf>
    <xf numFmtId="49" fontId="0" fillId="2" borderId="24" xfId="0" applyNumberFormat="1" applyFill="1" applyBorder="1" applyAlignment="1">
      <alignment horizontal="center"/>
    </xf>
    <xf numFmtId="49" fontId="0" fillId="0" borderId="25" xfId="0" applyNumberFormat="1" applyBorder="1" applyAlignment="1">
      <alignment horizontal="center"/>
    </xf>
    <xf numFmtId="49" fontId="0" fillId="2" borderId="41" xfId="0" applyNumberFormat="1" applyFill="1" applyBorder="1" applyAlignment="1">
      <alignment horizontal="center"/>
    </xf>
    <xf numFmtId="49" fontId="0" fillId="0" borderId="0" xfId="0" applyNumberFormat="1" applyAlignment="1">
      <alignment horizontal="center"/>
    </xf>
    <xf numFmtId="9" fontId="0" fillId="0" borderId="0" xfId="0" applyNumberFormat="1" applyAlignment="1">
      <alignment horizontal="center"/>
    </xf>
    <xf numFmtId="0" fontId="10" fillId="0" borderId="0" xfId="0" applyFont="1" applyAlignment="1">
      <alignment horizontal="center"/>
    </xf>
    <xf numFmtId="0" fontId="10" fillId="0" borderId="0" xfId="0" applyFont="1"/>
    <xf numFmtId="1" fontId="10" fillId="2" borderId="0" xfId="0" applyNumberFormat="1" applyFont="1" applyFill="1" applyAlignment="1">
      <alignment horizontal="center"/>
    </xf>
    <xf numFmtId="1" fontId="11" fillId="14" borderId="0" xfId="0" applyNumberFormat="1" applyFont="1" applyFill="1" applyAlignment="1">
      <alignment horizontal="right"/>
    </xf>
    <xf numFmtId="4" fontId="27" fillId="14" borderId="0" xfId="0" applyNumberFormat="1" applyFont="1" applyFill="1" applyAlignment="1">
      <alignment horizontal="right" vertical="center"/>
    </xf>
    <xf numFmtId="1" fontId="28" fillId="14" borderId="0" xfId="0" applyNumberFormat="1" applyFont="1" applyFill="1" applyAlignment="1">
      <alignment horizontal="right"/>
    </xf>
    <xf numFmtId="2" fontId="13" fillId="4" borderId="5" xfId="0" applyNumberFormat="1" applyFont="1" applyFill="1" applyBorder="1" applyAlignment="1">
      <alignment horizontal="center"/>
    </xf>
    <xf numFmtId="2" fontId="13" fillId="4" borderId="0" xfId="0" applyNumberFormat="1" applyFont="1" applyFill="1" applyAlignment="1">
      <alignment horizontal="center"/>
    </xf>
    <xf numFmtId="1" fontId="13" fillId="4" borderId="5" xfId="0" applyNumberFormat="1" applyFont="1" applyFill="1" applyBorder="1" applyAlignment="1">
      <alignment horizontal="left"/>
    </xf>
    <xf numFmtId="4" fontId="13" fillId="4" borderId="5" xfId="0" applyNumberFormat="1" applyFont="1" applyFill="1" applyBorder="1" applyAlignment="1">
      <alignment horizontal="right"/>
    </xf>
    <xf numFmtId="1" fontId="10" fillId="12" borderId="5" xfId="0" applyNumberFormat="1" applyFont="1" applyFill="1" applyBorder="1" applyAlignment="1">
      <alignment horizontal="center"/>
    </xf>
    <xf numFmtId="4" fontId="28" fillId="14" borderId="5" xfId="0" applyNumberFormat="1" applyFont="1" applyFill="1" applyBorder="1" applyAlignment="1">
      <alignment horizontal="right"/>
    </xf>
    <xf numFmtId="1" fontId="13" fillId="4" borderId="5" xfId="0" applyNumberFormat="1" applyFont="1" applyFill="1" applyBorder="1" applyAlignment="1">
      <alignment horizontal="center"/>
    </xf>
    <xf numFmtId="2" fontId="29" fillId="13" borderId="51" xfId="0" applyNumberFormat="1" applyFont="1" applyFill="1" applyBorder="1" applyAlignment="1">
      <alignment horizontal="center"/>
    </xf>
    <xf numFmtId="3" fontId="29" fillId="13" borderId="5" xfId="0" applyNumberFormat="1" applyFont="1" applyFill="1" applyBorder="1" applyAlignment="1">
      <alignment horizontal="center"/>
    </xf>
    <xf numFmtId="3" fontId="29" fillId="13" borderId="5" xfId="0" applyNumberFormat="1" applyFont="1" applyFill="1" applyBorder="1" applyAlignment="1">
      <alignment horizontal="right"/>
    </xf>
    <xf numFmtId="1" fontId="10" fillId="15" borderId="0" xfId="0" applyNumberFormat="1" applyFont="1" applyFill="1" applyAlignment="1">
      <alignment horizontal="center"/>
    </xf>
    <xf numFmtId="1" fontId="28" fillId="15" borderId="0" xfId="0" applyNumberFormat="1" applyFont="1" applyFill="1" applyAlignment="1">
      <alignment horizontal="center"/>
    </xf>
    <xf numFmtId="1" fontId="28" fillId="15" borderId="0" xfId="0" applyNumberFormat="1" applyFont="1" applyFill="1" applyAlignment="1">
      <alignment horizontal="left"/>
    </xf>
    <xf numFmtId="1" fontId="10" fillId="15" borderId="0" xfId="0" applyNumberFormat="1" applyFont="1" applyFill="1" applyAlignment="1">
      <alignment horizontal="right"/>
    </xf>
    <xf numFmtId="1" fontId="11" fillId="15" borderId="0" xfId="0" applyNumberFormat="1" applyFont="1" applyFill="1" applyAlignment="1">
      <alignment horizontal="right"/>
    </xf>
    <xf numFmtId="4" fontId="27" fillId="15" borderId="0" xfId="0" applyNumberFormat="1" applyFont="1" applyFill="1" applyAlignment="1">
      <alignment horizontal="right" vertical="center"/>
    </xf>
    <xf numFmtId="1" fontId="28" fillId="15" borderId="0" xfId="0" applyNumberFormat="1" applyFont="1" applyFill="1" applyAlignment="1">
      <alignment horizontal="right"/>
    </xf>
    <xf numFmtId="0" fontId="10" fillId="12" borderId="0" xfId="0" applyFont="1" applyFill="1" applyAlignment="1">
      <alignment horizontal="center"/>
    </xf>
    <xf numFmtId="1" fontId="10" fillId="12" borderId="0" xfId="0" applyNumberFormat="1" applyFont="1" applyFill="1" applyAlignment="1">
      <alignment horizontal="center"/>
    </xf>
    <xf numFmtId="2" fontId="28" fillId="15" borderId="50" xfId="0" applyNumberFormat="1" applyFont="1" applyFill="1" applyBorder="1" applyAlignment="1">
      <alignment horizontal="center"/>
    </xf>
    <xf numFmtId="2" fontId="10" fillId="15" borderId="5" xfId="0" applyNumberFormat="1" applyFont="1" applyFill="1" applyBorder="1" applyAlignment="1">
      <alignment horizontal="center"/>
    </xf>
    <xf numFmtId="1" fontId="10" fillId="15" borderId="5" xfId="0" applyNumberFormat="1" applyFont="1" applyFill="1" applyBorder="1" applyAlignment="1">
      <alignment horizontal="left"/>
    </xf>
    <xf numFmtId="4" fontId="28" fillId="15" borderId="5" xfId="0" applyNumberFormat="1" applyFont="1" applyFill="1" applyBorder="1" applyAlignment="1">
      <alignment horizontal="right"/>
    </xf>
    <xf numFmtId="1" fontId="10" fillId="15" borderId="5" xfId="0" applyNumberFormat="1" applyFont="1" applyFill="1" applyBorder="1" applyAlignment="1">
      <alignment horizontal="center"/>
    </xf>
    <xf numFmtId="1" fontId="10" fillId="14" borderId="0" xfId="0" applyNumberFormat="1" applyFont="1" applyFill="1" applyAlignment="1">
      <alignment horizontal="right"/>
    </xf>
    <xf numFmtId="3" fontId="13" fillId="4" borderId="51" xfId="0" applyNumberFormat="1" applyFont="1" applyFill="1" applyBorder="1" applyAlignment="1">
      <alignment horizontal="center"/>
    </xf>
    <xf numFmtId="3" fontId="29" fillId="15" borderId="5" xfId="0" applyNumberFormat="1" applyFont="1" applyFill="1" applyBorder="1" applyAlignment="1">
      <alignment horizontal="center"/>
    </xf>
    <xf numFmtId="0" fontId="10" fillId="3" borderId="0" xfId="0" applyFont="1" applyFill="1" applyAlignment="1">
      <alignment horizontal="left"/>
    </xf>
    <xf numFmtId="0" fontId="12" fillId="4" borderId="0" xfId="0" applyFont="1" applyFill="1" applyAlignment="1">
      <alignment horizontal="center"/>
    </xf>
    <xf numFmtId="0" fontId="11" fillId="16" borderId="19" xfId="0" applyFont="1" applyFill="1" applyBorder="1" applyAlignment="1">
      <alignment horizontal="center"/>
    </xf>
    <xf numFmtId="0" fontId="10" fillId="2" borderId="1" xfId="0" applyFont="1" applyFill="1" applyBorder="1" applyAlignment="1">
      <alignment horizontal="left" vertical="top" wrapText="1"/>
    </xf>
    <xf numFmtId="0" fontId="10" fillId="2" borderId="4" xfId="0" applyFont="1" applyFill="1" applyBorder="1" applyAlignment="1">
      <alignment horizontal="center"/>
    </xf>
    <xf numFmtId="0" fontId="16" fillId="2" borderId="1" xfId="0" applyFont="1" applyFill="1" applyBorder="1" applyAlignment="1">
      <alignment horizontal="left" vertical="top" wrapText="1"/>
    </xf>
    <xf numFmtId="1" fontId="3" fillId="3" borderId="0" xfId="0" applyNumberFormat="1" applyFont="1" applyFill="1" applyAlignment="1">
      <alignment horizontal="center"/>
    </xf>
    <xf numFmtId="1" fontId="21" fillId="3" borderId="0" xfId="0" applyNumberFormat="1" applyFont="1" applyFill="1" applyAlignment="1">
      <alignment horizontal="center"/>
    </xf>
    <xf numFmtId="1" fontId="3" fillId="3" borderId="32" xfId="0" applyNumberFormat="1" applyFont="1" applyFill="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 fontId="30" fillId="15" borderId="5" xfId="0" applyNumberFormat="1" applyFont="1" applyFill="1" applyBorder="1" applyAlignment="1">
      <alignment horizontal="left"/>
    </xf>
    <xf numFmtId="1" fontId="10" fillId="15" borderId="5" xfId="0" applyNumberFormat="1" applyFont="1" applyFill="1" applyBorder="1" applyAlignment="1">
      <alignment horizontal="left" vertical="top" wrapText="1"/>
    </xf>
    <xf numFmtId="0" fontId="13" fillId="4" borderId="0" xfId="0" applyFont="1" applyFill="1" applyAlignment="1">
      <alignment horizontal="center"/>
    </xf>
    <xf numFmtId="0" fontId="31" fillId="12" borderId="5" xfId="0" applyFont="1" applyFill="1" applyBorder="1" applyAlignment="1">
      <alignment horizontal="center"/>
    </xf>
    <xf numFmtId="0" fontId="13" fillId="4" borderId="5" xfId="0" applyFont="1" applyFill="1" applyBorder="1" applyAlignment="1">
      <alignment horizontal="center"/>
    </xf>
    <xf numFmtId="0" fontId="32" fillId="12" borderId="5" xfId="0" applyFont="1" applyFill="1" applyBorder="1" applyAlignment="1">
      <alignment horizontal="center"/>
    </xf>
    <xf numFmtId="0" fontId="13" fillId="4" borderId="51" xfId="0" applyFont="1" applyFill="1" applyBorder="1" applyAlignment="1">
      <alignment horizontal="center"/>
    </xf>
    <xf numFmtId="0" fontId="10" fillId="0" borderId="20" xfId="0" applyFont="1" applyBorder="1" applyAlignment="1">
      <alignment horizontal="center"/>
    </xf>
    <xf numFmtId="0" fontId="10" fillId="0" borderId="43" xfId="0" applyFont="1" applyBorder="1" applyAlignment="1">
      <alignment horizontal="center"/>
    </xf>
    <xf numFmtId="1" fontId="10" fillId="12" borderId="4" xfId="0" applyNumberFormat="1" applyFont="1" applyFill="1" applyBorder="1" applyAlignment="1">
      <alignment horizontal="center"/>
    </xf>
    <xf numFmtId="0" fontId="12" fillId="4" borderId="52" xfId="0" applyFont="1" applyFill="1" applyBorder="1" applyAlignment="1">
      <alignment horizontal="center"/>
    </xf>
    <xf numFmtId="0" fontId="12" fillId="4" borderId="43" xfId="0" applyFont="1" applyFill="1" applyBorder="1" applyAlignment="1">
      <alignment horizontal="center"/>
    </xf>
    <xf numFmtId="1" fontId="13" fillId="4" borderId="4" xfId="0" applyNumberFormat="1" applyFont="1" applyFill="1" applyBorder="1" applyAlignment="1">
      <alignment horizontal="center"/>
    </xf>
    <xf numFmtId="0" fontId="10" fillId="3" borderId="20" xfId="0" applyFont="1" applyFill="1" applyBorder="1" applyAlignment="1">
      <alignment horizontal="center"/>
    </xf>
    <xf numFmtId="0" fontId="11" fillId="16" borderId="51" xfId="0" applyFont="1" applyFill="1" applyBorder="1" applyAlignment="1">
      <alignment horizontal="center"/>
    </xf>
    <xf numFmtId="0" fontId="33" fillId="0" borderId="0" xfId="4"/>
    <xf numFmtId="4" fontId="33" fillId="0" borderId="0" xfId="4" applyNumberFormat="1"/>
    <xf numFmtId="4" fontId="33" fillId="0" borderId="0" xfId="4" applyNumberFormat="1" applyAlignment="1">
      <alignment horizontal="right"/>
    </xf>
    <xf numFmtId="4" fontId="2" fillId="0" borderId="0" xfId="4" applyNumberFormat="1" applyFont="1" applyAlignment="1">
      <alignment horizontal="center"/>
    </xf>
    <xf numFmtId="4" fontId="2" fillId="0" borderId="0" xfId="4" applyNumberFormat="1" applyFont="1"/>
    <xf numFmtId="0" fontId="34" fillId="0" borderId="0" xfId="4" applyFont="1"/>
    <xf numFmtId="0" fontId="12" fillId="4" borderId="43" xfId="4" applyFont="1" applyFill="1" applyBorder="1" applyAlignment="1">
      <alignment horizontal="left" vertical="top" wrapText="1"/>
    </xf>
    <xf numFmtId="0" fontId="12" fillId="4" borderId="43" xfId="4" applyFont="1" applyFill="1" applyBorder="1" applyAlignment="1">
      <alignment horizontal="center"/>
    </xf>
    <xf numFmtId="4" fontId="12" fillId="4" borderId="43" xfId="4" applyNumberFormat="1" applyFont="1" applyFill="1" applyBorder="1" applyAlignment="1">
      <alignment horizontal="right"/>
    </xf>
    <xf numFmtId="4" fontId="12" fillId="4" borderId="43" xfId="4" applyNumberFormat="1" applyFont="1" applyFill="1" applyBorder="1"/>
    <xf numFmtId="0" fontId="10" fillId="0" borderId="43" xfId="4" applyFont="1" applyBorder="1" applyAlignment="1">
      <alignment horizontal="left" vertical="top" wrapText="1"/>
    </xf>
    <xf numFmtId="0" fontId="10" fillId="0" borderId="43" xfId="4" applyFont="1" applyBorder="1" applyAlignment="1">
      <alignment horizontal="center"/>
    </xf>
    <xf numFmtId="4" fontId="10" fillId="0" borderId="43" xfId="4" applyNumberFormat="1" applyFont="1" applyBorder="1" applyAlignment="1">
      <alignment horizontal="right"/>
    </xf>
    <xf numFmtId="4" fontId="10" fillId="0" borderId="43" xfId="4" applyNumberFormat="1" applyFont="1" applyBorder="1"/>
    <xf numFmtId="17" fontId="12" fillId="4" borderId="43" xfId="4" applyNumberFormat="1" applyFont="1" applyFill="1" applyBorder="1" applyAlignment="1">
      <alignment horizontal="center"/>
    </xf>
    <xf numFmtId="0" fontId="10" fillId="3" borderId="43" xfId="4" applyFont="1" applyFill="1" applyBorder="1" applyAlignment="1">
      <alignment horizontal="left" vertical="top" wrapText="1"/>
    </xf>
    <xf numFmtId="0" fontId="10" fillId="3" borderId="43" xfId="4" applyFont="1" applyFill="1" applyBorder="1" applyAlignment="1">
      <alignment horizontal="center"/>
    </xf>
    <xf numFmtId="4" fontId="10" fillId="3" borderId="43" xfId="4" applyNumberFormat="1" applyFont="1" applyFill="1" applyBorder="1" applyAlignment="1">
      <alignment horizontal="right"/>
    </xf>
    <xf numFmtId="4" fontId="10" fillId="3" borderId="43" xfId="4" applyNumberFormat="1" applyFont="1" applyFill="1" applyBorder="1"/>
    <xf numFmtId="4" fontId="16" fillId="0" borderId="43" xfId="4" applyNumberFormat="1" applyFont="1" applyBorder="1"/>
    <xf numFmtId="4" fontId="16" fillId="3" borderId="43" xfId="4" applyNumberFormat="1" applyFont="1" applyFill="1" applyBorder="1"/>
    <xf numFmtId="0" fontId="12" fillId="4" borderId="43" xfId="4" applyFont="1" applyFill="1" applyBorder="1" applyAlignment="1">
      <alignment horizontal="center" vertical="top" wrapText="1"/>
    </xf>
    <xf numFmtId="0" fontId="35" fillId="0" borderId="0" xfId="4" applyFont="1"/>
    <xf numFmtId="0" fontId="35" fillId="0" borderId="0" xfId="4" applyFont="1" applyAlignment="1">
      <alignment horizontal="center"/>
    </xf>
    <xf numFmtId="4" fontId="35" fillId="0" borderId="0" xfId="4" applyNumberFormat="1" applyFont="1" applyAlignment="1">
      <alignment horizontal="center"/>
    </xf>
    <xf numFmtId="0" fontId="10" fillId="2" borderId="43" xfId="4" applyFont="1" applyFill="1" applyBorder="1" applyAlignment="1">
      <alignment horizontal="center" vertical="center" wrapText="1"/>
    </xf>
    <xf numFmtId="0" fontId="2" fillId="2" borderId="17" xfId="4" applyFont="1" applyFill="1" applyBorder="1"/>
    <xf numFmtId="0" fontId="2" fillId="2" borderId="0" xfId="4" applyFont="1" applyFill="1" applyAlignment="1">
      <alignment horizontal="center"/>
    </xf>
    <xf numFmtId="0" fontId="33" fillId="2" borderId="0" xfId="4" applyFill="1" applyAlignment="1">
      <alignment horizontal="right"/>
    </xf>
    <xf numFmtId="0" fontId="15" fillId="2" borderId="43" xfId="4" applyFont="1" applyFill="1" applyBorder="1" applyAlignment="1">
      <alignment horizontal="center" vertical="center" wrapText="1"/>
    </xf>
    <xf numFmtId="0" fontId="15" fillId="0" borderId="43" xfId="4" applyFont="1" applyBorder="1" applyAlignment="1">
      <alignment horizontal="center"/>
    </xf>
    <xf numFmtId="4" fontId="15" fillId="0" borderId="43" xfId="4" applyNumberFormat="1" applyFont="1" applyBorder="1"/>
    <xf numFmtId="4" fontId="17" fillId="4" borderId="43" xfId="4" applyNumberFormat="1" applyFont="1" applyFill="1" applyBorder="1"/>
    <xf numFmtId="16" fontId="17" fillId="4" borderId="43" xfId="4" applyNumberFormat="1" applyFont="1" applyFill="1" applyBorder="1" applyAlignment="1">
      <alignment horizontal="center"/>
    </xf>
    <xf numFmtId="0" fontId="15" fillId="2" borderId="53" xfId="4" applyFont="1" applyFill="1" applyBorder="1" applyAlignment="1">
      <alignment horizontal="center" vertical="center" wrapText="1"/>
    </xf>
    <xf numFmtId="0" fontId="15" fillId="2" borderId="54" xfId="4" applyFont="1" applyFill="1" applyBorder="1" applyAlignment="1">
      <alignment horizontal="center" vertical="center" wrapText="1"/>
    </xf>
    <xf numFmtId="0" fontId="10" fillId="2" borderId="43" xfId="4" applyFont="1" applyFill="1" applyBorder="1" applyAlignment="1">
      <alignment horizontal="center" vertical="center"/>
    </xf>
    <xf numFmtId="0" fontId="2" fillId="0" borderId="53" xfId="4" applyFont="1" applyBorder="1" applyAlignment="1">
      <alignment horizontal="center" vertical="center"/>
    </xf>
    <xf numFmtId="0" fontId="2" fillId="0" borderId="54" xfId="4" applyFont="1" applyBorder="1" applyAlignment="1">
      <alignment horizontal="center" vertical="center"/>
    </xf>
    <xf numFmtId="0" fontId="10" fillId="2" borderId="53" xfId="4" applyFont="1" applyFill="1" applyBorder="1" applyAlignment="1">
      <alignment horizontal="center" vertical="center" wrapText="1"/>
    </xf>
    <xf numFmtId="0" fontId="10" fillId="2" borderId="54" xfId="4" applyFont="1" applyFill="1" applyBorder="1" applyAlignment="1">
      <alignment horizontal="center" vertical="center" wrapText="1"/>
    </xf>
    <xf numFmtId="0" fontId="36" fillId="0" borderId="0" xfId="0" applyFont="1"/>
    <xf numFmtId="0" fontId="0" fillId="0" borderId="0" xfId="0"/>
    <xf numFmtId="0" fontId="0" fillId="0" borderId="0" xfId="0" applyAlignment="1">
      <alignment horizontal="center"/>
    </xf>
    <xf numFmtId="0" fontId="10" fillId="0" borderId="0" xfId="0" applyFont="1" applyAlignment="1">
      <alignment horizontal="center"/>
    </xf>
    <xf numFmtId="0" fontId="0" fillId="2" borderId="0" xfId="0" applyFill="1"/>
    <xf numFmtId="0" fontId="10" fillId="0" borderId="0" xfId="0" applyFont="1"/>
    <xf numFmtId="0" fontId="0" fillId="2" borderId="0" xfId="0" applyFill="1" applyAlignment="1">
      <alignment horizontal="center"/>
    </xf>
    <xf numFmtId="0" fontId="10" fillId="2" borderId="0" xfId="0" applyFont="1" applyFill="1" applyAlignment="1">
      <alignment horizontal="center"/>
    </xf>
    <xf numFmtId="1" fontId="10" fillId="2" borderId="0" xfId="0" applyNumberFormat="1" applyFont="1" applyFill="1" applyAlignment="1">
      <alignment horizontal="center"/>
    </xf>
    <xf numFmtId="1" fontId="11" fillId="14" borderId="0" xfId="0" applyNumberFormat="1" applyFont="1" applyFill="1" applyAlignment="1">
      <alignment horizontal="right"/>
    </xf>
    <xf numFmtId="4" fontId="27" fillId="14" borderId="0" xfId="0" applyNumberFormat="1" applyFont="1" applyFill="1" applyAlignment="1">
      <alignment horizontal="right" vertical="center"/>
    </xf>
    <xf numFmtId="1" fontId="28" fillId="14" borderId="0" xfId="0" applyNumberFormat="1" applyFont="1" applyFill="1" applyAlignment="1">
      <alignment horizontal="right"/>
    </xf>
    <xf numFmtId="0" fontId="12" fillId="4" borderId="1" xfId="0" applyFont="1" applyFill="1" applyBorder="1" applyAlignment="1">
      <alignment horizontal="left" vertical="top" wrapText="1"/>
    </xf>
    <xf numFmtId="0" fontId="12" fillId="4" borderId="2" xfId="0" applyFont="1" applyFill="1" applyBorder="1" applyAlignment="1">
      <alignment horizontal="center"/>
    </xf>
    <xf numFmtId="1" fontId="13" fillId="4" borderId="0" xfId="0" applyNumberFormat="1" applyFont="1" applyFill="1" applyAlignment="1">
      <alignment horizontal="center"/>
    </xf>
    <xf numFmtId="2" fontId="13" fillId="4" borderId="5" xfId="0" applyNumberFormat="1" applyFont="1" applyFill="1" applyBorder="1" applyAlignment="1">
      <alignment horizontal="center"/>
    </xf>
    <xf numFmtId="2" fontId="13" fillId="4" borderId="0" xfId="0" applyNumberFormat="1" applyFont="1" applyFill="1" applyAlignment="1">
      <alignment horizontal="center"/>
    </xf>
    <xf numFmtId="1" fontId="13" fillId="4" borderId="5" xfId="0" applyNumberFormat="1" applyFont="1" applyFill="1" applyBorder="1" applyAlignment="1">
      <alignment horizontal="left"/>
    </xf>
    <xf numFmtId="4" fontId="13" fillId="4" borderId="5" xfId="0" applyNumberFormat="1" applyFont="1" applyFill="1" applyBorder="1" applyAlignment="1">
      <alignment horizontal="right"/>
    </xf>
    <xf numFmtId="0" fontId="10" fillId="0" borderId="1" xfId="0" applyFont="1" applyBorder="1" applyAlignment="1">
      <alignment horizontal="left" vertical="top" wrapText="1"/>
    </xf>
    <xf numFmtId="0" fontId="10" fillId="0" borderId="4" xfId="0" applyFont="1" applyBorder="1" applyAlignment="1">
      <alignment horizontal="center"/>
    </xf>
    <xf numFmtId="1" fontId="10" fillId="12" borderId="5" xfId="0" applyNumberFormat="1" applyFont="1" applyFill="1" applyBorder="1" applyAlignment="1">
      <alignment horizontal="center"/>
    </xf>
    <xf numFmtId="4" fontId="28" fillId="14" borderId="5" xfId="0" applyNumberFormat="1" applyFont="1" applyFill="1" applyBorder="1" applyAlignment="1">
      <alignment horizontal="right"/>
    </xf>
    <xf numFmtId="1" fontId="13" fillId="4" borderId="5" xfId="0" applyNumberFormat="1" applyFont="1" applyFill="1" applyBorder="1" applyAlignment="1">
      <alignment horizontal="center"/>
    </xf>
    <xf numFmtId="0" fontId="16" fillId="0" borderId="1" xfId="0" applyFont="1" applyBorder="1" applyAlignment="1">
      <alignment horizontal="left" vertical="top" wrapText="1"/>
    </xf>
    <xf numFmtId="0" fontId="18" fillId="2" borderId="0" xfId="0" applyFont="1" applyFill="1" applyAlignment="1">
      <alignment horizontal="center"/>
    </xf>
    <xf numFmtId="2" fontId="29" fillId="13" borderId="51" xfId="0" applyNumberFormat="1" applyFont="1" applyFill="1" applyBorder="1" applyAlignment="1">
      <alignment horizontal="center"/>
    </xf>
    <xf numFmtId="3" fontId="29" fillId="13" borderId="5" xfId="0" applyNumberFormat="1" applyFont="1" applyFill="1" applyBorder="1" applyAlignment="1">
      <alignment horizontal="center"/>
    </xf>
    <xf numFmtId="3" fontId="29" fillId="13" borderId="5" xfId="0" applyNumberFormat="1" applyFont="1" applyFill="1" applyBorder="1" applyAlignment="1">
      <alignment horizontal="right"/>
    </xf>
    <xf numFmtId="1" fontId="10" fillId="15" borderId="0" xfId="0" applyNumberFormat="1" applyFont="1" applyFill="1" applyAlignment="1">
      <alignment horizontal="center"/>
    </xf>
    <xf numFmtId="1" fontId="28" fillId="15" borderId="0" xfId="0" applyNumberFormat="1" applyFont="1" applyFill="1" applyAlignment="1">
      <alignment horizontal="center"/>
    </xf>
    <xf numFmtId="1" fontId="28" fillId="15" borderId="0" xfId="0" applyNumberFormat="1" applyFont="1" applyFill="1" applyAlignment="1">
      <alignment horizontal="left"/>
    </xf>
    <xf numFmtId="1" fontId="10" fillId="15" borderId="0" xfId="0" applyNumberFormat="1" applyFont="1" applyFill="1" applyAlignment="1">
      <alignment horizontal="right"/>
    </xf>
    <xf numFmtId="1" fontId="11" fillId="15" borderId="0" xfId="0" applyNumberFormat="1" applyFont="1" applyFill="1" applyAlignment="1">
      <alignment horizontal="right"/>
    </xf>
    <xf numFmtId="4" fontId="27" fillId="15" borderId="0" xfId="0" applyNumberFormat="1" applyFont="1" applyFill="1" applyAlignment="1">
      <alignment horizontal="right" vertical="center"/>
    </xf>
    <xf numFmtId="1" fontId="28" fillId="15" borderId="0" xfId="0" applyNumberFormat="1" applyFont="1" applyFill="1" applyAlignment="1">
      <alignment horizontal="right"/>
    </xf>
    <xf numFmtId="0" fontId="10" fillId="12" borderId="0" xfId="0" applyFont="1" applyFill="1" applyAlignment="1">
      <alignment horizontal="center"/>
    </xf>
    <xf numFmtId="1" fontId="10" fillId="12" borderId="0" xfId="0" applyNumberFormat="1" applyFont="1" applyFill="1" applyAlignment="1">
      <alignment horizontal="center"/>
    </xf>
    <xf numFmtId="2" fontId="28" fillId="15" borderId="50" xfId="0" applyNumberFormat="1" applyFont="1" applyFill="1" applyBorder="1" applyAlignment="1">
      <alignment horizontal="center"/>
    </xf>
    <xf numFmtId="2" fontId="10" fillId="15" borderId="5" xfId="0" applyNumberFormat="1" applyFont="1" applyFill="1" applyBorder="1" applyAlignment="1">
      <alignment horizontal="center"/>
    </xf>
    <xf numFmtId="1" fontId="10" fillId="15" borderId="5" xfId="0" applyNumberFormat="1" applyFont="1" applyFill="1" applyBorder="1" applyAlignment="1">
      <alignment horizontal="left"/>
    </xf>
    <xf numFmtId="4" fontId="28" fillId="15" borderId="5" xfId="0" applyNumberFormat="1" applyFont="1" applyFill="1" applyBorder="1" applyAlignment="1">
      <alignment horizontal="right"/>
    </xf>
    <xf numFmtId="1" fontId="10" fillId="15" borderId="5" xfId="0" applyNumberFormat="1" applyFont="1" applyFill="1" applyBorder="1" applyAlignment="1">
      <alignment horizontal="center"/>
    </xf>
    <xf numFmtId="1" fontId="10" fillId="14" borderId="0" xfId="0" applyNumberFormat="1" applyFont="1" applyFill="1" applyAlignment="1">
      <alignment horizontal="right"/>
    </xf>
    <xf numFmtId="3" fontId="13" fillId="4" borderId="51" xfId="0" applyNumberFormat="1" applyFont="1" applyFill="1" applyBorder="1" applyAlignment="1">
      <alignment horizontal="center"/>
    </xf>
    <xf numFmtId="3" fontId="29" fillId="15" borderId="5" xfId="0" applyNumberFormat="1" applyFont="1" applyFill="1" applyBorder="1" applyAlignment="1">
      <alignment horizontal="center"/>
    </xf>
    <xf numFmtId="0" fontId="10" fillId="3" borderId="0" xfId="0" applyFont="1" applyFill="1" applyAlignment="1">
      <alignment horizontal="left"/>
    </xf>
    <xf numFmtId="0" fontId="12" fillId="4" borderId="0" xfId="0" applyFont="1" applyFill="1" applyAlignment="1">
      <alignment horizontal="center"/>
    </xf>
    <xf numFmtId="0" fontId="11" fillId="16" borderId="19" xfId="0" applyFont="1" applyFill="1" applyBorder="1" applyAlignment="1">
      <alignment horizontal="center"/>
    </xf>
    <xf numFmtId="0" fontId="10" fillId="2" borderId="1" xfId="0" applyFont="1" applyFill="1" applyBorder="1" applyAlignment="1">
      <alignment horizontal="left" vertical="top" wrapText="1"/>
    </xf>
    <xf numFmtId="0" fontId="10" fillId="2" borderId="4" xfId="0" applyFont="1" applyFill="1" applyBorder="1" applyAlignment="1">
      <alignment horizontal="center"/>
    </xf>
    <xf numFmtId="0" fontId="16" fillId="2" borderId="1" xfId="0" applyFont="1" applyFill="1" applyBorder="1" applyAlignment="1">
      <alignment horizontal="left" vertical="top" wrapText="1"/>
    </xf>
    <xf numFmtId="3" fontId="37" fillId="0" borderId="0" xfId="0" applyNumberFormat="1" applyFont="1"/>
    <xf numFmtId="0" fontId="37" fillId="0" borderId="0" xfId="0" applyFont="1"/>
    <xf numFmtId="0" fontId="38" fillId="0" borderId="0" xfId="0" applyFont="1"/>
    <xf numFmtId="0" fontId="41" fillId="0" borderId="0" xfId="0" applyFont="1"/>
    <xf numFmtId="0" fontId="40" fillId="0" borderId="0" xfId="0" applyFont="1" applyAlignment="1">
      <alignment horizontal="center"/>
    </xf>
    <xf numFmtId="0" fontId="42" fillId="2" borderId="0" xfId="0" applyFont="1" applyFill="1"/>
    <xf numFmtId="0" fontId="44" fillId="2" borderId="0" xfId="0" applyFont="1" applyFill="1"/>
    <xf numFmtId="0" fontId="44" fillId="17" borderId="0" xfId="0" applyFont="1" applyFill="1"/>
    <xf numFmtId="3" fontId="8" fillId="18" borderId="0" xfId="0" applyNumberFormat="1" applyFont="1" applyFill="1" applyAlignment="1">
      <alignment horizontal="left"/>
    </xf>
    <xf numFmtId="0" fontId="18" fillId="2" borderId="0" xfId="0" applyFont="1" applyFill="1" applyAlignment="1">
      <alignment horizontal="left"/>
    </xf>
    <xf numFmtId="0" fontId="0" fillId="0" borderId="0" xfId="0" applyAlignment="1">
      <alignment wrapText="1"/>
    </xf>
    <xf numFmtId="0" fontId="3" fillId="19" borderId="43" xfId="0" applyFont="1" applyFill="1" applyBorder="1" applyAlignment="1">
      <alignment vertical="center" wrapText="1"/>
    </xf>
    <xf numFmtId="0" fontId="27" fillId="19" borderId="43" xfId="0" applyFont="1" applyFill="1" applyBorder="1" applyAlignment="1">
      <alignment horizontal="center" vertical="center" wrapText="1"/>
    </xf>
    <xf numFmtId="3" fontId="27" fillId="19" borderId="43" xfId="0" applyNumberFormat="1" applyFont="1" applyFill="1" applyBorder="1" applyAlignment="1">
      <alignment horizontal="center" vertical="center" wrapText="1"/>
    </xf>
    <xf numFmtId="0" fontId="27" fillId="19" borderId="43" xfId="0" applyFont="1" applyFill="1" applyBorder="1" applyAlignment="1">
      <alignment horizontal="center" vertical="center"/>
    </xf>
    <xf numFmtId="0" fontId="18" fillId="0" borderId="0" xfId="0" applyFont="1"/>
    <xf numFmtId="0" fontId="46" fillId="2" borderId="43" xfId="0" applyFont="1" applyFill="1" applyBorder="1" applyAlignment="1">
      <alignment vertical="center" wrapText="1"/>
    </xf>
    <xf numFmtId="0" fontId="5" fillId="2" borderId="43" xfId="0" applyFont="1" applyFill="1" applyBorder="1" applyAlignment="1">
      <alignment horizontal="center" vertical="center" wrapText="1"/>
    </xf>
    <xf numFmtId="0" fontId="8" fillId="2" borderId="43" xfId="0" applyFont="1" applyFill="1" applyBorder="1" applyAlignment="1">
      <alignment horizontal="center" vertical="center" wrapText="1"/>
    </xf>
    <xf numFmtId="0" fontId="5" fillId="2" borderId="43" xfId="0" applyFont="1" applyFill="1" applyBorder="1" applyAlignment="1">
      <alignment horizontal="right" vertical="center" wrapText="1"/>
    </xf>
    <xf numFmtId="0" fontId="5" fillId="2" borderId="43" xfId="0" applyFont="1" applyFill="1" applyBorder="1" applyAlignment="1">
      <alignment horizontal="left" vertical="center" wrapText="1"/>
    </xf>
    <xf numFmtId="0" fontId="18" fillId="2" borderId="0" xfId="0" applyFont="1" applyFill="1"/>
    <xf numFmtId="0" fontId="5" fillId="2" borderId="43" xfId="0" applyFont="1" applyFill="1" applyBorder="1" applyAlignment="1">
      <alignment vertical="center" wrapText="1"/>
    </xf>
    <xf numFmtId="0" fontId="3" fillId="2" borderId="43" xfId="0" applyFont="1" applyFill="1" applyBorder="1" applyAlignment="1">
      <alignment horizontal="center" vertical="center" wrapText="1"/>
    </xf>
    <xf numFmtId="3" fontId="5" fillId="2" borderId="43" xfId="0" applyNumberFormat="1" applyFont="1" applyFill="1" applyBorder="1" applyAlignment="1">
      <alignment horizontal="right"/>
    </xf>
    <xf numFmtId="0" fontId="3" fillId="2" borderId="43" xfId="0" applyFont="1" applyFill="1" applyBorder="1" applyAlignment="1">
      <alignment horizontal="center"/>
    </xf>
    <xf numFmtId="0" fontId="47" fillId="2" borderId="17" xfId="0" applyFont="1" applyFill="1" applyBorder="1"/>
    <xf numFmtId="0" fontId="5" fillId="0" borderId="43" xfId="0" applyFont="1" applyBorder="1" applyAlignment="1">
      <alignment horizontal="left"/>
    </xf>
    <xf numFmtId="0" fontId="5" fillId="2" borderId="43" xfId="0" applyFont="1" applyFill="1" applyBorder="1"/>
    <xf numFmtId="0" fontId="0" fillId="2" borderId="43" xfId="0" applyFill="1" applyBorder="1"/>
    <xf numFmtId="0" fontId="3" fillId="2" borderId="43" xfId="0" applyFont="1" applyFill="1" applyBorder="1" applyAlignment="1">
      <alignment horizontal="center" vertical="center"/>
    </xf>
    <xf numFmtId="0" fontId="5" fillId="2" borderId="43" xfId="0" applyFont="1" applyFill="1" applyBorder="1" applyAlignment="1">
      <alignment horizontal="center"/>
    </xf>
    <xf numFmtId="3" fontId="5" fillId="0" borderId="43" xfId="0" applyNumberFormat="1" applyFont="1" applyBorder="1" applyAlignment="1">
      <alignment horizontal="right"/>
    </xf>
    <xf numFmtId="0" fontId="5" fillId="0" borderId="43" xfId="0" applyFont="1" applyBorder="1"/>
    <xf numFmtId="3" fontId="5" fillId="2" borderId="43" xfId="0" applyNumberFormat="1" applyFont="1" applyFill="1" applyBorder="1"/>
    <xf numFmtId="3" fontId="5" fillId="0" borderId="43" xfId="0" applyNumberFormat="1" applyFont="1" applyBorder="1"/>
    <xf numFmtId="0" fontId="48" fillId="0" borderId="43" xfId="0" applyFont="1" applyBorder="1" applyAlignment="1">
      <alignment wrapText="1"/>
    </xf>
    <xf numFmtId="0" fontId="48" fillId="0" borderId="43" xfId="0" applyFont="1" applyBorder="1"/>
    <xf numFmtId="0" fontId="48" fillId="18" borderId="43" xfId="0" applyFont="1" applyFill="1" applyBorder="1"/>
    <xf numFmtId="3" fontId="48" fillId="0" borderId="43" xfId="0" applyNumberFormat="1" applyFont="1" applyBorder="1"/>
    <xf numFmtId="3" fontId="48" fillId="18" borderId="43" xfId="0" applyNumberFormat="1" applyFont="1" applyFill="1" applyBorder="1"/>
    <xf numFmtId="0" fontId="48" fillId="0" borderId="17" xfId="0" applyFont="1" applyBorder="1"/>
    <xf numFmtId="0" fontId="48" fillId="0" borderId="11" xfId="0" applyFont="1" applyBorder="1" applyAlignment="1">
      <alignment wrapText="1"/>
    </xf>
    <xf numFmtId="0" fontId="48" fillId="0" borderId="11" xfId="0" applyFont="1" applyBorder="1"/>
    <xf numFmtId="0" fontId="48" fillId="2" borderId="11" xfId="0" applyFont="1" applyFill="1" applyBorder="1"/>
    <xf numFmtId="3" fontId="48" fillId="0" borderId="11" xfId="0" applyNumberFormat="1" applyFont="1" applyBorder="1"/>
    <xf numFmtId="3" fontId="48" fillId="2" borderId="11" xfId="0" applyNumberFormat="1" applyFont="1" applyFill="1" applyBorder="1"/>
    <xf numFmtId="0" fontId="48" fillId="0" borderId="10" xfId="0" applyFont="1" applyBorder="1"/>
    <xf numFmtId="0" fontId="0" fillId="0" borderId="11" xfId="0" applyBorder="1"/>
    <xf numFmtId="0" fontId="48" fillId="19" borderId="55" xfId="0" applyFont="1" applyFill="1" applyBorder="1" applyAlignment="1">
      <alignment wrapText="1"/>
    </xf>
    <xf numFmtId="0" fontId="48" fillId="19" borderId="55" xfId="0" applyFont="1" applyFill="1" applyBorder="1"/>
    <xf numFmtId="3" fontId="48" fillId="19" borderId="55" xfId="0" applyNumberFormat="1" applyFont="1" applyFill="1" applyBorder="1"/>
    <xf numFmtId="0" fontId="47" fillId="19" borderId="56" xfId="0" applyFont="1" applyFill="1" applyBorder="1" applyAlignment="1">
      <alignment wrapText="1"/>
    </xf>
    <xf numFmtId="0" fontId="6" fillId="19" borderId="55" xfId="0" applyFont="1" applyFill="1" applyBorder="1"/>
    <xf numFmtId="0" fontId="48" fillId="2" borderId="43" xfId="0" applyFont="1" applyFill="1" applyBorder="1"/>
    <xf numFmtId="3" fontId="48" fillId="2" borderId="43" xfId="0" applyNumberFormat="1" applyFont="1" applyFill="1" applyBorder="1"/>
    <xf numFmtId="0" fontId="8" fillId="19" borderId="43" xfId="0" applyFont="1" applyFill="1" applyBorder="1" applyAlignment="1">
      <alignment vertical="center" wrapText="1"/>
    </xf>
    <xf numFmtId="0" fontId="49" fillId="19" borderId="43" xfId="0" applyFont="1" applyFill="1" applyBorder="1" applyAlignment="1">
      <alignment horizontal="center" vertical="center" wrapText="1"/>
    </xf>
    <xf numFmtId="3" fontId="49" fillId="19" borderId="43" xfId="0" applyNumberFormat="1" applyFont="1" applyFill="1" applyBorder="1" applyAlignment="1">
      <alignment horizontal="center" vertical="center" wrapText="1"/>
    </xf>
    <xf numFmtId="0" fontId="49" fillId="19" borderId="43" xfId="0" applyFont="1" applyFill="1" applyBorder="1" applyAlignment="1">
      <alignment horizontal="center" vertical="center"/>
    </xf>
    <xf numFmtId="0" fontId="46" fillId="0" borderId="43" xfId="0" applyFont="1" applyBorder="1"/>
    <xf numFmtId="3" fontId="5" fillId="2" borderId="43" xfId="0" applyNumberFormat="1" applyFont="1" applyFill="1" applyBorder="1" applyAlignment="1">
      <alignment horizontal="right" vertical="center" wrapText="1"/>
    </xf>
    <xf numFmtId="0" fontId="47" fillId="2" borderId="43" xfId="0" applyFont="1" applyFill="1" applyBorder="1" applyAlignment="1">
      <alignment horizontal="left" vertical="center"/>
    </xf>
    <xf numFmtId="0" fontId="5" fillId="2" borderId="43" xfId="0" applyFont="1" applyFill="1" applyBorder="1" applyAlignment="1">
      <alignment horizontal="left" vertical="center"/>
    </xf>
    <xf numFmtId="0" fontId="5" fillId="0" borderId="43" xfId="0" applyFont="1" applyBorder="1" applyAlignment="1">
      <alignment horizontal="center"/>
    </xf>
    <xf numFmtId="0" fontId="8" fillId="2" borderId="43" xfId="0" applyFont="1" applyFill="1" applyBorder="1" applyAlignment="1">
      <alignment horizontal="center"/>
    </xf>
    <xf numFmtId="0" fontId="48" fillId="20" borderId="43" xfId="0" applyFont="1" applyFill="1" applyBorder="1"/>
    <xf numFmtId="3" fontId="48" fillId="20" borderId="43" xfId="0" applyNumberFormat="1" applyFont="1" applyFill="1" applyBorder="1"/>
    <xf numFmtId="0" fontId="48" fillId="0" borderId="53" xfId="0" applyFont="1" applyBorder="1" applyAlignment="1">
      <alignment wrapText="1"/>
    </xf>
    <xf numFmtId="0" fontId="48" fillId="0" borderId="53" xfId="0" applyFont="1" applyBorder="1"/>
    <xf numFmtId="0" fontId="48" fillId="2" borderId="53" xfId="0" applyFont="1" applyFill="1" applyBorder="1"/>
    <xf numFmtId="3" fontId="48" fillId="0" borderId="53" xfId="0" applyNumberFormat="1" applyFont="1" applyBorder="1"/>
    <xf numFmtId="3" fontId="48" fillId="2" borderId="53" xfId="0" applyNumberFormat="1" applyFont="1" applyFill="1" applyBorder="1"/>
    <xf numFmtId="0" fontId="48" fillId="0" borderId="8" xfId="0" applyFont="1" applyBorder="1"/>
    <xf numFmtId="0" fontId="0" fillId="0" borderId="53" xfId="0" applyBorder="1"/>
    <xf numFmtId="0" fontId="48" fillId="0" borderId="54" xfId="0" applyFont="1" applyBorder="1" applyAlignment="1">
      <alignment wrapText="1"/>
    </xf>
    <xf numFmtId="0" fontId="48" fillId="0" borderId="54" xfId="0" applyFont="1" applyBorder="1"/>
    <xf numFmtId="0" fontId="48" fillId="2" borderId="54" xfId="0" applyFont="1" applyFill="1" applyBorder="1"/>
    <xf numFmtId="3" fontId="48" fillId="0" borderId="54" xfId="0" applyNumberFormat="1" applyFont="1" applyBorder="1"/>
    <xf numFmtId="3" fontId="48" fillId="2" borderId="54" xfId="0" applyNumberFormat="1" applyFont="1" applyFill="1" applyBorder="1"/>
    <xf numFmtId="0" fontId="48" fillId="0" borderId="57" xfId="0" applyFont="1" applyBorder="1"/>
    <xf numFmtId="0" fontId="0" fillId="0" borderId="54" xfId="0" applyBorder="1"/>
    <xf numFmtId="0" fontId="51" fillId="19" borderId="55" xfId="0" applyFont="1" applyFill="1" applyBorder="1" applyAlignment="1">
      <alignment wrapText="1"/>
    </xf>
    <xf numFmtId="0" fontId="0" fillId="19" borderId="43" xfId="0" applyFill="1" applyBorder="1"/>
    <xf numFmtId="3" fontId="0" fillId="19" borderId="43" xfId="0" applyNumberFormat="1" applyFill="1" applyBorder="1"/>
    <xf numFmtId="0" fontId="49" fillId="19" borderId="53" xfId="0" applyFont="1" applyFill="1" applyBorder="1" applyAlignment="1">
      <alignment horizontal="center" vertical="center"/>
    </xf>
    <xf numFmtId="0" fontId="47" fillId="2" borderId="43" xfId="0" applyFont="1" applyFill="1" applyBorder="1" applyAlignment="1">
      <alignment horizontal="left" vertical="center" wrapText="1"/>
    </xf>
    <xf numFmtId="0" fontId="52" fillId="0" borderId="43" xfId="0" applyFont="1" applyBorder="1" applyAlignment="1">
      <alignment wrapText="1"/>
    </xf>
    <xf numFmtId="0" fontId="0" fillId="0" borderId="43" xfId="0" applyBorder="1" applyAlignment="1">
      <alignment wrapText="1"/>
    </xf>
    <xf numFmtId="3" fontId="0" fillId="2" borderId="43" xfId="0" applyNumberFormat="1" applyFill="1" applyBorder="1"/>
    <xf numFmtId="0" fontId="8" fillId="19" borderId="43" xfId="0" applyFont="1" applyFill="1" applyBorder="1" applyAlignment="1">
      <alignment wrapText="1"/>
    </xf>
    <xf numFmtId="0" fontId="5" fillId="0" borderId="43" xfId="0" applyFont="1" applyBorder="1" applyAlignment="1">
      <alignment wrapText="1"/>
    </xf>
    <xf numFmtId="170" fontId="5" fillId="2" borderId="43" xfId="0" applyNumberFormat="1" applyFont="1" applyFill="1" applyBorder="1" applyAlignment="1">
      <alignment horizontal="left" vertical="center" wrapText="1"/>
    </xf>
    <xf numFmtId="0" fontId="5" fillId="0" borderId="43" xfId="0" applyFont="1" applyBorder="1" applyAlignment="1">
      <alignment vertical="top"/>
    </xf>
    <xf numFmtId="0" fontId="0" fillId="0" borderId="17" xfId="0" applyBorder="1"/>
    <xf numFmtId="0" fontId="8" fillId="2" borderId="43" xfId="0" applyFont="1" applyFill="1" applyBorder="1" applyAlignment="1">
      <alignment wrapText="1"/>
    </xf>
    <xf numFmtId="0" fontId="0" fillId="2" borderId="17" xfId="0" applyFill="1" applyBorder="1"/>
    <xf numFmtId="3" fontId="48" fillId="0" borderId="58" xfId="0" applyNumberFormat="1" applyFont="1" applyBorder="1"/>
    <xf numFmtId="0" fontId="5" fillId="2" borderId="43" xfId="0" applyFont="1" applyFill="1" applyBorder="1" applyAlignment="1">
      <alignment wrapText="1"/>
    </xf>
    <xf numFmtId="0" fontId="8" fillId="21" borderId="43" xfId="0" applyFont="1" applyFill="1" applyBorder="1"/>
    <xf numFmtId="3" fontId="0" fillId="2" borderId="58" xfId="0" applyNumberFormat="1" applyFill="1" applyBorder="1"/>
    <xf numFmtId="3" fontId="8" fillId="21" borderId="43" xfId="0" applyNumberFormat="1" applyFont="1" applyFill="1" applyBorder="1" applyAlignment="1">
      <alignment horizontal="right"/>
    </xf>
    <xf numFmtId="0" fontId="8" fillId="22" borderId="53" xfId="0" applyFont="1" applyFill="1" applyBorder="1" applyAlignment="1">
      <alignment wrapText="1"/>
    </xf>
    <xf numFmtId="0" fontId="49" fillId="22" borderId="53" xfId="0" applyFont="1" applyFill="1" applyBorder="1" applyAlignment="1">
      <alignment horizontal="center" vertical="center" wrapText="1"/>
    </xf>
    <xf numFmtId="0" fontId="0" fillId="22" borderId="53" xfId="0" applyFill="1" applyBorder="1"/>
    <xf numFmtId="3" fontId="0" fillId="22" borderId="53" xfId="0" applyNumberFormat="1" applyFill="1" applyBorder="1"/>
    <xf numFmtId="3" fontId="49" fillId="22" borderId="53" xfId="0" applyNumberFormat="1" applyFont="1" applyFill="1" applyBorder="1" applyAlignment="1">
      <alignment horizontal="center" vertical="center" wrapText="1"/>
    </xf>
    <xf numFmtId="0" fontId="49" fillId="22" borderId="53" xfId="0" applyFont="1" applyFill="1" applyBorder="1" applyAlignment="1">
      <alignment horizontal="center" vertical="center"/>
    </xf>
    <xf numFmtId="0" fontId="49" fillId="22" borderId="43" xfId="0" applyFont="1" applyFill="1" applyBorder="1" applyAlignment="1">
      <alignment horizontal="center" vertical="center"/>
    </xf>
    <xf numFmtId="3" fontId="53" fillId="2" borderId="43" xfId="0" applyNumberFormat="1" applyFont="1" applyFill="1" applyBorder="1"/>
    <xf numFmtId="3" fontId="51" fillId="20" borderId="43" xfId="0" applyNumberFormat="1" applyFont="1" applyFill="1" applyBorder="1" applyAlignment="1">
      <alignment horizontal="right" wrapText="1"/>
    </xf>
    <xf numFmtId="3" fontId="0" fillId="2" borderId="0" xfId="0" applyNumberFormat="1" applyFill="1"/>
    <xf numFmtId="3" fontId="0" fillId="2" borderId="0" xfId="0" applyNumberFormat="1" applyFill="1" applyAlignment="1">
      <alignment horizontal="right"/>
    </xf>
    <xf numFmtId="0" fontId="8" fillId="23" borderId="59" xfId="0" applyFont="1" applyFill="1" applyBorder="1" applyAlignment="1">
      <alignment wrapText="1"/>
    </xf>
    <xf numFmtId="4" fontId="5" fillId="2" borderId="59" xfId="0" applyNumberFormat="1" applyFont="1" applyFill="1" applyBorder="1"/>
    <xf numFmtId="0" fontId="8" fillId="2" borderId="18" xfId="0" applyFont="1" applyFill="1" applyBorder="1"/>
    <xf numFmtId="0" fontId="8" fillId="2" borderId="43" xfId="0" applyFont="1" applyFill="1" applyBorder="1"/>
    <xf numFmtId="0" fontId="8" fillId="2" borderId="17" xfId="0" applyFont="1" applyFill="1" applyBorder="1"/>
    <xf numFmtId="0" fontId="8" fillId="23" borderId="59" xfId="0" applyFont="1" applyFill="1" applyBorder="1" applyAlignment="1">
      <alignment vertical="top" wrapText="1"/>
    </xf>
    <xf numFmtId="4" fontId="8" fillId="20" borderId="59" xfId="0" applyNumberFormat="1" applyFont="1" applyFill="1" applyBorder="1"/>
    <xf numFmtId="0" fontId="8" fillId="0" borderId="18" xfId="0" applyFont="1" applyBorder="1"/>
    <xf numFmtId="0" fontId="8" fillId="0" borderId="43" xfId="0" applyFont="1" applyBorder="1"/>
    <xf numFmtId="0" fontId="8" fillId="0" borderId="17" xfId="0" applyFont="1" applyBorder="1"/>
    <xf numFmtId="10" fontId="8" fillId="20" borderId="59" xfId="0" applyNumberFormat="1" applyFont="1" applyFill="1" applyBorder="1"/>
    <xf numFmtId="10" fontId="0" fillId="0" borderId="43" xfId="0" applyNumberFormat="1" applyBorder="1"/>
    <xf numFmtId="0" fontId="0" fillId="0" borderId="18" xfId="0" applyBorder="1"/>
    <xf numFmtId="0" fontId="53" fillId="0" borderId="0" xfId="0" applyFont="1"/>
    <xf numFmtId="0" fontId="49" fillId="2" borderId="0" xfId="0" applyFont="1" applyFill="1"/>
    <xf numFmtId="0" fontId="49" fillId="0" borderId="0" xfId="0" applyFont="1" applyAlignment="1">
      <alignment wrapText="1"/>
    </xf>
    <xf numFmtId="0" fontId="0" fillId="2" borderId="60" xfId="0" applyFill="1" applyBorder="1" applyAlignment="1">
      <alignment horizontal="center"/>
    </xf>
    <xf numFmtId="0" fontId="49" fillId="2" borderId="60" xfId="0" applyFont="1" applyFill="1" applyBorder="1" applyAlignment="1">
      <alignment horizontal="left"/>
    </xf>
    <xf numFmtId="0" fontId="49" fillId="2" borderId="60" xfId="0" applyFont="1" applyFill="1" applyBorder="1" applyAlignment="1">
      <alignment horizontal="center"/>
    </xf>
    <xf numFmtId="0" fontId="54" fillId="16" borderId="53" xfId="0" applyFont="1" applyFill="1" applyBorder="1" applyAlignment="1">
      <alignment horizontal="center"/>
    </xf>
    <xf numFmtId="0" fontId="55" fillId="2" borderId="0" xfId="0" applyFont="1" applyFill="1" applyAlignment="1">
      <alignment horizontal="center"/>
    </xf>
    <xf numFmtId="0" fontId="54" fillId="16" borderId="61" xfId="0" applyFont="1" applyFill="1" applyBorder="1" applyAlignment="1">
      <alignment horizontal="left"/>
    </xf>
    <xf numFmtId="0" fontId="54" fillId="16" borderId="62" xfId="0" applyFont="1" applyFill="1" applyBorder="1" applyAlignment="1">
      <alignment wrapText="1"/>
    </xf>
    <xf numFmtId="0" fontId="54" fillId="16" borderId="63" xfId="0" applyFont="1" applyFill="1" applyBorder="1" applyAlignment="1">
      <alignment horizontal="center"/>
    </xf>
    <xf numFmtId="0" fontId="54" fillId="16" borderId="64" xfId="0" applyFont="1" applyFill="1" applyBorder="1" applyAlignment="1">
      <alignment horizontal="center"/>
    </xf>
    <xf numFmtId="0" fontId="54" fillId="16" borderId="65" xfId="0" applyFont="1" applyFill="1" applyBorder="1" applyAlignment="1">
      <alignment horizontal="center"/>
    </xf>
    <xf numFmtId="0" fontId="56" fillId="15" borderId="54" xfId="0" applyFont="1" applyFill="1" applyBorder="1" applyAlignment="1">
      <alignment horizontal="center"/>
    </xf>
    <xf numFmtId="10" fontId="56" fillId="13" borderId="0" xfId="0" applyNumberFormat="1" applyFont="1" applyFill="1" applyAlignment="1">
      <alignment horizontal="left"/>
    </xf>
    <xf numFmtId="0" fontId="57" fillId="2" borderId="0" xfId="0" applyFont="1" applyFill="1"/>
    <xf numFmtId="0" fontId="58" fillId="4" borderId="66" xfId="0" applyFont="1" applyFill="1" applyBorder="1" applyAlignment="1">
      <alignment horizontal="left"/>
    </xf>
    <xf numFmtId="0" fontId="58" fillId="4" borderId="67" xfId="0" applyFont="1" applyFill="1" applyBorder="1" applyAlignment="1">
      <alignment wrapText="1"/>
    </xf>
    <xf numFmtId="0" fontId="58" fillId="4" borderId="68" xfId="0" applyFont="1" applyFill="1" applyBorder="1" applyAlignment="1">
      <alignment horizontal="center"/>
    </xf>
    <xf numFmtId="0" fontId="58" fillId="4" borderId="66" xfId="0" applyFont="1" applyFill="1" applyBorder="1" applyAlignment="1">
      <alignment horizontal="center"/>
    </xf>
    <xf numFmtId="0" fontId="58" fillId="4" borderId="69" xfId="0" applyFont="1" applyFill="1" applyBorder="1" applyAlignment="1">
      <alignment horizontal="center"/>
    </xf>
    <xf numFmtId="0" fontId="58" fillId="4" borderId="0" xfId="0" applyFont="1" applyFill="1" applyAlignment="1">
      <alignment horizontal="center"/>
    </xf>
    <xf numFmtId="0" fontId="58" fillId="4" borderId="11" xfId="0" applyFont="1" applyFill="1" applyBorder="1" applyAlignment="1">
      <alignment horizontal="center"/>
    </xf>
    <xf numFmtId="0" fontId="57" fillId="0" borderId="0" xfId="0" applyFont="1"/>
    <xf numFmtId="0" fontId="57" fillId="0" borderId="5" xfId="0" applyFont="1" applyBorder="1" applyAlignment="1">
      <alignment horizontal="left"/>
    </xf>
    <xf numFmtId="0" fontId="57" fillId="0" borderId="70" xfId="0" applyFont="1" applyBorder="1" applyAlignment="1">
      <alignment horizontal="left" vertical="top" wrapText="1"/>
    </xf>
    <xf numFmtId="0" fontId="59" fillId="0" borderId="71" xfId="0" applyFont="1" applyBorder="1" applyAlignment="1">
      <alignment horizontal="center" wrapText="1"/>
    </xf>
    <xf numFmtId="0" fontId="59" fillId="0" borderId="5" xfId="0" applyFont="1" applyBorder="1" applyAlignment="1">
      <alignment horizontal="center" wrapText="1"/>
    </xf>
    <xf numFmtId="0" fontId="59" fillId="0" borderId="72" xfId="0" applyFont="1" applyBorder="1" applyAlignment="1">
      <alignment horizontal="center" wrapText="1"/>
    </xf>
    <xf numFmtId="0" fontId="57" fillId="0" borderId="0" xfId="0" applyFont="1" applyAlignment="1">
      <alignment horizontal="center"/>
    </xf>
    <xf numFmtId="0" fontId="56" fillId="16" borderId="11" xfId="0" applyFont="1" applyFill="1" applyBorder="1" applyAlignment="1">
      <alignment horizontal="center"/>
    </xf>
    <xf numFmtId="0" fontId="57" fillId="0" borderId="70" xfId="0" applyFont="1" applyBorder="1" applyAlignment="1">
      <alignment wrapText="1"/>
    </xf>
    <xf numFmtId="0" fontId="58" fillId="4" borderId="67" xfId="0" applyFont="1" applyFill="1" applyBorder="1" applyAlignment="1">
      <alignment horizontal="left" wrapText="1"/>
    </xf>
    <xf numFmtId="0" fontId="58" fillId="4" borderId="3" xfId="0" applyFont="1" applyFill="1" applyBorder="1" applyAlignment="1">
      <alignment horizontal="center"/>
    </xf>
    <xf numFmtId="0" fontId="57" fillId="0" borderId="73" xfId="0" applyFont="1" applyBorder="1" applyAlignment="1">
      <alignment wrapText="1"/>
    </xf>
    <xf numFmtId="0" fontId="57" fillId="0" borderId="71" xfId="0" applyFont="1" applyBorder="1" applyAlignment="1">
      <alignment horizontal="center" wrapText="1"/>
    </xf>
    <xf numFmtId="0" fontId="57" fillId="0" borderId="5" xfId="0" applyFont="1" applyBorder="1" applyAlignment="1">
      <alignment horizontal="center" wrapText="1"/>
    </xf>
    <xf numFmtId="0" fontId="57" fillId="0" borderId="72" xfId="0" applyFont="1" applyBorder="1" applyAlignment="1">
      <alignment horizontal="center" wrapText="1"/>
    </xf>
    <xf numFmtId="0" fontId="57" fillId="0" borderId="5" xfId="0" applyFont="1" applyBorder="1" applyAlignment="1">
      <alignment horizontal="center"/>
    </xf>
    <xf numFmtId="0" fontId="57" fillId="0" borderId="72" xfId="0" applyFont="1" applyBorder="1" applyAlignment="1">
      <alignment horizontal="center"/>
    </xf>
    <xf numFmtId="0" fontId="60" fillId="0" borderId="0" xfId="0" applyFont="1" applyAlignment="1">
      <alignment horizontal="left"/>
    </xf>
    <xf numFmtId="0" fontId="57" fillId="0" borderId="71" xfId="0" applyFont="1" applyBorder="1" applyAlignment="1">
      <alignment horizontal="center"/>
    </xf>
    <xf numFmtId="0" fontId="59" fillId="0" borderId="73" xfId="0" applyFont="1" applyBorder="1" applyAlignment="1">
      <alignment wrapText="1"/>
    </xf>
    <xf numFmtId="0" fontId="59" fillId="0" borderId="70" xfId="0" applyFont="1" applyBorder="1" applyAlignment="1">
      <alignment wrapText="1"/>
    </xf>
    <xf numFmtId="0" fontId="57" fillId="0" borderId="50" xfId="0" applyFont="1" applyBorder="1" applyAlignment="1">
      <alignment wrapText="1"/>
    </xf>
    <xf numFmtId="0" fontId="59" fillId="0" borderId="71" xfId="0" applyFont="1" applyBorder="1" applyAlignment="1">
      <alignment horizontal="center"/>
    </xf>
    <xf numFmtId="0" fontId="59" fillId="0" borderId="5" xfId="0" applyFont="1" applyBorder="1" applyAlignment="1">
      <alignment horizontal="center"/>
    </xf>
    <xf numFmtId="0" fontId="59" fillId="0" borderId="72" xfId="0" applyFont="1" applyBorder="1" applyAlignment="1">
      <alignment horizontal="center"/>
    </xf>
    <xf numFmtId="0" fontId="57" fillId="0" borderId="50" xfId="0" applyFont="1" applyBorder="1" applyAlignment="1">
      <alignment vertical="top" wrapText="1"/>
    </xf>
    <xf numFmtId="0" fontId="59" fillId="0" borderId="50" xfId="0" applyFont="1" applyBorder="1" applyAlignment="1">
      <alignment wrapText="1"/>
    </xf>
    <xf numFmtId="0" fontId="54" fillId="16" borderId="5" xfId="0" applyFont="1" applyFill="1" applyBorder="1" applyAlignment="1">
      <alignment horizontal="left"/>
    </xf>
    <xf numFmtId="0" fontId="54" fillId="16" borderId="50" xfId="0" applyFont="1" applyFill="1" applyBorder="1" applyAlignment="1">
      <alignment horizontal="right" wrapText="1"/>
    </xf>
    <xf numFmtId="0" fontId="54" fillId="16" borderId="74" xfId="0" applyFont="1" applyFill="1" applyBorder="1" applyAlignment="1">
      <alignment horizontal="center"/>
    </xf>
    <xf numFmtId="0" fontId="54" fillId="16" borderId="75" xfId="0" applyFont="1" applyFill="1" applyBorder="1" applyAlignment="1">
      <alignment horizontal="center"/>
    </xf>
    <xf numFmtId="0" fontId="54" fillId="16" borderId="76" xfId="0" applyFont="1" applyFill="1" applyBorder="1" applyAlignment="1">
      <alignment horizontal="center"/>
    </xf>
    <xf numFmtId="0" fontId="56" fillId="16" borderId="19" xfId="0" applyFont="1" applyFill="1" applyBorder="1" applyAlignment="1">
      <alignment horizontal="center"/>
    </xf>
    <xf numFmtId="0" fontId="56" fillId="16" borderId="77" xfId="0" applyFont="1" applyFill="1" applyBorder="1" applyAlignment="1">
      <alignment horizontal="center"/>
    </xf>
    <xf numFmtId="0" fontId="0" fillId="0" borderId="0" xfId="0" applyAlignment="1">
      <alignment horizontal="left"/>
    </xf>
    <xf numFmtId="0" fontId="61" fillId="0" borderId="0" xfId="0" applyFont="1" applyAlignment="1">
      <alignment horizontal="center"/>
    </xf>
    <xf numFmtId="0" fontId="56" fillId="2" borderId="0" xfId="0" applyFont="1" applyFill="1" applyAlignment="1">
      <alignment horizontal="center"/>
    </xf>
    <xf numFmtId="0" fontId="57" fillId="16" borderId="43" xfId="0" applyFont="1" applyFill="1" applyBorder="1" applyAlignment="1">
      <alignment horizontal="center"/>
    </xf>
    <xf numFmtId="0" fontId="56" fillId="2" borderId="0" xfId="0" applyFont="1" applyFill="1"/>
    <xf numFmtId="0" fontId="57" fillId="15" borderId="43" xfId="0" applyFont="1" applyFill="1" applyBorder="1" applyAlignment="1">
      <alignment horizontal="center"/>
    </xf>
    <xf numFmtId="0" fontId="56" fillId="16" borderId="0" xfId="0" applyFont="1" applyFill="1" applyAlignment="1">
      <alignment horizontal="center"/>
    </xf>
    <xf numFmtId="0" fontId="59" fillId="2" borderId="17" xfId="0" applyFont="1" applyFill="1" applyBorder="1" applyAlignment="1">
      <alignment horizontal="center"/>
    </xf>
    <xf numFmtId="0" fontId="56" fillId="0" borderId="17" xfId="0" applyFont="1" applyBorder="1" applyAlignment="1">
      <alignment horizontal="center"/>
    </xf>
    <xf numFmtId="0" fontId="59" fillId="0" borderId="17" xfId="0" applyFont="1" applyBorder="1" applyAlignment="1">
      <alignment horizontal="center"/>
    </xf>
    <xf numFmtId="0" fontId="56" fillId="16" borderId="43" xfId="0" applyFont="1" applyFill="1" applyBorder="1" applyAlignment="1">
      <alignment horizontal="center"/>
    </xf>
    <xf numFmtId="171" fontId="56" fillId="13" borderId="0" xfId="0" applyNumberFormat="1" applyFont="1" applyFill="1" applyAlignment="1">
      <alignment horizontal="left"/>
    </xf>
    <xf numFmtId="0" fontId="56" fillId="13" borderId="43" xfId="0" applyFont="1" applyFill="1" applyBorder="1" applyAlignment="1">
      <alignment horizontal="center"/>
    </xf>
    <xf numFmtId="0" fontId="0" fillId="0" borderId="0" xfId="0"/>
    <xf numFmtId="0" fontId="0" fillId="0" borderId="0" xfId="0" applyAlignment="1">
      <alignment horizontal="center"/>
    </xf>
    <xf numFmtId="0" fontId="10" fillId="0" borderId="0" xfId="0" applyFont="1" applyAlignment="1">
      <alignment horizontal="center"/>
    </xf>
    <xf numFmtId="1" fontId="10" fillId="0" borderId="0" xfId="0" applyNumberFormat="1" applyFont="1" applyAlignment="1">
      <alignment horizontal="center"/>
    </xf>
    <xf numFmtId="0" fontId="0" fillId="2" borderId="0" xfId="0" applyFill="1"/>
    <xf numFmtId="0" fontId="10" fillId="0" borderId="0" xfId="0" applyFont="1"/>
    <xf numFmtId="0" fontId="0" fillId="2" borderId="0" xfId="0" applyFill="1" applyAlignment="1">
      <alignment horizontal="center"/>
    </xf>
    <xf numFmtId="0" fontId="10" fillId="2" borderId="0" xfId="0" applyFont="1" applyFill="1" applyAlignment="1">
      <alignment horizontal="center"/>
    </xf>
    <xf numFmtId="1" fontId="10" fillId="2" borderId="0" xfId="0" applyNumberFormat="1" applyFont="1" applyFill="1" applyAlignment="1">
      <alignment horizontal="center"/>
    </xf>
    <xf numFmtId="1" fontId="11" fillId="14" borderId="0" xfId="0" applyNumberFormat="1" applyFont="1" applyFill="1" applyAlignment="1">
      <alignment horizontal="right"/>
    </xf>
    <xf numFmtId="4" fontId="27" fillId="14" borderId="0" xfId="0" applyNumberFormat="1" applyFont="1" applyFill="1" applyAlignment="1">
      <alignment horizontal="right" vertical="center"/>
    </xf>
    <xf numFmtId="1" fontId="28" fillId="14" borderId="0" xfId="0" applyNumberFormat="1" applyFont="1" applyFill="1" applyAlignment="1">
      <alignment horizontal="right"/>
    </xf>
    <xf numFmtId="0" fontId="12" fillId="4" borderId="1" xfId="0" applyFont="1" applyFill="1" applyBorder="1" applyAlignment="1">
      <alignment horizontal="left" vertical="top" wrapText="1"/>
    </xf>
    <xf numFmtId="0" fontId="12" fillId="4" borderId="2" xfId="0" applyFont="1" applyFill="1" applyBorder="1" applyAlignment="1">
      <alignment horizontal="center"/>
    </xf>
    <xf numFmtId="1" fontId="13" fillId="4" borderId="0" xfId="0" applyNumberFormat="1" applyFont="1" applyFill="1" applyAlignment="1">
      <alignment horizontal="center"/>
    </xf>
    <xf numFmtId="2" fontId="13" fillId="4" borderId="5" xfId="0" applyNumberFormat="1" applyFont="1" applyFill="1" applyBorder="1" applyAlignment="1">
      <alignment horizontal="center"/>
    </xf>
    <xf numFmtId="2" fontId="13" fillId="4" borderId="0" xfId="0" applyNumberFormat="1" applyFont="1" applyFill="1" applyAlignment="1">
      <alignment horizontal="center"/>
    </xf>
    <xf numFmtId="1" fontId="13" fillId="4" borderId="5" xfId="0" applyNumberFormat="1" applyFont="1" applyFill="1" applyBorder="1" applyAlignment="1">
      <alignment horizontal="left"/>
    </xf>
    <xf numFmtId="4" fontId="13" fillId="4" borderId="5" xfId="0" applyNumberFormat="1" applyFont="1" applyFill="1" applyBorder="1" applyAlignment="1">
      <alignment horizontal="right"/>
    </xf>
    <xf numFmtId="0" fontId="10" fillId="0" borderId="1" xfId="0" applyFont="1" applyBorder="1" applyAlignment="1">
      <alignment horizontal="left" vertical="top" wrapText="1"/>
    </xf>
    <xf numFmtId="0" fontId="10" fillId="0" borderId="4" xfId="0" applyFont="1" applyBorder="1" applyAlignment="1">
      <alignment horizontal="center"/>
    </xf>
    <xf numFmtId="1" fontId="10" fillId="12" borderId="5" xfId="0" applyNumberFormat="1" applyFont="1" applyFill="1" applyBorder="1" applyAlignment="1">
      <alignment horizontal="center"/>
    </xf>
    <xf numFmtId="4" fontId="28" fillId="14" borderId="5" xfId="0" applyNumberFormat="1" applyFont="1" applyFill="1" applyBorder="1" applyAlignment="1">
      <alignment horizontal="right"/>
    </xf>
    <xf numFmtId="1" fontId="13" fillId="4" borderId="5" xfId="0" applyNumberFormat="1" applyFont="1" applyFill="1" applyBorder="1" applyAlignment="1">
      <alignment horizontal="center"/>
    </xf>
    <xf numFmtId="0" fontId="16" fillId="0" borderId="1" xfId="0" applyFont="1" applyBorder="1" applyAlignment="1">
      <alignment horizontal="left" vertical="top" wrapText="1"/>
    </xf>
    <xf numFmtId="0" fontId="18" fillId="2" borderId="0" xfId="0" applyFont="1" applyFill="1" applyAlignment="1">
      <alignment horizontal="center"/>
    </xf>
    <xf numFmtId="2" fontId="29" fillId="13" borderId="51" xfId="0" applyNumberFormat="1" applyFont="1" applyFill="1" applyBorder="1" applyAlignment="1">
      <alignment horizontal="center"/>
    </xf>
    <xf numFmtId="3" fontId="29" fillId="13" borderId="5" xfId="0" applyNumberFormat="1" applyFont="1" applyFill="1" applyBorder="1" applyAlignment="1">
      <alignment horizontal="center"/>
    </xf>
    <xf numFmtId="3" fontId="29" fillId="13" borderId="5" xfId="0" applyNumberFormat="1" applyFont="1" applyFill="1" applyBorder="1" applyAlignment="1">
      <alignment horizontal="right"/>
    </xf>
    <xf numFmtId="1" fontId="10" fillId="15" borderId="0" xfId="0" applyNumberFormat="1" applyFont="1" applyFill="1" applyAlignment="1">
      <alignment horizontal="center"/>
    </xf>
    <xf numFmtId="1" fontId="28" fillId="15" borderId="0" xfId="0" applyNumberFormat="1" applyFont="1" applyFill="1" applyAlignment="1">
      <alignment horizontal="center"/>
    </xf>
    <xf numFmtId="1" fontId="28" fillId="15" borderId="0" xfId="0" applyNumberFormat="1" applyFont="1" applyFill="1" applyAlignment="1">
      <alignment horizontal="left"/>
    </xf>
    <xf numFmtId="1" fontId="10" fillId="15" borderId="0" xfId="0" applyNumberFormat="1" applyFont="1" applyFill="1" applyAlignment="1">
      <alignment horizontal="right"/>
    </xf>
    <xf numFmtId="1" fontId="11" fillId="15" borderId="0" xfId="0" applyNumberFormat="1" applyFont="1" applyFill="1" applyAlignment="1">
      <alignment horizontal="right"/>
    </xf>
    <xf numFmtId="4" fontId="27" fillId="15" borderId="0" xfId="0" applyNumberFormat="1" applyFont="1" applyFill="1" applyAlignment="1">
      <alignment horizontal="right" vertical="center"/>
    </xf>
    <xf numFmtId="1" fontId="28" fillId="15" borderId="0" xfId="0" applyNumberFormat="1" applyFont="1" applyFill="1" applyAlignment="1">
      <alignment horizontal="right"/>
    </xf>
    <xf numFmtId="0" fontId="10" fillId="12" borderId="0" xfId="0" applyFont="1" applyFill="1" applyAlignment="1">
      <alignment horizontal="center"/>
    </xf>
    <xf numFmtId="1" fontId="10" fillId="12" borderId="0" xfId="0" applyNumberFormat="1" applyFont="1" applyFill="1" applyAlignment="1">
      <alignment horizontal="center"/>
    </xf>
    <xf numFmtId="2" fontId="28" fillId="15" borderId="50" xfId="0" applyNumberFormat="1" applyFont="1" applyFill="1" applyBorder="1" applyAlignment="1">
      <alignment horizontal="center"/>
    </xf>
    <xf numFmtId="2" fontId="10" fillId="15" borderId="5" xfId="0" applyNumberFormat="1" applyFont="1" applyFill="1" applyBorder="1" applyAlignment="1">
      <alignment horizontal="center"/>
    </xf>
    <xf numFmtId="1" fontId="10" fillId="15" borderId="5" xfId="0" applyNumberFormat="1" applyFont="1" applyFill="1" applyBorder="1" applyAlignment="1">
      <alignment horizontal="left"/>
    </xf>
    <xf numFmtId="4" fontId="28" fillId="15" borderId="5" xfId="0" applyNumberFormat="1" applyFont="1" applyFill="1" applyBorder="1" applyAlignment="1">
      <alignment horizontal="right"/>
    </xf>
    <xf numFmtId="1" fontId="10" fillId="14" borderId="0" xfId="0" applyNumberFormat="1" applyFont="1" applyFill="1" applyAlignment="1">
      <alignment horizontal="right"/>
    </xf>
    <xf numFmtId="3" fontId="13" fillId="4" borderId="51" xfId="0" applyNumberFormat="1" applyFont="1" applyFill="1" applyBorder="1" applyAlignment="1">
      <alignment horizontal="center"/>
    </xf>
    <xf numFmtId="3" fontId="29" fillId="15" borderId="5" xfId="0" applyNumberFormat="1" applyFont="1" applyFill="1" applyBorder="1" applyAlignment="1">
      <alignment horizontal="center"/>
    </xf>
    <xf numFmtId="0" fontId="10" fillId="3" borderId="0" xfId="0" applyFont="1" applyFill="1" applyAlignment="1">
      <alignment horizontal="left"/>
    </xf>
    <xf numFmtId="0" fontId="12" fillId="4" borderId="0" xfId="0" applyFont="1" applyFill="1" applyAlignment="1">
      <alignment horizontal="center"/>
    </xf>
    <xf numFmtId="0" fontId="11" fillId="16" borderId="19" xfId="0" applyFont="1" applyFill="1" applyBorder="1" applyAlignment="1">
      <alignment horizontal="center"/>
    </xf>
    <xf numFmtId="0" fontId="10" fillId="2" borderId="1" xfId="0" applyFont="1" applyFill="1" applyBorder="1" applyAlignment="1">
      <alignment horizontal="left" vertical="top" wrapText="1"/>
    </xf>
    <xf numFmtId="0" fontId="10" fillId="2" borderId="4" xfId="0" applyFont="1" applyFill="1" applyBorder="1" applyAlignment="1">
      <alignment horizontal="center"/>
    </xf>
    <xf numFmtId="0" fontId="16" fillId="2" borderId="1" xfId="0" applyFont="1" applyFill="1" applyBorder="1" applyAlignment="1">
      <alignment horizontal="left" vertical="top" wrapText="1"/>
    </xf>
    <xf numFmtId="0" fontId="0" fillId="0" borderId="0" xfId="0"/>
    <xf numFmtId="0" fontId="0" fillId="0" borderId="0" xfId="0" applyAlignment="1">
      <alignment horizontal="center"/>
    </xf>
    <xf numFmtId="0" fontId="10" fillId="0" borderId="0" xfId="0" applyFont="1" applyAlignment="1">
      <alignment horizontal="center"/>
    </xf>
    <xf numFmtId="1" fontId="10" fillId="0" borderId="0" xfId="0" applyNumberFormat="1" applyFont="1" applyAlignment="1">
      <alignment horizontal="center"/>
    </xf>
    <xf numFmtId="0" fontId="0" fillId="2" borderId="0" xfId="0" applyFill="1"/>
    <xf numFmtId="0" fontId="10" fillId="0" borderId="0" xfId="0" applyFont="1"/>
    <xf numFmtId="0" fontId="0" fillId="2" borderId="0" xfId="0" applyFill="1" applyAlignment="1">
      <alignment horizontal="center"/>
    </xf>
    <xf numFmtId="0" fontId="10" fillId="2" borderId="0" xfId="0" applyFont="1" applyFill="1" applyAlignment="1">
      <alignment horizontal="center"/>
    </xf>
    <xf numFmtId="1" fontId="10" fillId="2" borderId="0" xfId="0" applyNumberFormat="1" applyFont="1" applyFill="1" applyAlignment="1">
      <alignment horizontal="center"/>
    </xf>
    <xf numFmtId="1" fontId="11" fillId="14" borderId="0" xfId="0" applyNumberFormat="1" applyFont="1" applyFill="1" applyAlignment="1">
      <alignment horizontal="right"/>
    </xf>
    <xf numFmtId="4" fontId="27" fillId="14" borderId="0" xfId="0" applyNumberFormat="1" applyFont="1" applyFill="1" applyAlignment="1">
      <alignment horizontal="right" vertical="center"/>
    </xf>
    <xf numFmtId="1" fontId="28" fillId="14" borderId="0" xfId="0" applyNumberFormat="1" applyFont="1" applyFill="1" applyAlignment="1">
      <alignment horizontal="right"/>
    </xf>
    <xf numFmtId="0" fontId="12" fillId="4" borderId="1" xfId="0" applyFont="1" applyFill="1" applyBorder="1" applyAlignment="1">
      <alignment horizontal="left" vertical="top" wrapText="1"/>
    </xf>
    <xf numFmtId="0" fontId="12" fillId="4" borderId="2" xfId="0" applyFont="1" applyFill="1" applyBorder="1" applyAlignment="1">
      <alignment horizontal="center"/>
    </xf>
    <xf numFmtId="1" fontId="13" fillId="4" borderId="0" xfId="0" applyNumberFormat="1" applyFont="1" applyFill="1" applyAlignment="1">
      <alignment horizontal="center"/>
    </xf>
    <xf numFmtId="2" fontId="13" fillId="4" borderId="5" xfId="0" applyNumberFormat="1" applyFont="1" applyFill="1" applyBorder="1" applyAlignment="1">
      <alignment horizontal="center"/>
    </xf>
    <xf numFmtId="1" fontId="13" fillId="4" borderId="5" xfId="0" applyNumberFormat="1" applyFont="1" applyFill="1" applyBorder="1" applyAlignment="1">
      <alignment horizontal="left"/>
    </xf>
    <xf numFmtId="4" fontId="13" fillId="4" borderId="5" xfId="0" applyNumberFormat="1" applyFont="1" applyFill="1" applyBorder="1" applyAlignment="1">
      <alignment horizontal="right"/>
    </xf>
    <xf numFmtId="0" fontId="10" fillId="0" borderId="1" xfId="0" applyFont="1" applyBorder="1" applyAlignment="1">
      <alignment horizontal="left" vertical="top" wrapText="1"/>
    </xf>
    <xf numFmtId="0" fontId="10" fillId="0" borderId="4" xfId="0" applyFont="1" applyBorder="1" applyAlignment="1">
      <alignment horizontal="center"/>
    </xf>
    <xf numFmtId="1" fontId="10" fillId="12" borderId="5" xfId="0" applyNumberFormat="1" applyFont="1" applyFill="1" applyBorder="1" applyAlignment="1">
      <alignment horizontal="center"/>
    </xf>
    <xf numFmtId="4" fontId="28" fillId="14" borderId="5" xfId="0" applyNumberFormat="1" applyFont="1" applyFill="1" applyBorder="1" applyAlignment="1">
      <alignment horizontal="right"/>
    </xf>
    <xf numFmtId="1" fontId="13" fillId="4" borderId="5" xfId="0" applyNumberFormat="1" applyFont="1" applyFill="1" applyBorder="1" applyAlignment="1">
      <alignment horizontal="center"/>
    </xf>
    <xf numFmtId="0" fontId="16" fillId="0" borderId="1" xfId="0" applyFont="1" applyBorder="1" applyAlignment="1">
      <alignment horizontal="left" vertical="top" wrapText="1"/>
    </xf>
    <xf numFmtId="0" fontId="18" fillId="2" borderId="0" xfId="0" applyFont="1" applyFill="1" applyAlignment="1">
      <alignment horizontal="center"/>
    </xf>
    <xf numFmtId="3" fontId="29" fillId="13" borderId="5" xfId="0" applyNumberFormat="1" applyFont="1" applyFill="1" applyBorder="1" applyAlignment="1">
      <alignment horizontal="center"/>
    </xf>
    <xf numFmtId="3" fontId="29" fillId="13" borderId="5" xfId="0" applyNumberFormat="1" applyFont="1" applyFill="1" applyBorder="1" applyAlignment="1">
      <alignment horizontal="right"/>
    </xf>
    <xf numFmtId="1" fontId="10" fillId="15" borderId="0" xfId="0" applyNumberFormat="1" applyFont="1" applyFill="1" applyAlignment="1">
      <alignment horizontal="center"/>
    </xf>
    <xf numFmtId="1" fontId="28" fillId="15" borderId="0" xfId="0" applyNumberFormat="1" applyFont="1" applyFill="1" applyAlignment="1">
      <alignment horizontal="center"/>
    </xf>
    <xf numFmtId="1" fontId="28" fillId="15" borderId="0" xfId="0" applyNumberFormat="1" applyFont="1" applyFill="1" applyAlignment="1">
      <alignment horizontal="left"/>
    </xf>
    <xf numFmtId="1" fontId="10" fillId="15" borderId="0" xfId="0" applyNumberFormat="1" applyFont="1" applyFill="1" applyAlignment="1">
      <alignment horizontal="right"/>
    </xf>
    <xf numFmtId="1" fontId="11" fillId="15" borderId="0" xfId="0" applyNumberFormat="1" applyFont="1" applyFill="1" applyAlignment="1">
      <alignment horizontal="right"/>
    </xf>
    <xf numFmtId="1" fontId="28" fillId="15" borderId="0" xfId="0" applyNumberFormat="1" applyFont="1" applyFill="1" applyAlignment="1">
      <alignment horizontal="right"/>
    </xf>
    <xf numFmtId="0" fontId="10" fillId="12" borderId="0" xfId="0" applyFont="1" applyFill="1" applyAlignment="1">
      <alignment horizontal="center"/>
    </xf>
    <xf numFmtId="1" fontId="10" fillId="12" borderId="0" xfId="0" applyNumberFormat="1" applyFont="1" applyFill="1" applyAlignment="1">
      <alignment horizontal="center"/>
    </xf>
    <xf numFmtId="2" fontId="10" fillId="15" borderId="5" xfId="0" applyNumberFormat="1" applyFont="1" applyFill="1" applyBorder="1" applyAlignment="1">
      <alignment horizontal="center"/>
    </xf>
    <xf numFmtId="1" fontId="10" fillId="15" borderId="5" xfId="0" applyNumberFormat="1" applyFont="1" applyFill="1" applyBorder="1" applyAlignment="1">
      <alignment horizontal="left"/>
    </xf>
    <xf numFmtId="4" fontId="28" fillId="15" borderId="5" xfId="0" applyNumberFormat="1" applyFont="1" applyFill="1" applyBorder="1" applyAlignment="1">
      <alignment horizontal="right"/>
    </xf>
    <xf numFmtId="1" fontId="10" fillId="15" borderId="5" xfId="0" applyNumberFormat="1" applyFont="1" applyFill="1" applyBorder="1" applyAlignment="1">
      <alignment horizontal="center"/>
    </xf>
    <xf numFmtId="1" fontId="10" fillId="14" borderId="0" xfId="0" applyNumberFormat="1" applyFont="1" applyFill="1" applyAlignment="1">
      <alignment horizontal="right"/>
    </xf>
    <xf numFmtId="3" fontId="13" fillId="4" borderId="51" xfId="0" applyNumberFormat="1" applyFont="1" applyFill="1" applyBorder="1" applyAlignment="1">
      <alignment horizontal="center"/>
    </xf>
    <xf numFmtId="3" fontId="29" fillId="15" borderId="5" xfId="0" applyNumberFormat="1" applyFont="1" applyFill="1" applyBorder="1" applyAlignment="1">
      <alignment horizontal="center"/>
    </xf>
    <xf numFmtId="0" fontId="10" fillId="3" borderId="0" xfId="0" applyFont="1" applyFill="1" applyAlignment="1">
      <alignment horizontal="left"/>
    </xf>
    <xf numFmtId="0" fontId="12" fillId="4" borderId="0" xfId="0" applyFont="1" applyFill="1" applyAlignment="1">
      <alignment horizontal="center"/>
    </xf>
    <xf numFmtId="0" fontId="11" fillId="16" borderId="19" xfId="0" applyFont="1" applyFill="1" applyBorder="1" applyAlignment="1">
      <alignment horizontal="center"/>
    </xf>
    <xf numFmtId="172" fontId="28" fillId="15" borderId="50" xfId="0" applyNumberFormat="1" applyFont="1" applyFill="1" applyBorder="1" applyAlignment="1">
      <alignment horizontal="center"/>
    </xf>
    <xf numFmtId="1" fontId="16" fillId="24" borderId="0" xfId="0" applyNumberFormat="1" applyFont="1" applyFill="1" applyAlignment="1">
      <alignment horizontal="center"/>
    </xf>
    <xf numFmtId="172" fontId="11" fillId="24" borderId="50" xfId="0" applyNumberFormat="1" applyFont="1" applyFill="1" applyBorder="1" applyAlignment="1">
      <alignment horizontal="center"/>
    </xf>
    <xf numFmtId="172" fontId="16" fillId="24" borderId="50" xfId="0" applyNumberFormat="1" applyFont="1" applyFill="1" applyBorder="1" applyAlignment="1">
      <alignment horizontal="center"/>
    </xf>
    <xf numFmtId="172" fontId="29" fillId="25" borderId="0" xfId="0" applyNumberFormat="1" applyFont="1" applyFill="1" applyAlignment="1">
      <alignment horizontal="center"/>
    </xf>
    <xf numFmtId="172" fontId="29" fillId="25" borderId="5" xfId="0" applyNumberFormat="1" applyFont="1" applyFill="1" applyBorder="1" applyAlignment="1">
      <alignment horizontal="center"/>
    </xf>
    <xf numFmtId="172" fontId="29" fillId="25" borderId="51" xfId="0" applyNumberFormat="1" applyFont="1" applyFill="1" applyBorder="1" applyAlignment="1">
      <alignment horizontal="center"/>
    </xf>
    <xf numFmtId="172" fontId="13" fillId="4" borderId="0" xfId="0" applyNumberFormat="1" applyFont="1" applyFill="1" applyAlignment="1">
      <alignment horizontal="center"/>
    </xf>
    <xf numFmtId="172" fontId="29" fillId="13" borderId="51" xfId="0" applyNumberFormat="1" applyFont="1" applyFill="1" applyBorder="1" applyAlignment="1">
      <alignment horizontal="center"/>
    </xf>
    <xf numFmtId="172" fontId="11" fillId="15" borderId="50" xfId="0" applyNumberFormat="1" applyFont="1" applyFill="1" applyBorder="1" applyAlignment="1">
      <alignment horizontal="center"/>
    </xf>
    <xf numFmtId="4" fontId="27" fillId="26" borderId="0" xfId="0" applyNumberFormat="1" applyFont="1" applyFill="1" applyAlignment="1">
      <alignment horizontal="right" vertical="center"/>
    </xf>
    <xf numFmtId="1" fontId="28" fillId="15" borderId="5" xfId="0" applyNumberFormat="1" applyFont="1" applyFill="1" applyBorder="1" applyAlignment="1">
      <alignment horizontal="left"/>
    </xf>
    <xf numFmtId="0" fontId="15" fillId="0" borderId="0" xfId="0" applyFont="1" applyAlignment="1">
      <alignment horizontal="right"/>
    </xf>
    <xf numFmtId="1" fontId="5" fillId="3" borderId="0" xfId="0" applyNumberFormat="1" applyFont="1" applyFill="1" applyAlignment="1">
      <alignment horizontal="center" wrapText="1"/>
    </xf>
    <xf numFmtId="0" fontId="9" fillId="2" borderId="1" xfId="2" applyFill="1" applyBorder="1" applyAlignment="1">
      <alignment horizontal="left" vertical="top" wrapText="1"/>
    </xf>
    <xf numFmtId="0" fontId="9" fillId="2" borderId="4" xfId="2" applyFill="1" applyBorder="1" applyAlignment="1">
      <alignment horizontal="center"/>
    </xf>
  </cellXfs>
  <cellStyles count="5">
    <cellStyle name="Dårlig" xfId="2" builtinId="27"/>
    <cellStyle name="Komma" xfId="1" builtinId="3"/>
    <cellStyle name="Komma 2" xfId="3" xr:uid="{DA89BD0A-60A1-4F43-9301-ECCFD70C4644}"/>
    <cellStyle name="Normal" xfId="0" builtinId="0"/>
    <cellStyle name="Normal 2" xfId="4" xr:uid="{1481BF66-BCF9-493C-97BC-8ED44ED2E5E1}"/>
  </cellStyles>
  <dxfs count="2">
    <dxf>
      <numFmt numFmtId="1" formatCode="0"/>
    </dxf>
    <dxf>
      <numFmt numFmtId="0" formatCode="General"/>
    </dxf>
  </dxfs>
  <tableStyles count="0" defaultTableStyle="TableStyleMedium2" defaultPivotStyle="PivotStyleLight16"/>
  <colors>
    <mruColors>
      <color rgb="FFF4D8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Cost vs</a:t>
            </a:r>
            <a:r>
              <a:rPr lang="en-US" baseline="0"/>
              <a:t> Budget</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nb-NO"/>
        </a:p>
      </c:txPr>
    </c:title>
    <c:autoTitleDeleted val="0"/>
    <c:plotArea>
      <c:layout>
        <c:manualLayout>
          <c:layoutTarget val="inner"/>
          <c:xMode val="edge"/>
          <c:yMode val="edge"/>
          <c:x val="4.0951223451071092E-2"/>
          <c:y val="7.0748688602765869E-2"/>
          <c:w val="0.94697634066618508"/>
          <c:h val="0.88500091994938401"/>
        </c:manualLayout>
      </c:layout>
      <c:barChart>
        <c:barDir val="col"/>
        <c:grouping val="clustered"/>
        <c:varyColors val="0"/>
        <c:ser>
          <c:idx val="0"/>
          <c:order val="0"/>
          <c:tx>
            <c:strRef>
              <c:f>'%Cost vs Budget'!$A$2</c:f>
              <c:strCache>
                <c:ptCount val="1"/>
                <c:pt idx="0">
                  <c:v>GOT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0"/>
            <c:invertIfNegative val="0"/>
            <c:bubble3D val="0"/>
            <c:spPr>
              <a:solidFill>
                <a:srgbClr val="92D050"/>
              </a:solidFill>
              <a:ln w="9525" cap="flat" cmpd="sng" algn="ctr">
                <a:solidFill>
                  <a:schemeClr val="accent1">
                    <a:shade val="95000"/>
                  </a:schemeClr>
                </a:solidFill>
                <a:round/>
              </a:ln>
              <a:effectLst/>
            </c:spPr>
            <c:extLst>
              <c:ext xmlns:c16="http://schemas.microsoft.com/office/drawing/2014/chart" uri="{C3380CC4-5D6E-409C-BE32-E72D297353CC}">
                <c16:uniqueId val="{00000001-C9E7-452C-94C0-DEDC53FA5EB3}"/>
              </c:ext>
            </c:extLst>
          </c:dPt>
          <c:dPt>
            <c:idx val="1"/>
            <c:invertIfNegative val="0"/>
            <c:bubble3D val="0"/>
            <c:spPr>
              <a:solidFill>
                <a:schemeClr val="accent6">
                  <a:lumMod val="20000"/>
                  <a:lumOff val="8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2-C9E7-452C-94C0-DEDC53FA5EB3}"/>
              </c:ext>
            </c:extLst>
          </c:dPt>
          <c:dPt>
            <c:idx val="2"/>
            <c:invertIfNegative val="0"/>
            <c:bubble3D val="0"/>
            <c:spPr>
              <a:solidFill>
                <a:schemeClr val="accent4">
                  <a:lumMod val="40000"/>
                  <a:lumOff val="6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3-C9E7-452C-94C0-DEDC53FA5EB3}"/>
              </c:ext>
            </c:extLst>
          </c:dPt>
          <c:dPt>
            <c:idx val="3"/>
            <c:invertIfNegative val="0"/>
            <c:bubble3D val="0"/>
            <c:spPr>
              <a:solidFill>
                <a:schemeClr val="accent5">
                  <a:lumMod val="40000"/>
                  <a:lumOff val="6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4-C9E7-452C-94C0-DEDC53FA5EB3}"/>
              </c:ext>
            </c:extLst>
          </c:dPt>
          <c:dPt>
            <c:idx val="4"/>
            <c:invertIfNegative val="0"/>
            <c:bubble3D val="0"/>
            <c:spPr>
              <a:solidFill>
                <a:schemeClr val="tx2">
                  <a:lumMod val="20000"/>
                  <a:lumOff val="8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5-C9E7-452C-94C0-DEDC53FA5EB3}"/>
              </c:ext>
            </c:extLst>
          </c:dPt>
          <c:dPt>
            <c:idx val="5"/>
            <c:invertIfNegative val="0"/>
            <c:bubble3D val="0"/>
            <c:spPr>
              <a:solidFill>
                <a:schemeClr val="accent2">
                  <a:lumMod val="40000"/>
                  <a:lumOff val="6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6-C9E7-452C-94C0-DEDC53FA5EB3}"/>
              </c:ext>
            </c:extLst>
          </c:dPt>
          <c:dPt>
            <c:idx val="6"/>
            <c:invertIfNegative val="0"/>
            <c:bubble3D val="0"/>
            <c:spPr>
              <a:solidFill>
                <a:schemeClr val="accent2"/>
              </a:solidFill>
              <a:ln w="9525" cap="flat" cmpd="sng" algn="ctr">
                <a:solidFill>
                  <a:schemeClr val="accent1">
                    <a:shade val="95000"/>
                  </a:schemeClr>
                </a:solidFill>
                <a:round/>
              </a:ln>
              <a:effectLst/>
            </c:spPr>
            <c:extLst>
              <c:ext xmlns:c16="http://schemas.microsoft.com/office/drawing/2014/chart" uri="{C3380CC4-5D6E-409C-BE32-E72D297353CC}">
                <c16:uniqueId val="{00000007-C9E7-452C-94C0-DEDC53FA5EB3}"/>
              </c:ext>
            </c:extLst>
          </c:dPt>
          <c:dPt>
            <c:idx val="7"/>
            <c:invertIfNegative val="0"/>
            <c:bubble3D val="0"/>
            <c:spPr>
              <a:solidFill>
                <a:schemeClr val="accent1"/>
              </a:solidFill>
              <a:ln w="9525" cap="flat" cmpd="sng" algn="ctr">
                <a:solidFill>
                  <a:schemeClr val="accent1">
                    <a:shade val="95000"/>
                  </a:schemeClr>
                </a:solidFill>
                <a:round/>
              </a:ln>
              <a:effectLst/>
            </c:spPr>
            <c:extLst>
              <c:ext xmlns:c16="http://schemas.microsoft.com/office/drawing/2014/chart" uri="{C3380CC4-5D6E-409C-BE32-E72D297353CC}">
                <c16:uniqueId val="{00000008-C9E7-452C-94C0-DEDC53FA5EB3}"/>
              </c:ext>
            </c:extLst>
          </c:dPt>
          <c:dPt>
            <c:idx val="8"/>
            <c:invertIfNegative val="0"/>
            <c:bubble3D val="0"/>
            <c:spPr>
              <a:solidFill>
                <a:srgbClr val="00B0F0"/>
              </a:solidFill>
              <a:ln w="9525" cap="flat" cmpd="sng" algn="ctr">
                <a:solidFill>
                  <a:schemeClr val="accent1">
                    <a:shade val="95000"/>
                  </a:schemeClr>
                </a:solidFill>
                <a:round/>
              </a:ln>
              <a:effectLst/>
            </c:spPr>
            <c:extLst>
              <c:ext xmlns:c16="http://schemas.microsoft.com/office/drawing/2014/chart" uri="{C3380CC4-5D6E-409C-BE32-E72D297353CC}">
                <c16:uniqueId val="{00000009-C9E7-452C-94C0-DEDC53FA5EB3}"/>
              </c:ext>
            </c:extLst>
          </c:dPt>
          <c:dPt>
            <c:idx val="9"/>
            <c:invertIfNegative val="0"/>
            <c:bubble3D val="0"/>
            <c:spPr>
              <a:solidFill>
                <a:srgbClr val="7030A0"/>
              </a:solidFill>
              <a:ln w="9525" cap="flat" cmpd="sng" algn="ctr">
                <a:solidFill>
                  <a:schemeClr val="accent1">
                    <a:shade val="95000"/>
                  </a:schemeClr>
                </a:solidFill>
                <a:round/>
              </a:ln>
              <a:effectLst/>
            </c:spPr>
            <c:extLst>
              <c:ext xmlns:c16="http://schemas.microsoft.com/office/drawing/2014/chart" uri="{C3380CC4-5D6E-409C-BE32-E72D297353CC}">
                <c16:uniqueId val="{0000000A-C9E7-452C-94C0-DEDC53FA5EB3}"/>
              </c:ext>
            </c:extLst>
          </c:dPt>
          <c:dPt>
            <c:idx val="10"/>
            <c:invertIfNegative val="0"/>
            <c:bubble3D val="0"/>
            <c:spPr>
              <a:solidFill>
                <a:srgbClr val="C00000"/>
              </a:solidFill>
              <a:ln w="9525" cap="flat" cmpd="sng" algn="ctr">
                <a:solidFill>
                  <a:schemeClr val="accent1">
                    <a:shade val="95000"/>
                  </a:schemeClr>
                </a:solidFill>
                <a:round/>
              </a:ln>
              <a:effectLst/>
            </c:spPr>
            <c:extLst>
              <c:ext xmlns:c16="http://schemas.microsoft.com/office/drawing/2014/chart" uri="{C3380CC4-5D6E-409C-BE32-E72D297353CC}">
                <c16:uniqueId val="{0000000B-C9E7-452C-94C0-DEDC53FA5EB3}"/>
              </c:ext>
            </c:extLst>
          </c:dPt>
          <c:dPt>
            <c:idx val="11"/>
            <c:invertIfNegative val="0"/>
            <c:bubble3D val="0"/>
            <c:spPr>
              <a:solidFill>
                <a:schemeClr val="accent4">
                  <a:lumMod val="75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C-C9E7-452C-94C0-DEDC53FA5EB3}"/>
              </c:ext>
            </c:extLst>
          </c:dPt>
          <c:dPt>
            <c:idx val="12"/>
            <c:invertIfNegative val="0"/>
            <c:bubble3D val="0"/>
            <c:spPr>
              <a:solidFill>
                <a:schemeClr val="accent4"/>
              </a:solidFill>
              <a:ln w="9525" cap="flat" cmpd="sng" algn="ctr">
                <a:solidFill>
                  <a:schemeClr val="accent1">
                    <a:shade val="95000"/>
                  </a:schemeClr>
                </a:solidFill>
                <a:round/>
              </a:ln>
              <a:effectLst/>
            </c:spPr>
            <c:extLst>
              <c:ext xmlns:c16="http://schemas.microsoft.com/office/drawing/2014/chart" uri="{C3380CC4-5D6E-409C-BE32-E72D297353CC}">
                <c16:uniqueId val="{0000000D-C9E7-452C-94C0-DEDC53FA5EB3}"/>
              </c:ext>
            </c:extLst>
          </c:dPt>
          <c:cat>
            <c:strRef>
              <c:f>'%Cost vs Budget'!$B$1</c:f>
              <c:strCache>
                <c:ptCount val="1"/>
                <c:pt idx="0">
                  <c:v>Used of Budget</c:v>
                </c:pt>
              </c:strCache>
            </c:strRef>
          </c:cat>
          <c:val>
            <c:numRef>
              <c:f>'%Cost vs Budget'!$B$2</c:f>
              <c:numCache>
                <c:formatCode>0</c:formatCode>
                <c:ptCount val="1"/>
                <c:pt idx="0">
                  <c:v>20.498142561165448</c:v>
                </c:pt>
              </c:numCache>
            </c:numRef>
          </c:val>
          <c:extLst>
            <c:ext xmlns:c16="http://schemas.microsoft.com/office/drawing/2014/chart" uri="{C3380CC4-5D6E-409C-BE32-E72D297353CC}">
              <c16:uniqueId val="{00000000-C9E7-452C-94C0-DEDC53FA5EB3}"/>
            </c:ext>
          </c:extLst>
        </c:ser>
        <c:ser>
          <c:idx val="1"/>
          <c:order val="1"/>
          <c:tx>
            <c:strRef>
              <c:f>'%Cost vs Budget'!$A$3</c:f>
              <c:strCache>
                <c:ptCount val="1"/>
                <c:pt idx="0">
                  <c:v>MNU</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'%Cost vs Budget'!$B$1</c:f>
              <c:strCache>
                <c:ptCount val="1"/>
                <c:pt idx="0">
                  <c:v>Used of Budget</c:v>
                </c:pt>
              </c:strCache>
            </c:strRef>
          </c:cat>
          <c:val>
            <c:numRef>
              <c:f>'%Cost vs Budget'!$B$3</c:f>
              <c:numCache>
                <c:formatCode>0</c:formatCode>
                <c:ptCount val="1"/>
                <c:pt idx="0">
                  <c:v>29.334354998345276</c:v>
                </c:pt>
              </c:numCache>
            </c:numRef>
          </c:val>
          <c:extLst>
            <c:ext xmlns:c16="http://schemas.microsoft.com/office/drawing/2014/chart" uri="{C3380CC4-5D6E-409C-BE32-E72D297353CC}">
              <c16:uniqueId val="{0000000E-C9E7-452C-94C0-DEDC53FA5EB3}"/>
            </c:ext>
          </c:extLst>
        </c:ser>
        <c:ser>
          <c:idx val="2"/>
          <c:order val="2"/>
          <c:tx>
            <c:strRef>
              <c:f>'%Cost vs Budget'!$A$4</c:f>
              <c:strCache>
                <c:ptCount val="1"/>
                <c:pt idx="0">
                  <c:v>SCA</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'%Cost vs Budget'!$B$1</c:f>
              <c:strCache>
                <c:ptCount val="1"/>
                <c:pt idx="0">
                  <c:v>Used of Budget</c:v>
                </c:pt>
              </c:strCache>
            </c:strRef>
          </c:cat>
          <c:val>
            <c:numRef>
              <c:f>'%Cost vs Budget'!$B$4</c:f>
              <c:numCache>
                <c:formatCode>0</c:formatCode>
                <c:ptCount val="1"/>
                <c:pt idx="0">
                  <c:v>22.228007738846664</c:v>
                </c:pt>
              </c:numCache>
            </c:numRef>
          </c:val>
          <c:extLst>
            <c:ext xmlns:c16="http://schemas.microsoft.com/office/drawing/2014/chart" uri="{C3380CC4-5D6E-409C-BE32-E72D297353CC}">
              <c16:uniqueId val="{0000000F-C9E7-452C-94C0-DEDC53FA5EB3}"/>
            </c:ext>
          </c:extLst>
        </c:ser>
        <c:ser>
          <c:idx val="3"/>
          <c:order val="3"/>
          <c:tx>
            <c:strRef>
              <c:f>'%Cost vs Budget'!$A$5</c:f>
              <c:strCache>
                <c:ptCount val="1"/>
                <c:pt idx="0">
                  <c:v>FOC</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'%Cost vs Budget'!$B$1</c:f>
              <c:strCache>
                <c:ptCount val="1"/>
                <c:pt idx="0">
                  <c:v>Used of Budget</c:v>
                </c:pt>
              </c:strCache>
            </c:strRef>
          </c:cat>
          <c:val>
            <c:numRef>
              <c:f>'%Cost vs Budget'!$B$5</c:f>
              <c:numCache>
                <c:formatCode>0</c:formatCode>
                <c:ptCount val="1"/>
                <c:pt idx="0">
                  <c:v>23.329145699636708</c:v>
                </c:pt>
              </c:numCache>
            </c:numRef>
          </c:val>
          <c:extLst>
            <c:ext xmlns:c16="http://schemas.microsoft.com/office/drawing/2014/chart" uri="{C3380CC4-5D6E-409C-BE32-E72D297353CC}">
              <c16:uniqueId val="{00000010-C9E7-452C-94C0-DEDC53FA5EB3}"/>
            </c:ext>
          </c:extLst>
        </c:ser>
        <c:ser>
          <c:idx val="4"/>
          <c:order val="4"/>
          <c:tx>
            <c:strRef>
              <c:f>'%Cost vs Budget'!$A$6</c:f>
              <c:strCache>
                <c:ptCount val="1"/>
                <c:pt idx="0">
                  <c:v>CLTV</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'%Cost vs Budget'!$B$1</c:f>
              <c:strCache>
                <c:ptCount val="1"/>
                <c:pt idx="0">
                  <c:v>Used of Budget</c:v>
                </c:pt>
              </c:strCache>
            </c:strRef>
          </c:cat>
          <c:val>
            <c:numRef>
              <c:f>'%Cost vs Budget'!$B$6</c:f>
              <c:numCache>
                <c:formatCode>0</c:formatCode>
                <c:ptCount val="1"/>
                <c:pt idx="0">
                  <c:v>15.344396423175166</c:v>
                </c:pt>
              </c:numCache>
            </c:numRef>
          </c:val>
          <c:extLst>
            <c:ext xmlns:c16="http://schemas.microsoft.com/office/drawing/2014/chart" uri="{C3380CC4-5D6E-409C-BE32-E72D297353CC}">
              <c16:uniqueId val="{00000011-C9E7-452C-94C0-DEDC53FA5EB3}"/>
            </c:ext>
          </c:extLst>
        </c:ser>
        <c:ser>
          <c:idx val="5"/>
          <c:order val="5"/>
          <c:tx>
            <c:strRef>
              <c:f>'%Cost vs Budget'!$A$7</c:f>
              <c:strCache>
                <c:ptCount val="1"/>
                <c:pt idx="0">
                  <c:v>MAI</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'%Cost vs Budget'!$B$1</c:f>
              <c:strCache>
                <c:ptCount val="1"/>
                <c:pt idx="0">
                  <c:v>Used of Budget</c:v>
                </c:pt>
              </c:strCache>
            </c:strRef>
          </c:cat>
          <c:val>
            <c:numRef>
              <c:f>'%Cost vs Budget'!$B$7</c:f>
              <c:numCache>
                <c:formatCode>0</c:formatCode>
                <c:ptCount val="1"/>
                <c:pt idx="0">
                  <c:v>10.421054317331071</c:v>
                </c:pt>
              </c:numCache>
            </c:numRef>
          </c:val>
          <c:extLst>
            <c:ext xmlns:c16="http://schemas.microsoft.com/office/drawing/2014/chart" uri="{C3380CC4-5D6E-409C-BE32-E72D297353CC}">
              <c16:uniqueId val="{00000012-C9E7-452C-94C0-DEDC53FA5EB3}"/>
            </c:ext>
          </c:extLst>
        </c:ser>
        <c:ser>
          <c:idx val="6"/>
          <c:order val="6"/>
          <c:tx>
            <c:strRef>
              <c:f>'%Cost vs Budget'!$A$8</c:f>
              <c:strCache>
                <c:ptCount val="1"/>
                <c:pt idx="0">
                  <c:v>BIN</c:v>
                </c:pt>
              </c:strCache>
            </c:strRef>
          </c:tx>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invertIfNegative val="0"/>
          <c:cat>
            <c:strRef>
              <c:f>'%Cost vs Budget'!$B$1</c:f>
              <c:strCache>
                <c:ptCount val="1"/>
                <c:pt idx="0">
                  <c:v>Used of Budget</c:v>
                </c:pt>
              </c:strCache>
            </c:strRef>
          </c:cat>
          <c:val>
            <c:numRef>
              <c:f>'%Cost vs Budget'!$B$8</c:f>
              <c:numCache>
                <c:formatCode>0</c:formatCode>
                <c:ptCount val="1"/>
                <c:pt idx="0">
                  <c:v>7.6098033931396944</c:v>
                </c:pt>
              </c:numCache>
            </c:numRef>
          </c:val>
          <c:extLst>
            <c:ext xmlns:c16="http://schemas.microsoft.com/office/drawing/2014/chart" uri="{C3380CC4-5D6E-409C-BE32-E72D297353CC}">
              <c16:uniqueId val="{00000013-C9E7-452C-94C0-DEDC53FA5EB3}"/>
            </c:ext>
          </c:extLst>
        </c:ser>
        <c:ser>
          <c:idx val="7"/>
          <c:order val="7"/>
          <c:tx>
            <c:strRef>
              <c:f>'%Cost vs Budget'!$A$9</c:f>
              <c:strCache>
                <c:ptCount val="1"/>
                <c:pt idx="0">
                  <c:v>IOC</c:v>
                </c:pt>
              </c:strCache>
            </c:strRef>
          </c:tx>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invertIfNegative val="0"/>
          <c:cat>
            <c:strRef>
              <c:f>'%Cost vs Budget'!$B$1</c:f>
              <c:strCache>
                <c:ptCount val="1"/>
                <c:pt idx="0">
                  <c:v>Used of Budget</c:v>
                </c:pt>
              </c:strCache>
            </c:strRef>
          </c:cat>
          <c:val>
            <c:numRef>
              <c:f>'%Cost vs Budget'!$B$9</c:f>
              <c:numCache>
                <c:formatCode>0</c:formatCode>
                <c:ptCount val="1"/>
                <c:pt idx="0">
                  <c:v>6.7956784040770524</c:v>
                </c:pt>
              </c:numCache>
            </c:numRef>
          </c:val>
          <c:extLst>
            <c:ext xmlns:c16="http://schemas.microsoft.com/office/drawing/2014/chart" uri="{C3380CC4-5D6E-409C-BE32-E72D297353CC}">
              <c16:uniqueId val="{00000014-C9E7-452C-94C0-DEDC53FA5EB3}"/>
            </c:ext>
          </c:extLst>
        </c:ser>
        <c:ser>
          <c:idx val="8"/>
          <c:order val="8"/>
          <c:tx>
            <c:strRef>
              <c:f>'%Cost vs Budget'!$A$10</c:f>
              <c:strCache>
                <c:ptCount val="1"/>
                <c:pt idx="0">
                  <c:v>HIE</c:v>
                </c:pt>
              </c:strCache>
            </c:strRef>
          </c:tx>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invertIfNegative val="0"/>
          <c:cat>
            <c:strRef>
              <c:f>'%Cost vs Budget'!$B$1</c:f>
              <c:strCache>
                <c:ptCount val="1"/>
                <c:pt idx="0">
                  <c:v>Used of Budget</c:v>
                </c:pt>
              </c:strCache>
            </c:strRef>
          </c:cat>
          <c:val>
            <c:numRef>
              <c:f>'%Cost vs Budget'!$B$10</c:f>
              <c:numCache>
                <c:formatCode>0</c:formatCode>
                <c:ptCount val="1"/>
                <c:pt idx="0">
                  <c:v>22.468177134431507</c:v>
                </c:pt>
              </c:numCache>
            </c:numRef>
          </c:val>
          <c:extLst>
            <c:ext xmlns:c16="http://schemas.microsoft.com/office/drawing/2014/chart" uri="{C3380CC4-5D6E-409C-BE32-E72D297353CC}">
              <c16:uniqueId val="{00000015-C9E7-452C-94C0-DEDC53FA5EB3}"/>
            </c:ext>
          </c:extLst>
        </c:ser>
        <c:ser>
          <c:idx val="9"/>
          <c:order val="9"/>
          <c:tx>
            <c:strRef>
              <c:f>'%Cost vs Budget'!$A$11</c:f>
              <c:strCache>
                <c:ptCount val="1"/>
                <c:pt idx="0">
                  <c:v>BAL</c:v>
                </c:pt>
              </c:strCache>
            </c:strRef>
          </c:tx>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invertIfNegative val="0"/>
          <c:cat>
            <c:strRef>
              <c:f>'%Cost vs Budget'!$B$1</c:f>
              <c:strCache>
                <c:ptCount val="1"/>
                <c:pt idx="0">
                  <c:v>Used of Budget</c:v>
                </c:pt>
              </c:strCache>
            </c:strRef>
          </c:cat>
          <c:val>
            <c:numRef>
              <c:f>'%Cost vs Budget'!$B$11</c:f>
              <c:numCache>
                <c:formatCode>0</c:formatCode>
                <c:ptCount val="1"/>
                <c:pt idx="0">
                  <c:v>45.780784583620104</c:v>
                </c:pt>
              </c:numCache>
            </c:numRef>
          </c:val>
          <c:extLst>
            <c:ext xmlns:c16="http://schemas.microsoft.com/office/drawing/2014/chart" uri="{C3380CC4-5D6E-409C-BE32-E72D297353CC}">
              <c16:uniqueId val="{00000016-C9E7-452C-94C0-DEDC53FA5EB3}"/>
            </c:ext>
          </c:extLst>
        </c:ser>
        <c:ser>
          <c:idx val="10"/>
          <c:order val="10"/>
          <c:tx>
            <c:strRef>
              <c:f>'%Cost vs Budget'!$A$12</c:f>
              <c:strCache>
                <c:ptCount val="1"/>
                <c:pt idx="0">
                  <c:v>MEERI</c:v>
                </c:pt>
              </c:strCache>
            </c:strRef>
          </c:tx>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invertIfNegative val="0"/>
          <c:cat>
            <c:strRef>
              <c:f>'%Cost vs Budget'!$B$1</c:f>
              <c:strCache>
                <c:ptCount val="1"/>
                <c:pt idx="0">
                  <c:v>Used of Budget</c:v>
                </c:pt>
              </c:strCache>
            </c:strRef>
          </c:cat>
          <c:val>
            <c:numRef>
              <c:f>'%Cost vs Budget'!$B$12</c:f>
              <c:numCache>
                <c:formatCode>0</c:formatCode>
                <c:ptCount val="1"/>
                <c:pt idx="0">
                  <c:v>23.913982717989004</c:v>
                </c:pt>
              </c:numCache>
            </c:numRef>
          </c:val>
          <c:extLst>
            <c:ext xmlns:c16="http://schemas.microsoft.com/office/drawing/2014/chart" uri="{C3380CC4-5D6E-409C-BE32-E72D297353CC}">
              <c16:uniqueId val="{00000017-C9E7-452C-94C0-DEDC53FA5EB3}"/>
            </c:ext>
          </c:extLst>
        </c:ser>
        <c:ser>
          <c:idx val="11"/>
          <c:order val="11"/>
          <c:tx>
            <c:strRef>
              <c:f>'%Cost vs Budget'!$A$13</c:f>
              <c:strCache>
                <c:ptCount val="1"/>
                <c:pt idx="0">
                  <c:v>MCN</c:v>
                </c:pt>
              </c:strCache>
            </c:strRef>
          </c:tx>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invertIfNegative val="0"/>
          <c:cat>
            <c:strRef>
              <c:f>'%Cost vs Budget'!$B$1</c:f>
              <c:strCache>
                <c:ptCount val="1"/>
                <c:pt idx="0">
                  <c:v>Used of Budget</c:v>
                </c:pt>
              </c:strCache>
            </c:strRef>
          </c:cat>
          <c:val>
            <c:numRef>
              <c:f>'%Cost vs Budget'!$B$13</c:f>
              <c:numCache>
                <c:formatCode>0</c:formatCode>
                <c:ptCount val="1"/>
                <c:pt idx="0">
                  <c:v>11.289715150227325</c:v>
                </c:pt>
              </c:numCache>
            </c:numRef>
          </c:val>
          <c:extLst>
            <c:ext xmlns:c16="http://schemas.microsoft.com/office/drawing/2014/chart" uri="{C3380CC4-5D6E-409C-BE32-E72D297353CC}">
              <c16:uniqueId val="{00000018-C9E7-452C-94C0-DEDC53FA5EB3}"/>
            </c:ext>
          </c:extLst>
        </c:ser>
        <c:ser>
          <c:idx val="12"/>
          <c:order val="12"/>
          <c:tx>
            <c:strRef>
              <c:f>'%Cost vs Budget'!$A$14</c:f>
              <c:strCache>
                <c:ptCount val="1"/>
                <c:pt idx="0">
                  <c:v>CKR</c:v>
                </c:pt>
              </c:strCache>
            </c:strRef>
          </c:tx>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invertIfNegative val="0"/>
          <c:cat>
            <c:strRef>
              <c:f>'%Cost vs Budget'!$B$1</c:f>
              <c:strCache>
                <c:ptCount val="1"/>
                <c:pt idx="0">
                  <c:v>Used of Budget</c:v>
                </c:pt>
              </c:strCache>
            </c:strRef>
          </c:cat>
          <c:val>
            <c:numRef>
              <c:f>'%Cost vs Budget'!$B$14</c:f>
              <c:numCache>
                <c:formatCode>0</c:formatCode>
                <c:ptCount val="1"/>
                <c:pt idx="0">
                  <c:v>33.117714670433635</c:v>
                </c:pt>
              </c:numCache>
            </c:numRef>
          </c:val>
          <c:extLst>
            <c:ext xmlns:c16="http://schemas.microsoft.com/office/drawing/2014/chart" uri="{C3380CC4-5D6E-409C-BE32-E72D297353CC}">
              <c16:uniqueId val="{00000019-C9E7-452C-94C0-DEDC53FA5EB3}"/>
            </c:ext>
          </c:extLst>
        </c:ser>
        <c:dLbls>
          <c:showLegendKey val="0"/>
          <c:showVal val="0"/>
          <c:showCatName val="0"/>
          <c:showSerName val="0"/>
          <c:showPercent val="0"/>
          <c:showBubbleSize val="0"/>
        </c:dLbls>
        <c:gapWidth val="100"/>
        <c:overlap val="-24"/>
        <c:axId val="345206159"/>
        <c:axId val="1465104559"/>
      </c:barChart>
      <c:catAx>
        <c:axId val="34520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nb-NO"/>
          </a:p>
        </c:txPr>
        <c:crossAx val="1465104559"/>
        <c:crosses val="autoZero"/>
        <c:auto val="1"/>
        <c:lblAlgn val="ctr"/>
        <c:lblOffset val="100"/>
        <c:noMultiLvlLbl val="0"/>
      </c:catAx>
      <c:valAx>
        <c:axId val="1465104559"/>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nb-NO"/>
          </a:p>
        </c:txPr>
        <c:crossAx val="345206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Project Cost versus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barChart>
        <c:barDir val="col"/>
        <c:grouping val="clustered"/>
        <c:varyColors val="0"/>
        <c:ser>
          <c:idx val="0"/>
          <c:order val="0"/>
          <c:tx>
            <c:strRef>
              <c:f>'Direct &amp;Indirect Personnal Cost'!$C$5</c:f>
              <c:strCache>
                <c:ptCount val="1"/>
                <c:pt idx="0">
                  <c:v>TOTAL
COST</c:v>
                </c:pt>
              </c:strCache>
            </c:strRef>
          </c:tx>
          <c:spPr>
            <a:solidFill>
              <a:schemeClr val="accent1"/>
            </a:solidFill>
            <a:ln>
              <a:noFill/>
            </a:ln>
            <a:effectLst/>
          </c:spPr>
          <c:invertIfNegative val="0"/>
          <c:cat>
            <c:strRef>
              <c:extLst>
                <c:ext xmlns:c15="http://schemas.microsoft.com/office/drawing/2012/chart" uri="{02D57815-91ED-43cb-92C2-25804820EDAC}">
                  <c15:fullRef>
                    <c15:sqref>'Direct &amp;Indirect Personnal Cost'!$B$6:$B$44</c15:sqref>
                  </c15:fullRef>
                </c:ext>
              </c:extLst>
              <c:f>('Direct &amp;Indirect Personnal Cost'!$B$6:$B$7,'Direct &amp;Indirect Personnal Cost'!$B$11,'Direct &amp;Indirect Personnal Cost'!$B$16,'Direct &amp;Indirect Personnal Cost'!$B$23,'Direct &amp;Indirect Personnal Cost'!$B$33,'Direct &amp;Indirect Personnal Cost'!$B$37,'Direct &amp;Indirect Personnal Cost'!$B$41,'Direct &amp;Indirect Personnal Cost'!$B$43)</c:f>
              <c:strCache>
                <c:ptCount val="9"/>
                <c:pt idx="0">
                  <c:v>ODC</c:v>
                </c:pt>
                <c:pt idx="1">
                  <c:v>WP1</c:v>
                </c:pt>
                <c:pt idx="2">
                  <c:v>WP2</c:v>
                </c:pt>
                <c:pt idx="3">
                  <c:v>WP3</c:v>
                </c:pt>
                <c:pt idx="4">
                  <c:v>WP4</c:v>
                </c:pt>
                <c:pt idx="5">
                  <c:v>WP5</c:v>
                </c:pt>
                <c:pt idx="6">
                  <c:v>WP6</c:v>
                </c:pt>
                <c:pt idx="7">
                  <c:v>WP7</c:v>
                </c:pt>
                <c:pt idx="8">
                  <c:v>T7.2</c:v>
                </c:pt>
              </c:strCache>
            </c:strRef>
          </c:cat>
          <c:val>
            <c:numRef>
              <c:extLst>
                <c:ext xmlns:c15="http://schemas.microsoft.com/office/drawing/2012/chart" uri="{02D57815-91ED-43cb-92C2-25804820EDAC}">
                  <c15:fullRef>
                    <c15:sqref>'Direct &amp;Indirect Personnal Cost'!$C$6:$C$44</c15:sqref>
                  </c15:fullRef>
                </c:ext>
              </c:extLst>
              <c:f>('Direct &amp;Indirect Personnal Cost'!$C$6:$C$7,'Direct &amp;Indirect Personnal Cost'!$C$11,'Direct &amp;Indirect Personnal Cost'!$C$16,'Direct &amp;Indirect Personnal Cost'!$C$23,'Direct &amp;Indirect Personnal Cost'!$C$33,'Direct &amp;Indirect Personnal Cost'!$C$37,'Direct &amp;Indirect Personnal Cost'!$C$41,'Direct &amp;Indirect Personnal Cost'!$C$43)</c:f>
              <c:numCache>
                <c:formatCode>#,##0</c:formatCode>
                <c:ptCount val="9"/>
                <c:pt idx="0">
                  <c:v>5763.75</c:v>
                </c:pt>
                <c:pt idx="1">
                  <c:v>104301.99252200076</c:v>
                </c:pt>
                <c:pt idx="2">
                  <c:v>67811.890929632689</c:v>
                </c:pt>
                <c:pt idx="3">
                  <c:v>84177.461563493547</c:v>
                </c:pt>
                <c:pt idx="4">
                  <c:v>21789.228262094621</c:v>
                </c:pt>
                <c:pt idx="5">
                  <c:v>42546.324297708605</c:v>
                </c:pt>
                <c:pt idx="6">
                  <c:v>56406.840370897713</c:v>
                </c:pt>
                <c:pt idx="7">
                  <c:v>115933.43288398575</c:v>
                </c:pt>
                <c:pt idx="8">
                  <c:v>50402.561505838057</c:v>
                </c:pt>
              </c:numCache>
            </c:numRef>
          </c:val>
          <c:extLst>
            <c:ext xmlns:c16="http://schemas.microsoft.com/office/drawing/2014/chart" uri="{C3380CC4-5D6E-409C-BE32-E72D297353CC}">
              <c16:uniqueId val="{00000000-43F8-4544-AC5F-0B2D3A4AC21F}"/>
            </c:ext>
          </c:extLst>
        </c:ser>
        <c:ser>
          <c:idx val="1"/>
          <c:order val="1"/>
          <c:tx>
            <c:strRef>
              <c:f>'Direct &amp;Indirect Personnal Cost'!$D$5</c:f>
              <c:strCache>
                <c:ptCount val="1"/>
                <c:pt idx="0">
                  <c:v>Other Dir. 
Cost Budget</c:v>
                </c:pt>
              </c:strCache>
            </c:strRef>
          </c:tx>
          <c:spPr>
            <a:solidFill>
              <a:schemeClr val="accent2"/>
            </a:solidFill>
            <a:ln>
              <a:noFill/>
            </a:ln>
            <a:effectLst/>
          </c:spPr>
          <c:invertIfNegative val="0"/>
          <c:cat>
            <c:strRef>
              <c:extLst>
                <c:ext xmlns:c15="http://schemas.microsoft.com/office/drawing/2012/chart" uri="{02D57815-91ED-43cb-92C2-25804820EDAC}">
                  <c15:fullRef>
                    <c15:sqref>'Direct &amp;Indirect Personnal Cost'!$B$6:$B$44</c15:sqref>
                  </c15:fullRef>
                </c:ext>
              </c:extLst>
              <c:f>('Direct &amp;Indirect Personnal Cost'!$B$6:$B$7,'Direct &amp;Indirect Personnal Cost'!$B$11,'Direct &amp;Indirect Personnal Cost'!$B$16,'Direct &amp;Indirect Personnal Cost'!$B$23,'Direct &amp;Indirect Personnal Cost'!$B$33,'Direct &amp;Indirect Personnal Cost'!$B$37,'Direct &amp;Indirect Personnal Cost'!$B$41,'Direct &amp;Indirect Personnal Cost'!$B$43)</c:f>
              <c:strCache>
                <c:ptCount val="9"/>
                <c:pt idx="0">
                  <c:v>ODC</c:v>
                </c:pt>
                <c:pt idx="1">
                  <c:v>WP1</c:v>
                </c:pt>
                <c:pt idx="2">
                  <c:v>T1.1</c:v>
                </c:pt>
                <c:pt idx="3">
                  <c:v>T1.2</c:v>
                </c:pt>
                <c:pt idx="4">
                  <c:v>T1.3 </c:v>
                </c:pt>
                <c:pt idx="5">
                  <c:v>WP2</c:v>
                </c:pt>
                <c:pt idx="6">
                  <c:v>T2.1</c:v>
                </c:pt>
                <c:pt idx="7">
                  <c:v>T2.2</c:v>
                </c:pt>
                <c:pt idx="8">
                  <c:v>T2.3</c:v>
                </c:pt>
                <c:pt idx="9">
                  <c:v>T2.4</c:v>
                </c:pt>
                <c:pt idx="10">
                  <c:v>WP3</c:v>
                </c:pt>
                <c:pt idx="11">
                  <c:v>T3.1</c:v>
                </c:pt>
                <c:pt idx="12">
                  <c:v>T3.2</c:v>
                </c:pt>
                <c:pt idx="13">
                  <c:v>T3.3</c:v>
                </c:pt>
                <c:pt idx="14">
                  <c:v>T3.4</c:v>
                </c:pt>
                <c:pt idx="15">
                  <c:v>T3.5</c:v>
                </c:pt>
                <c:pt idx="16">
                  <c:v>T3.6</c:v>
                </c:pt>
                <c:pt idx="17">
                  <c:v>WP4</c:v>
                </c:pt>
                <c:pt idx="18">
                  <c:v>T4.1</c:v>
                </c:pt>
                <c:pt idx="19">
                  <c:v>T4.2</c:v>
                </c:pt>
                <c:pt idx="20">
                  <c:v>T4.3</c:v>
                </c:pt>
                <c:pt idx="21">
                  <c:v>T4.4</c:v>
                </c:pt>
                <c:pt idx="22">
                  <c:v>T4.5</c:v>
                </c:pt>
                <c:pt idx="23">
                  <c:v>T4.6</c:v>
                </c:pt>
                <c:pt idx="24">
                  <c:v>T4.7</c:v>
                </c:pt>
                <c:pt idx="25">
                  <c:v>T4.8</c:v>
                </c:pt>
                <c:pt idx="26">
                  <c:v>T4.9</c:v>
                </c:pt>
                <c:pt idx="27">
                  <c:v>WP5</c:v>
                </c:pt>
                <c:pt idx="28">
                  <c:v>T5.1</c:v>
                </c:pt>
                <c:pt idx="29">
                  <c:v>T5.2</c:v>
                </c:pt>
                <c:pt idx="30">
                  <c:v>T5.3</c:v>
                </c:pt>
                <c:pt idx="31">
                  <c:v>WP6</c:v>
                </c:pt>
                <c:pt idx="32">
                  <c:v>T6.1</c:v>
                </c:pt>
                <c:pt idx="33">
                  <c:v>T6.2</c:v>
                </c:pt>
                <c:pt idx="34">
                  <c:v>T6.3</c:v>
                </c:pt>
                <c:pt idx="35">
                  <c:v>WP7</c:v>
                </c:pt>
                <c:pt idx="36">
                  <c:v>T7.1</c:v>
                </c:pt>
                <c:pt idx="37">
                  <c:v>T7.2</c:v>
                </c:pt>
                <c:pt idx="38">
                  <c:v>T7.3</c:v>
                </c:pt>
              </c:strCache>
            </c:strRef>
          </c:cat>
          <c:val>
            <c:numRef>
              <c:extLst>
                <c:ext xmlns:c15="http://schemas.microsoft.com/office/drawing/2012/chart" uri="{02D57815-91ED-43cb-92C2-25804820EDAC}">
                  <c15:fullRef>
                    <c15:sqref>'Direct &amp;Indirect Personnal Cost'!$D$6:$D$44</c15:sqref>
                  </c15:fullRef>
                </c:ext>
              </c:extLst>
              <c:f>('Direct &amp;Indirect Personnal Cost'!$D$6:$D$7,'Direct &amp;Indirect Personnal Cost'!$D$11,'Direct &amp;Indirect Personnal Cost'!$D$16,'Direct &amp;Indirect Personnal Cost'!$D$23,'Direct &amp;Indirect Personnal Cost'!$D$33,'Direct &amp;Indirect Personnal Cost'!$D$37,'Direct &amp;Indirect Personnal Cost'!$D$41,'Direct &amp;Indirect Personnal Cost'!$D$43)</c:f>
            </c:numRef>
          </c:val>
          <c:extLst>
            <c:ext xmlns:c16="http://schemas.microsoft.com/office/drawing/2014/chart" uri="{C3380CC4-5D6E-409C-BE32-E72D297353CC}">
              <c16:uniqueId val="{00000001-43F8-4544-AC5F-0B2D3A4AC21F}"/>
            </c:ext>
          </c:extLst>
        </c:ser>
        <c:dLbls>
          <c:showLegendKey val="0"/>
          <c:showVal val="0"/>
          <c:showCatName val="0"/>
          <c:showSerName val="0"/>
          <c:showPercent val="0"/>
          <c:showBubbleSize val="0"/>
        </c:dLbls>
        <c:gapWidth val="219"/>
        <c:axId val="1808466191"/>
        <c:axId val="1808449551"/>
      </c:barChart>
      <c:lineChart>
        <c:grouping val="standard"/>
        <c:varyColors val="0"/>
        <c:ser>
          <c:idx val="2"/>
          <c:order val="2"/>
          <c:tx>
            <c:strRef>
              <c:f>'Direct &amp;Indirect Personnal Cost'!$E$5</c:f>
              <c:strCache>
                <c:ptCount val="1"/>
                <c:pt idx="0">
                  <c:v>TOTAL BUDGET</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'Direct &amp;Indirect Personnal Cost'!$B$6:$B$44</c15:sqref>
                  </c15:fullRef>
                </c:ext>
              </c:extLst>
              <c:f>('Direct &amp;Indirect Personnal Cost'!$B$6:$B$7,'Direct &amp;Indirect Personnal Cost'!$B$11,'Direct &amp;Indirect Personnal Cost'!$B$16,'Direct &amp;Indirect Personnal Cost'!$B$23,'Direct &amp;Indirect Personnal Cost'!$B$33,'Direct &amp;Indirect Personnal Cost'!$B$37,'Direct &amp;Indirect Personnal Cost'!$B$41,'Direct &amp;Indirect Personnal Cost'!$B$43)</c:f>
              <c:strCache>
                <c:ptCount val="9"/>
                <c:pt idx="0">
                  <c:v>ODC</c:v>
                </c:pt>
                <c:pt idx="1">
                  <c:v>WP1</c:v>
                </c:pt>
                <c:pt idx="2">
                  <c:v>WP2</c:v>
                </c:pt>
                <c:pt idx="3">
                  <c:v>WP3</c:v>
                </c:pt>
                <c:pt idx="4">
                  <c:v>WP4</c:v>
                </c:pt>
                <c:pt idx="5">
                  <c:v>WP5</c:v>
                </c:pt>
                <c:pt idx="6">
                  <c:v>WP6</c:v>
                </c:pt>
                <c:pt idx="7">
                  <c:v>WP7</c:v>
                </c:pt>
                <c:pt idx="8">
                  <c:v>T7.2</c:v>
                </c:pt>
              </c:strCache>
            </c:strRef>
          </c:cat>
          <c:val>
            <c:numRef>
              <c:extLst>
                <c:ext xmlns:c15="http://schemas.microsoft.com/office/drawing/2012/chart" uri="{02D57815-91ED-43cb-92C2-25804820EDAC}">
                  <c15:fullRef>
                    <c15:sqref>'Direct &amp;Indirect Personnal Cost'!$E$6:$E$44</c15:sqref>
                  </c15:fullRef>
                </c:ext>
              </c:extLst>
              <c:f>('Direct &amp;Indirect Personnal Cost'!$E$6:$E$7,'Direct &amp;Indirect Personnal Cost'!$E$11,'Direct &amp;Indirect Personnal Cost'!$E$16,'Direct &amp;Indirect Personnal Cost'!$E$23,'Direct &amp;Indirect Personnal Cost'!$E$33,'Direct &amp;Indirect Personnal Cost'!$E$37,'Direct &amp;Indirect Personnal Cost'!$E$41,'Direct &amp;Indirect Personnal Cost'!$E$43)</c:f>
              <c:numCache>
                <c:formatCode>#,##0</c:formatCode>
                <c:ptCount val="9"/>
                <c:pt idx="0" formatCode="0">
                  <c:v>343929</c:v>
                </c:pt>
                <c:pt idx="1">
                  <c:v>226991.17</c:v>
                </c:pt>
                <c:pt idx="2">
                  <c:v>153493.81</c:v>
                </c:pt>
                <c:pt idx="3">
                  <c:v>3434125.1199999996</c:v>
                </c:pt>
                <c:pt idx="4">
                  <c:v>701740.32</c:v>
                </c:pt>
                <c:pt idx="5">
                  <c:v>148095.22999999998</c:v>
                </c:pt>
                <c:pt idx="6">
                  <c:v>231218.95</c:v>
                </c:pt>
                <c:pt idx="7">
                  <c:v>214000</c:v>
                </c:pt>
                <c:pt idx="8">
                  <c:v>46812.5</c:v>
                </c:pt>
              </c:numCache>
            </c:numRef>
          </c:val>
          <c:smooth val="0"/>
          <c:extLst>
            <c:ext xmlns:c16="http://schemas.microsoft.com/office/drawing/2014/chart" uri="{C3380CC4-5D6E-409C-BE32-E72D297353CC}">
              <c16:uniqueId val="{00000002-43F8-4544-AC5F-0B2D3A4AC21F}"/>
            </c:ext>
          </c:extLst>
        </c:ser>
        <c:dLbls>
          <c:showLegendKey val="0"/>
          <c:showVal val="0"/>
          <c:showCatName val="0"/>
          <c:showSerName val="0"/>
          <c:showPercent val="0"/>
          <c:showBubbleSize val="0"/>
        </c:dLbls>
        <c:marker val="1"/>
        <c:smooth val="0"/>
        <c:axId val="1808466191"/>
        <c:axId val="1808449551"/>
      </c:lineChart>
      <c:catAx>
        <c:axId val="18084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808449551"/>
        <c:crosses val="autoZero"/>
        <c:auto val="1"/>
        <c:lblAlgn val="ctr"/>
        <c:lblOffset val="100"/>
        <c:noMultiLvlLbl val="0"/>
      </c:catAx>
      <c:valAx>
        <c:axId val="1808449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808466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WP1 Cost</a:t>
            </a:r>
            <a:r>
              <a:rPr lang="nb-NO" baseline="0"/>
              <a:t> versus Budget</a:t>
            </a:r>
            <a:endParaRPr lang="nb-N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barChart>
        <c:barDir val="col"/>
        <c:grouping val="clustered"/>
        <c:varyColors val="0"/>
        <c:ser>
          <c:idx val="0"/>
          <c:order val="0"/>
          <c:tx>
            <c:strRef>
              <c:f>'WP Cost vs Budget'!$C$23</c:f>
              <c:strCache>
                <c:ptCount val="1"/>
                <c:pt idx="0">
                  <c:v>TOTAL
COST</c:v>
                </c:pt>
              </c:strCache>
            </c:strRef>
          </c:tx>
          <c:spPr>
            <a:solidFill>
              <a:schemeClr val="accent1"/>
            </a:solidFill>
            <a:ln>
              <a:noFill/>
            </a:ln>
            <a:effectLst/>
          </c:spPr>
          <c:invertIfNegative val="0"/>
          <c:cat>
            <c:strRef>
              <c:f>'WP Cost vs Budget'!$B$24:$B$27</c:f>
              <c:strCache>
                <c:ptCount val="4"/>
                <c:pt idx="0">
                  <c:v>WP1</c:v>
                </c:pt>
                <c:pt idx="1">
                  <c:v>T1.1</c:v>
                </c:pt>
                <c:pt idx="2">
                  <c:v>T1.2</c:v>
                </c:pt>
                <c:pt idx="3">
                  <c:v>T1.3 </c:v>
                </c:pt>
              </c:strCache>
            </c:strRef>
          </c:cat>
          <c:val>
            <c:numRef>
              <c:f>'WP Cost vs Budget'!$C$24:$C$27</c:f>
              <c:numCache>
                <c:formatCode>#,##0</c:formatCode>
                <c:ptCount val="4"/>
                <c:pt idx="0">
                  <c:v>104301.99252200076</c:v>
                </c:pt>
                <c:pt idx="1">
                  <c:v>41306.529978672996</c:v>
                </c:pt>
                <c:pt idx="2">
                  <c:v>29037.41897924646</c:v>
                </c:pt>
                <c:pt idx="3">
                  <c:v>30982.771064081287</c:v>
                </c:pt>
              </c:numCache>
            </c:numRef>
          </c:val>
          <c:extLst>
            <c:ext xmlns:c16="http://schemas.microsoft.com/office/drawing/2014/chart" uri="{C3380CC4-5D6E-409C-BE32-E72D297353CC}">
              <c16:uniqueId val="{00000000-7872-4C39-B67C-ACBA5A1E77F9}"/>
            </c:ext>
          </c:extLst>
        </c:ser>
        <c:dLbls>
          <c:showLegendKey val="0"/>
          <c:showVal val="0"/>
          <c:showCatName val="0"/>
          <c:showSerName val="0"/>
          <c:showPercent val="0"/>
          <c:showBubbleSize val="0"/>
        </c:dLbls>
        <c:gapWidth val="219"/>
        <c:axId val="979206175"/>
        <c:axId val="979204095"/>
      </c:barChart>
      <c:lineChart>
        <c:grouping val="standard"/>
        <c:varyColors val="0"/>
        <c:ser>
          <c:idx val="1"/>
          <c:order val="1"/>
          <c:tx>
            <c:strRef>
              <c:f>'WP Cost vs Budget'!$D$23</c:f>
              <c:strCache>
                <c:ptCount val="1"/>
                <c:pt idx="0">
                  <c:v>TOTAL BUDGET</c:v>
                </c:pt>
              </c:strCache>
            </c:strRef>
          </c:tx>
          <c:spPr>
            <a:ln w="28575" cap="rnd">
              <a:solidFill>
                <a:schemeClr val="accent2"/>
              </a:solidFill>
              <a:round/>
            </a:ln>
            <a:effectLst/>
          </c:spPr>
          <c:marker>
            <c:symbol val="none"/>
          </c:marker>
          <c:cat>
            <c:strRef>
              <c:f>'WP Cost vs Budget'!$B$24:$B$27</c:f>
              <c:strCache>
                <c:ptCount val="4"/>
                <c:pt idx="0">
                  <c:v>WP1</c:v>
                </c:pt>
                <c:pt idx="1">
                  <c:v>T1.1</c:v>
                </c:pt>
                <c:pt idx="2">
                  <c:v>T1.2</c:v>
                </c:pt>
                <c:pt idx="3">
                  <c:v>T1.3 </c:v>
                </c:pt>
              </c:strCache>
            </c:strRef>
          </c:cat>
          <c:val>
            <c:numRef>
              <c:f>'WP Cost vs Budget'!$D$24:$D$27</c:f>
              <c:numCache>
                <c:formatCode>#,##0</c:formatCode>
                <c:ptCount val="4"/>
                <c:pt idx="0">
                  <c:v>226991.17</c:v>
                </c:pt>
                <c:pt idx="1">
                  <c:v>88440.739999999991</c:v>
                </c:pt>
                <c:pt idx="2">
                  <c:v>53116.01</c:v>
                </c:pt>
                <c:pt idx="3">
                  <c:v>85434.42</c:v>
                </c:pt>
              </c:numCache>
            </c:numRef>
          </c:val>
          <c:smooth val="0"/>
          <c:extLst>
            <c:ext xmlns:c16="http://schemas.microsoft.com/office/drawing/2014/chart" uri="{C3380CC4-5D6E-409C-BE32-E72D297353CC}">
              <c16:uniqueId val="{00000001-7872-4C39-B67C-ACBA5A1E77F9}"/>
            </c:ext>
          </c:extLst>
        </c:ser>
        <c:dLbls>
          <c:showLegendKey val="0"/>
          <c:showVal val="0"/>
          <c:showCatName val="0"/>
          <c:showSerName val="0"/>
          <c:showPercent val="0"/>
          <c:showBubbleSize val="0"/>
        </c:dLbls>
        <c:marker val="1"/>
        <c:smooth val="0"/>
        <c:axId val="979206175"/>
        <c:axId val="979204095"/>
      </c:lineChart>
      <c:catAx>
        <c:axId val="97920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204095"/>
        <c:crosses val="autoZero"/>
        <c:auto val="1"/>
        <c:lblAlgn val="ctr"/>
        <c:lblOffset val="100"/>
        <c:noMultiLvlLbl val="0"/>
      </c:catAx>
      <c:valAx>
        <c:axId val="9792040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206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800" b="0" i="0" baseline="0">
                <a:effectLst/>
              </a:rPr>
              <a:t>WP2 Cost versus Budget</a:t>
            </a:r>
            <a:endParaRPr lang="nb-NO">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barChart>
        <c:barDir val="col"/>
        <c:grouping val="clustered"/>
        <c:varyColors val="0"/>
        <c:ser>
          <c:idx val="0"/>
          <c:order val="0"/>
          <c:tx>
            <c:strRef>
              <c:f>'WP Cost vs Budget'!$C$38</c:f>
              <c:strCache>
                <c:ptCount val="1"/>
                <c:pt idx="0">
                  <c:v>TOTAL
COST</c:v>
                </c:pt>
              </c:strCache>
            </c:strRef>
          </c:tx>
          <c:spPr>
            <a:solidFill>
              <a:schemeClr val="accent1"/>
            </a:solidFill>
            <a:ln>
              <a:noFill/>
            </a:ln>
            <a:effectLst/>
          </c:spPr>
          <c:invertIfNegative val="0"/>
          <c:cat>
            <c:strRef>
              <c:f>'WP Cost vs Budget'!$B$39:$B$43</c:f>
              <c:strCache>
                <c:ptCount val="5"/>
                <c:pt idx="0">
                  <c:v>WP2</c:v>
                </c:pt>
                <c:pt idx="1">
                  <c:v>T2.1</c:v>
                </c:pt>
                <c:pt idx="2">
                  <c:v>T2.2</c:v>
                </c:pt>
                <c:pt idx="3">
                  <c:v>T2.3</c:v>
                </c:pt>
                <c:pt idx="4">
                  <c:v>T2.4</c:v>
                </c:pt>
              </c:strCache>
            </c:strRef>
          </c:cat>
          <c:val>
            <c:numRef>
              <c:f>'WP Cost vs Budget'!$C$39:$C$43</c:f>
              <c:numCache>
                <c:formatCode>#,##0</c:formatCode>
                <c:ptCount val="5"/>
                <c:pt idx="0">
                  <c:v>67811.890929632689</c:v>
                </c:pt>
                <c:pt idx="1">
                  <c:v>19605.458747697416</c:v>
                </c:pt>
                <c:pt idx="2">
                  <c:v>5204.3415723569178</c:v>
                </c:pt>
                <c:pt idx="3">
                  <c:v>10794.029411952335</c:v>
                </c:pt>
                <c:pt idx="4">
                  <c:v>32291.646666944205</c:v>
                </c:pt>
              </c:numCache>
            </c:numRef>
          </c:val>
          <c:extLst>
            <c:ext xmlns:c16="http://schemas.microsoft.com/office/drawing/2014/chart" uri="{C3380CC4-5D6E-409C-BE32-E72D297353CC}">
              <c16:uniqueId val="{00000000-0398-4F1F-88DB-559B7C02FAA0}"/>
            </c:ext>
          </c:extLst>
        </c:ser>
        <c:dLbls>
          <c:showLegendKey val="0"/>
          <c:showVal val="0"/>
          <c:showCatName val="0"/>
          <c:showSerName val="0"/>
          <c:showPercent val="0"/>
          <c:showBubbleSize val="0"/>
        </c:dLbls>
        <c:gapWidth val="219"/>
        <c:axId val="1827663695"/>
        <c:axId val="1827662031"/>
      </c:barChart>
      <c:lineChart>
        <c:grouping val="standard"/>
        <c:varyColors val="0"/>
        <c:ser>
          <c:idx val="1"/>
          <c:order val="1"/>
          <c:tx>
            <c:strRef>
              <c:f>'WP Cost vs Budget'!$D$38</c:f>
              <c:strCache>
                <c:ptCount val="1"/>
                <c:pt idx="0">
                  <c:v>TOTAL BUDGET</c:v>
                </c:pt>
              </c:strCache>
            </c:strRef>
          </c:tx>
          <c:spPr>
            <a:ln w="28575" cap="rnd">
              <a:solidFill>
                <a:schemeClr val="accent2"/>
              </a:solidFill>
              <a:round/>
            </a:ln>
            <a:effectLst/>
          </c:spPr>
          <c:marker>
            <c:symbol val="none"/>
          </c:marker>
          <c:cat>
            <c:strRef>
              <c:f>'WP Cost vs Budget'!$B$39:$B$43</c:f>
              <c:strCache>
                <c:ptCount val="5"/>
                <c:pt idx="0">
                  <c:v>WP2</c:v>
                </c:pt>
                <c:pt idx="1">
                  <c:v>T2.1</c:v>
                </c:pt>
                <c:pt idx="2">
                  <c:v>T2.2</c:v>
                </c:pt>
                <c:pt idx="3">
                  <c:v>T2.3</c:v>
                </c:pt>
                <c:pt idx="4">
                  <c:v>T2.4</c:v>
                </c:pt>
              </c:strCache>
            </c:strRef>
          </c:cat>
          <c:val>
            <c:numRef>
              <c:f>'WP Cost vs Budget'!$D$39:$D$43</c:f>
              <c:numCache>
                <c:formatCode>#,##0</c:formatCode>
                <c:ptCount val="5"/>
                <c:pt idx="0">
                  <c:v>153493.81</c:v>
                </c:pt>
                <c:pt idx="1">
                  <c:v>67887.510000000009</c:v>
                </c:pt>
                <c:pt idx="2">
                  <c:v>3343.75</c:v>
                </c:pt>
                <c:pt idx="3">
                  <c:v>12525</c:v>
                </c:pt>
                <c:pt idx="4">
                  <c:v>69737.55</c:v>
                </c:pt>
              </c:numCache>
            </c:numRef>
          </c:val>
          <c:smooth val="0"/>
          <c:extLst>
            <c:ext xmlns:c16="http://schemas.microsoft.com/office/drawing/2014/chart" uri="{C3380CC4-5D6E-409C-BE32-E72D297353CC}">
              <c16:uniqueId val="{00000001-0398-4F1F-88DB-559B7C02FAA0}"/>
            </c:ext>
          </c:extLst>
        </c:ser>
        <c:dLbls>
          <c:showLegendKey val="0"/>
          <c:showVal val="0"/>
          <c:showCatName val="0"/>
          <c:showSerName val="0"/>
          <c:showPercent val="0"/>
          <c:showBubbleSize val="0"/>
        </c:dLbls>
        <c:marker val="1"/>
        <c:smooth val="0"/>
        <c:axId val="1827663695"/>
        <c:axId val="1827662031"/>
      </c:lineChart>
      <c:catAx>
        <c:axId val="18276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827662031"/>
        <c:crosses val="autoZero"/>
        <c:auto val="1"/>
        <c:lblAlgn val="ctr"/>
        <c:lblOffset val="100"/>
        <c:noMultiLvlLbl val="0"/>
      </c:catAx>
      <c:valAx>
        <c:axId val="1827662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827663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nb-NO" sz="1800" b="0" i="0" baseline="0">
                <a:effectLst/>
              </a:rPr>
              <a:t>WP3 Cost versus Budget</a:t>
            </a:r>
            <a:endParaRPr lang="nb-NO">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nb-NO"/>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nb-NO"/>
        </a:p>
      </c:txPr>
    </c:title>
    <c:autoTitleDeleted val="0"/>
    <c:plotArea>
      <c:layout/>
      <c:barChart>
        <c:barDir val="col"/>
        <c:grouping val="clustered"/>
        <c:varyColors val="0"/>
        <c:ser>
          <c:idx val="0"/>
          <c:order val="0"/>
          <c:tx>
            <c:strRef>
              <c:f>'WP Cost vs Budget'!$C$53</c:f>
              <c:strCache>
                <c:ptCount val="1"/>
                <c:pt idx="0">
                  <c:v>TOTAL
COST</c:v>
                </c:pt>
              </c:strCache>
            </c:strRef>
          </c:tx>
          <c:spPr>
            <a:solidFill>
              <a:schemeClr val="accent1"/>
            </a:solidFill>
            <a:ln>
              <a:noFill/>
            </a:ln>
            <a:effectLst/>
          </c:spPr>
          <c:invertIfNegative val="0"/>
          <c:cat>
            <c:strRef>
              <c:f>'WP Cost vs Budget'!$B$54:$B$60</c:f>
              <c:strCache>
                <c:ptCount val="7"/>
                <c:pt idx="0">
                  <c:v>WP3</c:v>
                </c:pt>
                <c:pt idx="1">
                  <c:v>T3.1</c:v>
                </c:pt>
                <c:pt idx="2">
                  <c:v>T3.2</c:v>
                </c:pt>
                <c:pt idx="3">
                  <c:v>T3.3</c:v>
                </c:pt>
                <c:pt idx="4">
                  <c:v>T3.4</c:v>
                </c:pt>
                <c:pt idx="5">
                  <c:v>T3.5</c:v>
                </c:pt>
                <c:pt idx="6">
                  <c:v>T3.6</c:v>
                </c:pt>
              </c:strCache>
            </c:strRef>
          </c:cat>
          <c:val>
            <c:numRef>
              <c:f>'WP Cost vs Budget'!$C$54:$C$60</c:f>
              <c:numCache>
                <c:formatCode>#,##0</c:formatCode>
                <c:ptCount val="7"/>
                <c:pt idx="0">
                  <c:v>84177.461563493547</c:v>
                </c:pt>
                <c:pt idx="1">
                  <c:v>47109.119660916309</c:v>
                </c:pt>
                <c:pt idx="2">
                  <c:v>14557.760265077239</c:v>
                </c:pt>
                <c:pt idx="3">
                  <c:v>15885.025000000001</c:v>
                </c:pt>
                <c:pt idx="4">
                  <c:v>0</c:v>
                </c:pt>
                <c:pt idx="5">
                  <c:v>0</c:v>
                </c:pt>
                <c:pt idx="6">
                  <c:v>6187.5</c:v>
                </c:pt>
              </c:numCache>
            </c:numRef>
          </c:val>
          <c:extLst>
            <c:ext xmlns:c16="http://schemas.microsoft.com/office/drawing/2014/chart" uri="{C3380CC4-5D6E-409C-BE32-E72D297353CC}">
              <c16:uniqueId val="{00000000-9B11-4BC1-8C25-AC3144CA2B22}"/>
            </c:ext>
          </c:extLst>
        </c:ser>
        <c:dLbls>
          <c:showLegendKey val="0"/>
          <c:showVal val="0"/>
          <c:showCatName val="0"/>
          <c:showSerName val="0"/>
          <c:showPercent val="0"/>
          <c:showBubbleSize val="0"/>
        </c:dLbls>
        <c:gapWidth val="219"/>
        <c:axId val="1655352895"/>
        <c:axId val="1655356223"/>
      </c:barChart>
      <c:lineChart>
        <c:grouping val="standard"/>
        <c:varyColors val="0"/>
        <c:ser>
          <c:idx val="1"/>
          <c:order val="1"/>
          <c:tx>
            <c:strRef>
              <c:f>'WP Cost vs Budget'!$D$53</c:f>
              <c:strCache>
                <c:ptCount val="1"/>
                <c:pt idx="0">
                  <c:v>TOTAL BUDGET</c:v>
                </c:pt>
              </c:strCache>
            </c:strRef>
          </c:tx>
          <c:spPr>
            <a:ln w="28575" cap="rnd">
              <a:solidFill>
                <a:schemeClr val="accent2"/>
              </a:solidFill>
              <a:round/>
            </a:ln>
            <a:effectLst/>
          </c:spPr>
          <c:marker>
            <c:symbol val="none"/>
          </c:marker>
          <c:cat>
            <c:strRef>
              <c:f>'WP Cost vs Budget'!$B$54:$B$60</c:f>
              <c:strCache>
                <c:ptCount val="7"/>
                <c:pt idx="0">
                  <c:v>WP3</c:v>
                </c:pt>
                <c:pt idx="1">
                  <c:v>T3.1</c:v>
                </c:pt>
                <c:pt idx="2">
                  <c:v>T3.2</c:v>
                </c:pt>
                <c:pt idx="3">
                  <c:v>T3.3</c:v>
                </c:pt>
                <c:pt idx="4">
                  <c:v>T3.4</c:v>
                </c:pt>
                <c:pt idx="5">
                  <c:v>T3.5</c:v>
                </c:pt>
                <c:pt idx="6">
                  <c:v>T3.6</c:v>
                </c:pt>
              </c:strCache>
            </c:strRef>
          </c:cat>
          <c:val>
            <c:numRef>
              <c:f>'WP Cost vs Budget'!$D$54:$D$60</c:f>
              <c:numCache>
                <c:formatCode>#,##0</c:formatCode>
                <c:ptCount val="7"/>
                <c:pt idx="0">
                  <c:v>3434125.1199999996</c:v>
                </c:pt>
                <c:pt idx="1">
                  <c:v>68475.03</c:v>
                </c:pt>
                <c:pt idx="2">
                  <c:v>18562.5</c:v>
                </c:pt>
                <c:pt idx="3">
                  <c:v>121637.57</c:v>
                </c:pt>
                <c:pt idx="4">
                  <c:v>26750</c:v>
                </c:pt>
                <c:pt idx="5">
                  <c:v>3026750</c:v>
                </c:pt>
                <c:pt idx="6">
                  <c:v>171950.02000000002</c:v>
                </c:pt>
              </c:numCache>
            </c:numRef>
          </c:val>
          <c:smooth val="0"/>
          <c:extLst>
            <c:ext xmlns:c16="http://schemas.microsoft.com/office/drawing/2014/chart" uri="{C3380CC4-5D6E-409C-BE32-E72D297353CC}">
              <c16:uniqueId val="{00000001-9B11-4BC1-8C25-AC3144CA2B22}"/>
            </c:ext>
          </c:extLst>
        </c:ser>
        <c:dLbls>
          <c:showLegendKey val="0"/>
          <c:showVal val="0"/>
          <c:showCatName val="0"/>
          <c:showSerName val="0"/>
          <c:showPercent val="0"/>
          <c:showBubbleSize val="0"/>
        </c:dLbls>
        <c:marker val="1"/>
        <c:smooth val="0"/>
        <c:axId val="1655352895"/>
        <c:axId val="1655356223"/>
      </c:lineChart>
      <c:catAx>
        <c:axId val="165535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55356223"/>
        <c:crosses val="autoZero"/>
        <c:auto val="1"/>
        <c:lblAlgn val="ctr"/>
        <c:lblOffset val="100"/>
        <c:noMultiLvlLbl val="0"/>
      </c:catAx>
      <c:valAx>
        <c:axId val="165535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55352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800" b="0" i="0" baseline="0">
                <a:effectLst/>
              </a:rPr>
              <a:t>WP4 Cost versus Budget</a:t>
            </a:r>
            <a:endParaRPr lang="nb-NO">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barChart>
        <c:barDir val="col"/>
        <c:grouping val="clustered"/>
        <c:varyColors val="0"/>
        <c:ser>
          <c:idx val="0"/>
          <c:order val="0"/>
          <c:tx>
            <c:strRef>
              <c:f>'WP Cost vs Budget'!$C$68</c:f>
              <c:strCache>
                <c:ptCount val="1"/>
                <c:pt idx="0">
                  <c:v>TOTAL
COST</c:v>
                </c:pt>
              </c:strCache>
            </c:strRef>
          </c:tx>
          <c:spPr>
            <a:solidFill>
              <a:schemeClr val="accent1"/>
            </a:solidFill>
            <a:ln>
              <a:noFill/>
            </a:ln>
            <a:effectLst/>
          </c:spPr>
          <c:invertIfNegative val="0"/>
          <c:cat>
            <c:strRef>
              <c:f>'WP Cost vs Budget'!$B$69:$B$78</c:f>
              <c:strCache>
                <c:ptCount val="10"/>
                <c:pt idx="0">
                  <c:v>WP4</c:v>
                </c:pt>
                <c:pt idx="1">
                  <c:v>T4.1</c:v>
                </c:pt>
                <c:pt idx="2">
                  <c:v>T4.2</c:v>
                </c:pt>
                <c:pt idx="3">
                  <c:v>T4.3</c:v>
                </c:pt>
                <c:pt idx="4">
                  <c:v>T4.4</c:v>
                </c:pt>
                <c:pt idx="5">
                  <c:v>T4.5</c:v>
                </c:pt>
                <c:pt idx="6">
                  <c:v>T4.6</c:v>
                </c:pt>
                <c:pt idx="7">
                  <c:v>T4.7</c:v>
                </c:pt>
                <c:pt idx="8">
                  <c:v>T4.8</c:v>
                </c:pt>
                <c:pt idx="9">
                  <c:v>T4.9</c:v>
                </c:pt>
              </c:strCache>
            </c:strRef>
          </c:cat>
          <c:val>
            <c:numRef>
              <c:f>'WP Cost vs Budget'!$C$69:$C$78</c:f>
              <c:numCache>
                <c:formatCode>#,##0</c:formatCode>
                <c:ptCount val="10"/>
                <c:pt idx="0">
                  <c:v>21789.228262094621</c:v>
                </c:pt>
                <c:pt idx="1">
                  <c:v>8330.8886002439158</c:v>
                </c:pt>
                <c:pt idx="2">
                  <c:v>5322.8375000000005</c:v>
                </c:pt>
                <c:pt idx="3">
                  <c:v>261.39999999999998</c:v>
                </c:pt>
                <c:pt idx="4">
                  <c:v>0</c:v>
                </c:pt>
                <c:pt idx="5">
                  <c:v>359.9074800325219</c:v>
                </c:pt>
                <c:pt idx="6">
                  <c:v>230.55500000000001</c:v>
                </c:pt>
                <c:pt idx="7">
                  <c:v>798.07499999999993</c:v>
                </c:pt>
                <c:pt idx="8">
                  <c:v>595.19468181818183</c:v>
                </c:pt>
                <c:pt idx="9">
                  <c:v>5748.0500000000011</c:v>
                </c:pt>
              </c:numCache>
            </c:numRef>
          </c:val>
          <c:extLst>
            <c:ext xmlns:c16="http://schemas.microsoft.com/office/drawing/2014/chart" uri="{C3380CC4-5D6E-409C-BE32-E72D297353CC}">
              <c16:uniqueId val="{00000000-A57B-4130-964D-053BB48DD5DE}"/>
            </c:ext>
          </c:extLst>
        </c:ser>
        <c:dLbls>
          <c:showLegendKey val="0"/>
          <c:showVal val="0"/>
          <c:showCatName val="0"/>
          <c:showSerName val="0"/>
          <c:showPercent val="0"/>
          <c:showBubbleSize val="0"/>
        </c:dLbls>
        <c:gapWidth val="219"/>
        <c:axId val="1072551967"/>
        <c:axId val="1072553631"/>
      </c:barChart>
      <c:lineChart>
        <c:grouping val="standard"/>
        <c:varyColors val="0"/>
        <c:ser>
          <c:idx val="1"/>
          <c:order val="1"/>
          <c:tx>
            <c:strRef>
              <c:f>'WP Cost vs Budget'!$D$68</c:f>
              <c:strCache>
                <c:ptCount val="1"/>
                <c:pt idx="0">
                  <c:v>TOTAL BUDGET</c:v>
                </c:pt>
              </c:strCache>
            </c:strRef>
          </c:tx>
          <c:spPr>
            <a:ln w="28575" cap="rnd">
              <a:solidFill>
                <a:schemeClr val="accent2"/>
              </a:solidFill>
              <a:round/>
            </a:ln>
            <a:effectLst/>
          </c:spPr>
          <c:marker>
            <c:symbol val="none"/>
          </c:marker>
          <c:cat>
            <c:strRef>
              <c:f>'WP Cost vs Budget'!$B$69:$B$78</c:f>
              <c:strCache>
                <c:ptCount val="10"/>
                <c:pt idx="0">
                  <c:v>WP4</c:v>
                </c:pt>
                <c:pt idx="1">
                  <c:v>T4.1</c:v>
                </c:pt>
                <c:pt idx="2">
                  <c:v>T4.2</c:v>
                </c:pt>
                <c:pt idx="3">
                  <c:v>T4.3</c:v>
                </c:pt>
                <c:pt idx="4">
                  <c:v>T4.4</c:v>
                </c:pt>
                <c:pt idx="5">
                  <c:v>T4.5</c:v>
                </c:pt>
                <c:pt idx="6">
                  <c:v>T4.6</c:v>
                </c:pt>
                <c:pt idx="7">
                  <c:v>T4.7</c:v>
                </c:pt>
                <c:pt idx="8">
                  <c:v>T4.8</c:v>
                </c:pt>
                <c:pt idx="9">
                  <c:v>T4.9</c:v>
                </c:pt>
              </c:strCache>
            </c:strRef>
          </c:cat>
          <c:val>
            <c:numRef>
              <c:f>'WP Cost vs Budget'!$D$69:$D$78</c:f>
              <c:numCache>
                <c:formatCode>#,##0</c:formatCode>
                <c:ptCount val="10"/>
                <c:pt idx="0">
                  <c:v>701740.32</c:v>
                </c:pt>
                <c:pt idx="1">
                  <c:v>24218.75</c:v>
                </c:pt>
                <c:pt idx="2">
                  <c:v>170550.08</c:v>
                </c:pt>
                <c:pt idx="3">
                  <c:v>113875.04999999999</c:v>
                </c:pt>
                <c:pt idx="4">
                  <c:v>70268.81</c:v>
                </c:pt>
                <c:pt idx="5">
                  <c:v>114196.76</c:v>
                </c:pt>
                <c:pt idx="6">
                  <c:v>6925</c:v>
                </c:pt>
                <c:pt idx="7">
                  <c:v>54018.33</c:v>
                </c:pt>
                <c:pt idx="8">
                  <c:v>53087.47</c:v>
                </c:pt>
                <c:pt idx="9">
                  <c:v>94600.07</c:v>
                </c:pt>
              </c:numCache>
            </c:numRef>
          </c:val>
          <c:smooth val="0"/>
          <c:extLst>
            <c:ext xmlns:c16="http://schemas.microsoft.com/office/drawing/2014/chart" uri="{C3380CC4-5D6E-409C-BE32-E72D297353CC}">
              <c16:uniqueId val="{00000001-A57B-4130-964D-053BB48DD5DE}"/>
            </c:ext>
          </c:extLst>
        </c:ser>
        <c:dLbls>
          <c:showLegendKey val="0"/>
          <c:showVal val="0"/>
          <c:showCatName val="0"/>
          <c:showSerName val="0"/>
          <c:showPercent val="0"/>
          <c:showBubbleSize val="0"/>
        </c:dLbls>
        <c:marker val="1"/>
        <c:smooth val="0"/>
        <c:axId val="1072551967"/>
        <c:axId val="1072553631"/>
      </c:lineChart>
      <c:catAx>
        <c:axId val="107255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072553631"/>
        <c:crosses val="autoZero"/>
        <c:auto val="1"/>
        <c:lblAlgn val="ctr"/>
        <c:lblOffset val="100"/>
        <c:noMultiLvlLbl val="0"/>
      </c:catAx>
      <c:valAx>
        <c:axId val="1072553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072551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sz="1800" b="0" i="0" baseline="0">
                <a:effectLst/>
              </a:rPr>
              <a:t>WP5 Cost versus Budget</a:t>
            </a:r>
            <a:endParaRPr lang="nb-NO">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barChart>
        <c:barDir val="col"/>
        <c:grouping val="clustered"/>
        <c:varyColors val="0"/>
        <c:ser>
          <c:idx val="0"/>
          <c:order val="0"/>
          <c:tx>
            <c:strRef>
              <c:f>'WP Cost vs Budget'!$C$83</c:f>
              <c:strCache>
                <c:ptCount val="1"/>
                <c:pt idx="0">
                  <c:v>TOTAL
COST</c:v>
                </c:pt>
              </c:strCache>
            </c:strRef>
          </c:tx>
          <c:spPr>
            <a:solidFill>
              <a:schemeClr val="accent1"/>
            </a:solidFill>
            <a:ln>
              <a:noFill/>
            </a:ln>
            <a:effectLst/>
          </c:spPr>
          <c:invertIfNegative val="0"/>
          <c:cat>
            <c:strRef>
              <c:f>'WP Cost vs Budget'!$B$84:$B$87</c:f>
              <c:strCache>
                <c:ptCount val="4"/>
                <c:pt idx="0">
                  <c:v>WP5</c:v>
                </c:pt>
                <c:pt idx="1">
                  <c:v>T5.1</c:v>
                </c:pt>
                <c:pt idx="2">
                  <c:v>T5.2</c:v>
                </c:pt>
                <c:pt idx="3">
                  <c:v>T5.3 </c:v>
                </c:pt>
              </c:strCache>
            </c:strRef>
          </c:cat>
          <c:val>
            <c:numRef>
              <c:f>'WP Cost vs Budget'!$C$84:$C$87</c:f>
              <c:numCache>
                <c:formatCode>#,##0</c:formatCode>
                <c:ptCount val="4"/>
                <c:pt idx="0">
                  <c:v>42546.324297708605</c:v>
                </c:pt>
                <c:pt idx="1">
                  <c:v>40961.187400208597</c:v>
                </c:pt>
                <c:pt idx="2">
                  <c:v>771.5</c:v>
                </c:pt>
                <c:pt idx="3">
                  <c:v>796.20624999999995</c:v>
                </c:pt>
              </c:numCache>
            </c:numRef>
          </c:val>
          <c:extLst>
            <c:ext xmlns:c16="http://schemas.microsoft.com/office/drawing/2014/chart" uri="{C3380CC4-5D6E-409C-BE32-E72D297353CC}">
              <c16:uniqueId val="{00000000-8FF2-4432-A9EA-BF6A840C9450}"/>
            </c:ext>
          </c:extLst>
        </c:ser>
        <c:dLbls>
          <c:showLegendKey val="0"/>
          <c:showVal val="0"/>
          <c:showCatName val="0"/>
          <c:showSerName val="0"/>
          <c:showPercent val="0"/>
          <c:showBubbleSize val="0"/>
        </c:dLbls>
        <c:gapWidth val="219"/>
        <c:axId val="1726746415"/>
        <c:axId val="1810191679"/>
      </c:barChart>
      <c:lineChart>
        <c:grouping val="standard"/>
        <c:varyColors val="0"/>
        <c:ser>
          <c:idx val="1"/>
          <c:order val="1"/>
          <c:tx>
            <c:strRef>
              <c:f>'WP Cost vs Budget'!$D$83</c:f>
              <c:strCache>
                <c:ptCount val="1"/>
                <c:pt idx="0">
                  <c:v>TOTAL BUDGET</c:v>
                </c:pt>
              </c:strCache>
            </c:strRef>
          </c:tx>
          <c:spPr>
            <a:ln w="28575" cap="rnd">
              <a:solidFill>
                <a:schemeClr val="accent2"/>
              </a:solidFill>
              <a:round/>
            </a:ln>
            <a:effectLst/>
          </c:spPr>
          <c:marker>
            <c:symbol val="none"/>
          </c:marker>
          <c:cat>
            <c:strRef>
              <c:f>'WP Cost vs Budget'!$B$84:$B$87</c:f>
              <c:strCache>
                <c:ptCount val="4"/>
                <c:pt idx="0">
                  <c:v>WP5</c:v>
                </c:pt>
                <c:pt idx="1">
                  <c:v>T5.1</c:v>
                </c:pt>
                <c:pt idx="2">
                  <c:v>T5.2</c:v>
                </c:pt>
                <c:pt idx="3">
                  <c:v>T5.3 </c:v>
                </c:pt>
              </c:strCache>
            </c:strRef>
          </c:cat>
          <c:val>
            <c:numRef>
              <c:f>'WP Cost vs Budget'!$D$84:$D$87</c:f>
              <c:numCache>
                <c:formatCode>#,##0</c:formatCode>
                <c:ptCount val="4"/>
                <c:pt idx="0">
                  <c:v>148095.22999999998</c:v>
                </c:pt>
                <c:pt idx="1">
                  <c:v>55221.349999999991</c:v>
                </c:pt>
                <c:pt idx="2">
                  <c:v>55221.349999999991</c:v>
                </c:pt>
                <c:pt idx="3">
                  <c:v>37652.530000000006</c:v>
                </c:pt>
              </c:numCache>
            </c:numRef>
          </c:val>
          <c:smooth val="0"/>
          <c:extLst>
            <c:ext xmlns:c16="http://schemas.microsoft.com/office/drawing/2014/chart" uri="{C3380CC4-5D6E-409C-BE32-E72D297353CC}">
              <c16:uniqueId val="{00000001-8FF2-4432-A9EA-BF6A840C9450}"/>
            </c:ext>
          </c:extLst>
        </c:ser>
        <c:dLbls>
          <c:showLegendKey val="0"/>
          <c:showVal val="0"/>
          <c:showCatName val="0"/>
          <c:showSerName val="0"/>
          <c:showPercent val="0"/>
          <c:showBubbleSize val="0"/>
        </c:dLbls>
        <c:marker val="1"/>
        <c:smooth val="0"/>
        <c:axId val="1726746415"/>
        <c:axId val="1810191679"/>
      </c:lineChart>
      <c:catAx>
        <c:axId val="172674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810191679"/>
        <c:crosses val="autoZero"/>
        <c:auto val="1"/>
        <c:lblAlgn val="ctr"/>
        <c:lblOffset val="100"/>
        <c:noMultiLvlLbl val="0"/>
      </c:catAx>
      <c:valAx>
        <c:axId val="18101916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726746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nb-NO" sz="1800" b="0" i="0" baseline="0">
                <a:effectLst/>
              </a:rPr>
              <a:t>WP6 Cost versus Budget</a:t>
            </a:r>
            <a:endParaRPr lang="nb-NO">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nb-NO"/>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nb-NO"/>
        </a:p>
      </c:txPr>
    </c:title>
    <c:autoTitleDeleted val="0"/>
    <c:plotArea>
      <c:layout/>
      <c:barChart>
        <c:barDir val="col"/>
        <c:grouping val="clustered"/>
        <c:varyColors val="0"/>
        <c:ser>
          <c:idx val="0"/>
          <c:order val="0"/>
          <c:tx>
            <c:strRef>
              <c:f>'WP Cost vs Budget'!$C$98</c:f>
              <c:strCache>
                <c:ptCount val="1"/>
                <c:pt idx="0">
                  <c:v>TOTAL
COST</c:v>
                </c:pt>
              </c:strCache>
            </c:strRef>
          </c:tx>
          <c:spPr>
            <a:solidFill>
              <a:schemeClr val="accent1"/>
            </a:solidFill>
            <a:ln>
              <a:noFill/>
            </a:ln>
            <a:effectLst/>
          </c:spPr>
          <c:invertIfNegative val="0"/>
          <c:cat>
            <c:strRef>
              <c:f>'WP Cost vs Budget'!$B$99:$B$102</c:f>
              <c:strCache>
                <c:ptCount val="4"/>
                <c:pt idx="0">
                  <c:v>WP6</c:v>
                </c:pt>
                <c:pt idx="1">
                  <c:v>T6.1</c:v>
                </c:pt>
                <c:pt idx="2">
                  <c:v>T6.2</c:v>
                </c:pt>
                <c:pt idx="3">
                  <c:v>T6.3 </c:v>
                </c:pt>
              </c:strCache>
            </c:strRef>
          </c:cat>
          <c:val>
            <c:numRef>
              <c:f>'WP Cost vs Budget'!$C$99:$C$102</c:f>
              <c:numCache>
                <c:formatCode>#,##0</c:formatCode>
                <c:ptCount val="4"/>
                <c:pt idx="0">
                  <c:v>56406.840370897713</c:v>
                </c:pt>
                <c:pt idx="1">
                  <c:v>39381.405002314139</c:v>
                </c:pt>
                <c:pt idx="2">
                  <c:v>10860.063160833579</c:v>
                </c:pt>
                <c:pt idx="3">
                  <c:v>1066.5956250000002</c:v>
                </c:pt>
              </c:numCache>
            </c:numRef>
          </c:val>
          <c:extLst>
            <c:ext xmlns:c16="http://schemas.microsoft.com/office/drawing/2014/chart" uri="{C3380CC4-5D6E-409C-BE32-E72D297353CC}">
              <c16:uniqueId val="{00000000-4036-4F3E-A634-F0911CBFF602}"/>
            </c:ext>
          </c:extLst>
        </c:ser>
        <c:dLbls>
          <c:showLegendKey val="0"/>
          <c:showVal val="0"/>
          <c:showCatName val="0"/>
          <c:showSerName val="0"/>
          <c:showPercent val="0"/>
          <c:showBubbleSize val="0"/>
        </c:dLbls>
        <c:gapWidth val="219"/>
        <c:axId val="1808444975"/>
        <c:axId val="1808450383"/>
      </c:barChart>
      <c:lineChart>
        <c:grouping val="standard"/>
        <c:varyColors val="0"/>
        <c:ser>
          <c:idx val="1"/>
          <c:order val="1"/>
          <c:tx>
            <c:strRef>
              <c:f>'WP Cost vs Budget'!$D$98</c:f>
              <c:strCache>
                <c:ptCount val="1"/>
                <c:pt idx="0">
                  <c:v>TOTAL BUDGET</c:v>
                </c:pt>
              </c:strCache>
            </c:strRef>
          </c:tx>
          <c:spPr>
            <a:ln w="28575" cap="rnd">
              <a:solidFill>
                <a:schemeClr val="accent2"/>
              </a:solidFill>
              <a:round/>
            </a:ln>
            <a:effectLst/>
          </c:spPr>
          <c:marker>
            <c:symbol val="none"/>
          </c:marker>
          <c:cat>
            <c:strRef>
              <c:f>'WP Cost vs Budget'!$B$99:$B$102</c:f>
              <c:strCache>
                <c:ptCount val="4"/>
                <c:pt idx="0">
                  <c:v>WP6</c:v>
                </c:pt>
                <c:pt idx="1">
                  <c:v>T6.1</c:v>
                </c:pt>
                <c:pt idx="2">
                  <c:v>T6.2</c:v>
                </c:pt>
                <c:pt idx="3">
                  <c:v>T6.3 </c:v>
                </c:pt>
              </c:strCache>
            </c:strRef>
          </c:cat>
          <c:val>
            <c:numRef>
              <c:f>'WP Cost vs Budget'!$D$99:$D$102</c:f>
              <c:numCache>
                <c:formatCode>#,##0</c:formatCode>
                <c:ptCount val="4"/>
                <c:pt idx="0">
                  <c:v>231218.95</c:v>
                </c:pt>
                <c:pt idx="1">
                  <c:v>55825.06</c:v>
                </c:pt>
                <c:pt idx="2">
                  <c:v>108168.84</c:v>
                </c:pt>
                <c:pt idx="3">
                  <c:v>67225.05</c:v>
                </c:pt>
              </c:numCache>
            </c:numRef>
          </c:val>
          <c:smooth val="0"/>
          <c:extLst>
            <c:ext xmlns:c16="http://schemas.microsoft.com/office/drawing/2014/chart" uri="{C3380CC4-5D6E-409C-BE32-E72D297353CC}">
              <c16:uniqueId val="{00000001-4036-4F3E-A634-F0911CBFF602}"/>
            </c:ext>
          </c:extLst>
        </c:ser>
        <c:dLbls>
          <c:showLegendKey val="0"/>
          <c:showVal val="0"/>
          <c:showCatName val="0"/>
          <c:showSerName val="0"/>
          <c:showPercent val="0"/>
          <c:showBubbleSize val="0"/>
        </c:dLbls>
        <c:marker val="1"/>
        <c:smooth val="0"/>
        <c:axId val="1808444975"/>
        <c:axId val="1808450383"/>
      </c:lineChart>
      <c:catAx>
        <c:axId val="180844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808450383"/>
        <c:crosses val="autoZero"/>
        <c:auto val="1"/>
        <c:lblAlgn val="ctr"/>
        <c:lblOffset val="100"/>
        <c:noMultiLvlLbl val="0"/>
      </c:catAx>
      <c:valAx>
        <c:axId val="1808450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80844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nb-NO" sz="1800" b="0" i="0" baseline="0">
                <a:effectLst/>
              </a:rPr>
              <a:t>WP7 Cost versus Budget</a:t>
            </a:r>
            <a:endParaRPr lang="nb-NO">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nb-NO"/>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nb-NO"/>
        </a:p>
      </c:txPr>
    </c:title>
    <c:autoTitleDeleted val="0"/>
    <c:plotArea>
      <c:layout/>
      <c:barChart>
        <c:barDir val="col"/>
        <c:grouping val="clustered"/>
        <c:varyColors val="0"/>
        <c:ser>
          <c:idx val="0"/>
          <c:order val="0"/>
          <c:tx>
            <c:strRef>
              <c:f>'WP Cost vs Budget'!$C$113</c:f>
              <c:strCache>
                <c:ptCount val="1"/>
                <c:pt idx="0">
                  <c:v>TOTAL
COST</c:v>
                </c:pt>
              </c:strCache>
            </c:strRef>
          </c:tx>
          <c:spPr>
            <a:solidFill>
              <a:schemeClr val="accent1"/>
            </a:solidFill>
            <a:ln>
              <a:noFill/>
            </a:ln>
            <a:effectLst/>
          </c:spPr>
          <c:invertIfNegative val="0"/>
          <c:cat>
            <c:strRef>
              <c:f>'WP Cost vs Budget'!$B$114:$B$117</c:f>
              <c:strCache>
                <c:ptCount val="4"/>
                <c:pt idx="0">
                  <c:v>WP7</c:v>
                </c:pt>
                <c:pt idx="1">
                  <c:v>T7.1</c:v>
                </c:pt>
                <c:pt idx="2">
                  <c:v>T7.2</c:v>
                </c:pt>
                <c:pt idx="3">
                  <c:v>T7.3 </c:v>
                </c:pt>
              </c:strCache>
            </c:strRef>
          </c:cat>
          <c:val>
            <c:numRef>
              <c:f>'WP Cost vs Budget'!$C$114:$C$117</c:f>
              <c:numCache>
                <c:formatCode>#,##0</c:formatCode>
                <c:ptCount val="4"/>
                <c:pt idx="0">
                  <c:v>115933.43288398575</c:v>
                </c:pt>
                <c:pt idx="1">
                  <c:v>42675.263923074512</c:v>
                </c:pt>
                <c:pt idx="2">
                  <c:v>50402.561505838057</c:v>
                </c:pt>
                <c:pt idx="3">
                  <c:v>22782.088705073173</c:v>
                </c:pt>
              </c:numCache>
            </c:numRef>
          </c:val>
          <c:extLst>
            <c:ext xmlns:c16="http://schemas.microsoft.com/office/drawing/2014/chart" uri="{C3380CC4-5D6E-409C-BE32-E72D297353CC}">
              <c16:uniqueId val="{00000000-7C42-416A-9D10-4AF990A38975}"/>
            </c:ext>
          </c:extLst>
        </c:ser>
        <c:dLbls>
          <c:showLegendKey val="0"/>
          <c:showVal val="0"/>
          <c:showCatName val="0"/>
          <c:showSerName val="0"/>
          <c:showPercent val="0"/>
          <c:showBubbleSize val="0"/>
        </c:dLbls>
        <c:gapWidth val="219"/>
        <c:axId val="1810147055"/>
        <c:axId val="1810147471"/>
      </c:barChart>
      <c:lineChart>
        <c:grouping val="standard"/>
        <c:varyColors val="0"/>
        <c:ser>
          <c:idx val="1"/>
          <c:order val="1"/>
          <c:tx>
            <c:strRef>
              <c:f>'WP Cost vs Budget'!$D$113</c:f>
              <c:strCache>
                <c:ptCount val="1"/>
                <c:pt idx="0">
                  <c:v>TOTAL BUDGET</c:v>
                </c:pt>
              </c:strCache>
            </c:strRef>
          </c:tx>
          <c:spPr>
            <a:ln w="28575" cap="rnd">
              <a:solidFill>
                <a:schemeClr val="accent2"/>
              </a:solidFill>
              <a:round/>
            </a:ln>
            <a:effectLst/>
          </c:spPr>
          <c:marker>
            <c:symbol val="none"/>
          </c:marker>
          <c:cat>
            <c:strRef>
              <c:f>'WP Cost vs Budget'!$B$114:$B$117</c:f>
              <c:strCache>
                <c:ptCount val="4"/>
                <c:pt idx="0">
                  <c:v>WP7</c:v>
                </c:pt>
                <c:pt idx="1">
                  <c:v>T7.1</c:v>
                </c:pt>
                <c:pt idx="2">
                  <c:v>T7.2</c:v>
                </c:pt>
                <c:pt idx="3">
                  <c:v>T7.3 </c:v>
                </c:pt>
              </c:strCache>
            </c:strRef>
          </c:cat>
          <c:val>
            <c:numRef>
              <c:f>'WP Cost vs Budget'!$D$114:$D$117</c:f>
              <c:numCache>
                <c:formatCode>#,##0</c:formatCode>
                <c:ptCount val="4"/>
                <c:pt idx="0">
                  <c:v>214000</c:v>
                </c:pt>
                <c:pt idx="1">
                  <c:v>147125</c:v>
                </c:pt>
                <c:pt idx="2">
                  <c:v>46812.5</c:v>
                </c:pt>
                <c:pt idx="3">
                  <c:v>20062.5</c:v>
                </c:pt>
              </c:numCache>
            </c:numRef>
          </c:val>
          <c:smooth val="0"/>
          <c:extLst>
            <c:ext xmlns:c16="http://schemas.microsoft.com/office/drawing/2014/chart" uri="{C3380CC4-5D6E-409C-BE32-E72D297353CC}">
              <c16:uniqueId val="{00000001-7C42-416A-9D10-4AF990A38975}"/>
            </c:ext>
          </c:extLst>
        </c:ser>
        <c:dLbls>
          <c:showLegendKey val="0"/>
          <c:showVal val="0"/>
          <c:showCatName val="0"/>
          <c:showSerName val="0"/>
          <c:showPercent val="0"/>
          <c:showBubbleSize val="0"/>
        </c:dLbls>
        <c:marker val="1"/>
        <c:smooth val="0"/>
        <c:axId val="1810147055"/>
        <c:axId val="1810147471"/>
      </c:lineChart>
      <c:catAx>
        <c:axId val="181014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810147471"/>
        <c:crosses val="autoZero"/>
        <c:auto val="1"/>
        <c:lblAlgn val="ctr"/>
        <c:lblOffset val="100"/>
        <c:noMultiLvlLbl val="0"/>
      </c:catAx>
      <c:valAx>
        <c:axId val="1810147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810147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276225</xdr:colOff>
      <xdr:row>0</xdr:row>
      <xdr:rowOff>85724</xdr:rowOff>
    </xdr:from>
    <xdr:to>
      <xdr:col>14</xdr:col>
      <xdr:colOff>600074</xdr:colOff>
      <xdr:row>35</xdr:row>
      <xdr:rowOff>76199</xdr:rowOff>
    </xdr:to>
    <xdr:graphicFrame macro="">
      <xdr:nvGraphicFramePr>
        <xdr:cNvPr id="2" name="Diagram 1">
          <a:extLst>
            <a:ext uri="{FF2B5EF4-FFF2-40B4-BE49-F238E27FC236}">
              <a16:creationId xmlns:a16="http://schemas.microsoft.com/office/drawing/2014/main" id="{CE5B46D8-2A5B-98E5-BD6B-E65BBE8AD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161925</xdr:colOff>
      <xdr:row>4</xdr:row>
      <xdr:rowOff>161925</xdr:rowOff>
    </xdr:from>
    <xdr:to>
      <xdr:col>10</xdr:col>
      <xdr:colOff>161925</xdr:colOff>
      <xdr:row>19</xdr:row>
      <xdr:rowOff>47625</xdr:rowOff>
    </xdr:to>
    <xdr:graphicFrame macro="">
      <xdr:nvGraphicFramePr>
        <xdr:cNvPr id="5" name="Diagram 4">
          <a:extLst>
            <a:ext uri="{FF2B5EF4-FFF2-40B4-BE49-F238E27FC236}">
              <a16:creationId xmlns:a16="http://schemas.microsoft.com/office/drawing/2014/main" id="{216FD70C-BCDF-4136-8E55-22C2FA219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180975</xdr:colOff>
      <xdr:row>21</xdr:row>
      <xdr:rowOff>185737</xdr:rowOff>
    </xdr:from>
    <xdr:to>
      <xdr:col>10</xdr:col>
      <xdr:colOff>180975</xdr:colOff>
      <xdr:row>35</xdr:row>
      <xdr:rowOff>52387</xdr:rowOff>
    </xdr:to>
    <xdr:graphicFrame macro="">
      <xdr:nvGraphicFramePr>
        <xdr:cNvPr id="6" name="Diagram 5">
          <a:extLst>
            <a:ext uri="{FF2B5EF4-FFF2-40B4-BE49-F238E27FC236}">
              <a16:creationId xmlns:a16="http://schemas.microsoft.com/office/drawing/2014/main" id="{23707791-3E30-4802-D4A2-D1C6383D4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176212</xdr:colOff>
      <xdr:row>36</xdr:row>
      <xdr:rowOff>185737</xdr:rowOff>
    </xdr:from>
    <xdr:to>
      <xdr:col>10</xdr:col>
      <xdr:colOff>176212</xdr:colOff>
      <xdr:row>50</xdr:row>
      <xdr:rowOff>52387</xdr:rowOff>
    </xdr:to>
    <xdr:graphicFrame macro="">
      <xdr:nvGraphicFramePr>
        <xdr:cNvPr id="7" name="Diagram 6">
          <a:extLst>
            <a:ext uri="{FF2B5EF4-FFF2-40B4-BE49-F238E27FC236}">
              <a16:creationId xmlns:a16="http://schemas.microsoft.com/office/drawing/2014/main" id="{E449F4A9-2264-3374-0BDE-E645463DE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157162</xdr:colOff>
      <xdr:row>52</xdr:row>
      <xdr:rowOff>14287</xdr:rowOff>
    </xdr:from>
    <xdr:to>
      <xdr:col>10</xdr:col>
      <xdr:colOff>157162</xdr:colOff>
      <xdr:row>65</xdr:row>
      <xdr:rowOff>71437</xdr:rowOff>
    </xdr:to>
    <xdr:graphicFrame macro="">
      <xdr:nvGraphicFramePr>
        <xdr:cNvPr id="8" name="Diagram 7">
          <a:extLst>
            <a:ext uri="{FF2B5EF4-FFF2-40B4-BE49-F238E27FC236}">
              <a16:creationId xmlns:a16="http://schemas.microsoft.com/office/drawing/2014/main" id="{668C1334-03F4-7F7C-DBE2-933865B5B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138112</xdr:colOff>
      <xdr:row>67</xdr:row>
      <xdr:rowOff>4762</xdr:rowOff>
    </xdr:from>
    <xdr:to>
      <xdr:col>10</xdr:col>
      <xdr:colOff>138112</xdr:colOff>
      <xdr:row>80</xdr:row>
      <xdr:rowOff>61912</xdr:rowOff>
    </xdr:to>
    <xdr:graphicFrame macro="">
      <xdr:nvGraphicFramePr>
        <xdr:cNvPr id="9" name="Diagram 8">
          <a:extLst>
            <a:ext uri="{FF2B5EF4-FFF2-40B4-BE49-F238E27FC236}">
              <a16:creationId xmlns:a16="http://schemas.microsoft.com/office/drawing/2014/main" id="{6C1243B2-1D20-9224-FE8E-112B3909E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128587</xdr:colOff>
      <xdr:row>81</xdr:row>
      <xdr:rowOff>185737</xdr:rowOff>
    </xdr:from>
    <xdr:to>
      <xdr:col>10</xdr:col>
      <xdr:colOff>128587</xdr:colOff>
      <xdr:row>95</xdr:row>
      <xdr:rowOff>52387</xdr:rowOff>
    </xdr:to>
    <xdr:graphicFrame macro="">
      <xdr:nvGraphicFramePr>
        <xdr:cNvPr id="10" name="Diagram 9">
          <a:extLst>
            <a:ext uri="{FF2B5EF4-FFF2-40B4-BE49-F238E27FC236}">
              <a16:creationId xmlns:a16="http://schemas.microsoft.com/office/drawing/2014/main" id="{CC5DE63C-F480-2E6D-45E9-73359E4D5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128587</xdr:colOff>
      <xdr:row>97</xdr:row>
      <xdr:rowOff>14287</xdr:rowOff>
    </xdr:from>
    <xdr:to>
      <xdr:col>10</xdr:col>
      <xdr:colOff>128587</xdr:colOff>
      <xdr:row>110</xdr:row>
      <xdr:rowOff>71437</xdr:rowOff>
    </xdr:to>
    <xdr:graphicFrame macro="">
      <xdr:nvGraphicFramePr>
        <xdr:cNvPr id="11" name="Diagram 10">
          <a:extLst>
            <a:ext uri="{FF2B5EF4-FFF2-40B4-BE49-F238E27FC236}">
              <a16:creationId xmlns:a16="http://schemas.microsoft.com/office/drawing/2014/main" id="{DC35F95C-DD9C-735F-39F0-A8501E93A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100012</xdr:colOff>
      <xdr:row>112</xdr:row>
      <xdr:rowOff>4762</xdr:rowOff>
    </xdr:from>
    <xdr:to>
      <xdr:col>10</xdr:col>
      <xdr:colOff>100012</xdr:colOff>
      <xdr:row>125</xdr:row>
      <xdr:rowOff>61912</xdr:rowOff>
    </xdr:to>
    <xdr:graphicFrame macro="">
      <xdr:nvGraphicFramePr>
        <xdr:cNvPr id="12" name="Diagram 11">
          <a:extLst>
            <a:ext uri="{FF2B5EF4-FFF2-40B4-BE49-F238E27FC236}">
              <a16:creationId xmlns:a16="http://schemas.microsoft.com/office/drawing/2014/main" id="{30693C4E-CB22-BBED-DB6E-A62DD8063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22</xdr:col>
      <xdr:colOff>238125</xdr:colOff>
      <xdr:row>3</xdr:row>
      <xdr:rowOff>9525</xdr:rowOff>
    </xdr:from>
    <xdr:ext cx="3558795" cy="718466"/>
    <xdr:sp macro="" textlink="">
      <xdr:nvSpPr>
        <xdr:cNvPr id="2" name="TekstSylinder 1">
          <a:extLst>
            <a:ext uri="{FF2B5EF4-FFF2-40B4-BE49-F238E27FC236}">
              <a16:creationId xmlns:a16="http://schemas.microsoft.com/office/drawing/2014/main" id="{2115DDF7-C5B5-60F0-DB66-F413DE27E0AA}"/>
            </a:ext>
          </a:extLst>
        </xdr:cNvPr>
        <xdr:cNvSpPr txBox="1"/>
      </xdr:nvSpPr>
      <xdr:spPr>
        <a:xfrm>
          <a:off x="13735050" y="533400"/>
          <a:ext cx="3558795"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nb-NO" sz="4000" b="1"/>
            <a:t>AS PER BUDGET</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15</xdr:col>
      <xdr:colOff>9524</xdr:colOff>
      <xdr:row>2</xdr:row>
      <xdr:rowOff>76200</xdr:rowOff>
    </xdr:from>
    <xdr:ext cx="657225" cy="342786"/>
    <xdr:sp macro="" textlink="">
      <xdr:nvSpPr>
        <xdr:cNvPr id="15" name="TekstSylinder 14">
          <a:extLst>
            <a:ext uri="{FF2B5EF4-FFF2-40B4-BE49-F238E27FC236}">
              <a16:creationId xmlns:a16="http://schemas.microsoft.com/office/drawing/2014/main" id="{5274D484-B6D7-45F6-BA5D-8AEF72998BEC}"/>
            </a:ext>
          </a:extLst>
        </xdr:cNvPr>
        <xdr:cNvSpPr txBox="1"/>
      </xdr:nvSpPr>
      <xdr:spPr>
        <a:xfrm>
          <a:off x="11696699" y="542925"/>
          <a:ext cx="6572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t>FOC</a:t>
          </a:r>
        </a:p>
      </xdr:txBody>
    </xdr:sp>
    <xdr:clientData/>
  </xdr:oneCellAnchor>
  <xdr:oneCellAnchor>
    <xdr:from>
      <xdr:col>41</xdr:col>
      <xdr:colOff>38101</xdr:colOff>
      <xdr:row>2</xdr:row>
      <xdr:rowOff>38100</xdr:rowOff>
    </xdr:from>
    <xdr:ext cx="762000" cy="342786"/>
    <xdr:sp macro="" textlink="">
      <xdr:nvSpPr>
        <xdr:cNvPr id="16" name="TekstSylinder 15">
          <a:extLst>
            <a:ext uri="{FF2B5EF4-FFF2-40B4-BE49-F238E27FC236}">
              <a16:creationId xmlns:a16="http://schemas.microsoft.com/office/drawing/2014/main" id="{D542A03C-6650-48F6-AE30-2B6E716900E2}"/>
            </a:ext>
          </a:extLst>
        </xdr:cNvPr>
        <xdr:cNvSpPr txBox="1"/>
      </xdr:nvSpPr>
      <xdr:spPr>
        <a:xfrm>
          <a:off x="23040976" y="504825"/>
          <a:ext cx="7620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t>BAL</a:t>
          </a:r>
        </a:p>
      </xdr:txBody>
    </xdr:sp>
    <xdr:clientData/>
  </xdr:oneCellAnchor>
  <xdr:oneCellAnchor>
    <xdr:from>
      <xdr:col>47</xdr:col>
      <xdr:colOff>647699</xdr:colOff>
      <xdr:row>2</xdr:row>
      <xdr:rowOff>57150</xdr:rowOff>
    </xdr:from>
    <xdr:ext cx="657225" cy="342786"/>
    <xdr:sp macro="" textlink="">
      <xdr:nvSpPr>
        <xdr:cNvPr id="17" name="TekstSylinder 16">
          <a:extLst>
            <a:ext uri="{FF2B5EF4-FFF2-40B4-BE49-F238E27FC236}">
              <a16:creationId xmlns:a16="http://schemas.microsoft.com/office/drawing/2014/main" id="{BFA1A8CD-25B5-445F-9A49-A85526BE589A}"/>
            </a:ext>
          </a:extLst>
        </xdr:cNvPr>
        <xdr:cNvSpPr txBox="1"/>
      </xdr:nvSpPr>
      <xdr:spPr>
        <a:xfrm>
          <a:off x="26984324" y="523875"/>
          <a:ext cx="6572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t>MCN</a:t>
          </a:r>
        </a:p>
      </xdr:txBody>
    </xdr:sp>
    <xdr:clientData/>
  </xdr:oneCellAnchor>
  <xdr:oneCellAnchor>
    <xdr:from>
      <xdr:col>37</xdr:col>
      <xdr:colOff>66674</xdr:colOff>
      <xdr:row>2</xdr:row>
      <xdr:rowOff>28575</xdr:rowOff>
    </xdr:from>
    <xdr:ext cx="657225" cy="342786"/>
    <xdr:sp macro="" textlink="">
      <xdr:nvSpPr>
        <xdr:cNvPr id="18" name="TekstSylinder 17">
          <a:extLst>
            <a:ext uri="{FF2B5EF4-FFF2-40B4-BE49-F238E27FC236}">
              <a16:creationId xmlns:a16="http://schemas.microsoft.com/office/drawing/2014/main" id="{3AEED3B9-FB63-4048-BF31-26AD4DAAB4A2}"/>
            </a:ext>
          </a:extLst>
        </xdr:cNvPr>
        <xdr:cNvSpPr txBox="1"/>
      </xdr:nvSpPr>
      <xdr:spPr>
        <a:xfrm>
          <a:off x="21069299" y="495300"/>
          <a:ext cx="6572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t>HIE</a:t>
          </a:r>
        </a:p>
      </xdr:txBody>
    </xdr:sp>
    <xdr:clientData/>
  </xdr:oneCellAnchor>
  <xdr:oneCellAnchor>
    <xdr:from>
      <xdr:col>33</xdr:col>
      <xdr:colOff>38099</xdr:colOff>
      <xdr:row>2</xdr:row>
      <xdr:rowOff>28575</xdr:rowOff>
    </xdr:from>
    <xdr:ext cx="657225" cy="342786"/>
    <xdr:sp macro="" textlink="">
      <xdr:nvSpPr>
        <xdr:cNvPr id="19" name="TekstSylinder 18">
          <a:extLst>
            <a:ext uri="{FF2B5EF4-FFF2-40B4-BE49-F238E27FC236}">
              <a16:creationId xmlns:a16="http://schemas.microsoft.com/office/drawing/2014/main" id="{45587E15-58D8-433D-B535-C824B4CC7938}"/>
            </a:ext>
          </a:extLst>
        </xdr:cNvPr>
        <xdr:cNvSpPr txBox="1"/>
      </xdr:nvSpPr>
      <xdr:spPr>
        <a:xfrm>
          <a:off x="19183349" y="495300"/>
          <a:ext cx="6572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t>IOC</a:t>
          </a:r>
        </a:p>
      </xdr:txBody>
    </xdr:sp>
    <xdr:clientData/>
  </xdr:oneCellAnchor>
  <xdr:oneCellAnchor>
    <xdr:from>
      <xdr:col>23</xdr:col>
      <xdr:colOff>9524</xdr:colOff>
      <xdr:row>2</xdr:row>
      <xdr:rowOff>47625</xdr:rowOff>
    </xdr:from>
    <xdr:ext cx="657225" cy="342786"/>
    <xdr:sp macro="" textlink="">
      <xdr:nvSpPr>
        <xdr:cNvPr id="21" name="TekstSylinder 20">
          <a:extLst>
            <a:ext uri="{FF2B5EF4-FFF2-40B4-BE49-F238E27FC236}">
              <a16:creationId xmlns:a16="http://schemas.microsoft.com/office/drawing/2014/main" id="{B34BB933-D801-4A39-A5EE-F869E0862484}"/>
            </a:ext>
          </a:extLst>
        </xdr:cNvPr>
        <xdr:cNvSpPr txBox="1"/>
      </xdr:nvSpPr>
      <xdr:spPr>
        <a:xfrm>
          <a:off x="15440024" y="514350"/>
          <a:ext cx="6572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solidFill>
                <a:sysClr val="windowText" lastClr="000000"/>
              </a:solidFill>
            </a:rPr>
            <a:t>MAI</a:t>
          </a:r>
        </a:p>
      </xdr:txBody>
    </xdr:sp>
    <xdr:clientData/>
  </xdr:oneCellAnchor>
  <xdr:oneCellAnchor>
    <xdr:from>
      <xdr:col>18</xdr:col>
      <xdr:colOff>666749</xdr:colOff>
      <xdr:row>2</xdr:row>
      <xdr:rowOff>38100</xdr:rowOff>
    </xdr:from>
    <xdr:ext cx="657225" cy="342786"/>
    <xdr:sp macro="" textlink="">
      <xdr:nvSpPr>
        <xdr:cNvPr id="22" name="TekstSylinder 21">
          <a:extLst>
            <a:ext uri="{FF2B5EF4-FFF2-40B4-BE49-F238E27FC236}">
              <a16:creationId xmlns:a16="http://schemas.microsoft.com/office/drawing/2014/main" id="{A837B04B-345E-48CF-BBE7-58AD3AED8E99}"/>
            </a:ext>
          </a:extLst>
        </xdr:cNvPr>
        <xdr:cNvSpPr txBox="1"/>
      </xdr:nvSpPr>
      <xdr:spPr>
        <a:xfrm>
          <a:off x="13563599" y="504825"/>
          <a:ext cx="6572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t>CTLV</a:t>
          </a:r>
        </a:p>
      </xdr:txBody>
    </xdr:sp>
    <xdr:clientData/>
  </xdr:oneCellAnchor>
  <xdr:oneCellAnchor>
    <xdr:from>
      <xdr:col>8</xdr:col>
      <xdr:colOff>47624</xdr:colOff>
      <xdr:row>2</xdr:row>
      <xdr:rowOff>47625</xdr:rowOff>
    </xdr:from>
    <xdr:ext cx="657225" cy="342786"/>
    <xdr:sp macro="" textlink="">
      <xdr:nvSpPr>
        <xdr:cNvPr id="23" name="TekstSylinder 22">
          <a:extLst>
            <a:ext uri="{FF2B5EF4-FFF2-40B4-BE49-F238E27FC236}">
              <a16:creationId xmlns:a16="http://schemas.microsoft.com/office/drawing/2014/main" id="{6A10CAB5-8085-4ED1-870C-043597E3200C}"/>
            </a:ext>
          </a:extLst>
        </xdr:cNvPr>
        <xdr:cNvSpPr txBox="1"/>
      </xdr:nvSpPr>
      <xdr:spPr>
        <a:xfrm>
          <a:off x="7953374" y="514350"/>
          <a:ext cx="6572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t>MNU</a:t>
          </a:r>
        </a:p>
      </xdr:txBody>
    </xdr:sp>
    <xdr:clientData/>
  </xdr:oneCellAnchor>
  <xdr:oneCellAnchor>
    <xdr:from>
      <xdr:col>12</xdr:col>
      <xdr:colOff>66675</xdr:colOff>
      <xdr:row>2</xdr:row>
      <xdr:rowOff>66675</xdr:rowOff>
    </xdr:from>
    <xdr:ext cx="657225" cy="342786"/>
    <xdr:sp macro="" textlink="">
      <xdr:nvSpPr>
        <xdr:cNvPr id="24" name="TekstSylinder 23">
          <a:extLst>
            <a:ext uri="{FF2B5EF4-FFF2-40B4-BE49-F238E27FC236}">
              <a16:creationId xmlns:a16="http://schemas.microsoft.com/office/drawing/2014/main" id="{6AAC2DBD-C722-4231-8834-BFE6E99BB753}"/>
            </a:ext>
          </a:extLst>
        </xdr:cNvPr>
        <xdr:cNvSpPr txBox="1"/>
      </xdr:nvSpPr>
      <xdr:spPr>
        <a:xfrm>
          <a:off x="9829800" y="533400"/>
          <a:ext cx="6572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t>SCA</a:t>
          </a:r>
        </a:p>
      </xdr:txBody>
    </xdr:sp>
    <xdr:clientData/>
  </xdr:oneCellAnchor>
  <xdr:oneCellAnchor>
    <xdr:from>
      <xdr:col>43</xdr:col>
      <xdr:colOff>590550</xdr:colOff>
      <xdr:row>2</xdr:row>
      <xdr:rowOff>38100</xdr:rowOff>
    </xdr:from>
    <xdr:ext cx="762000" cy="342786"/>
    <xdr:sp macro="" textlink="">
      <xdr:nvSpPr>
        <xdr:cNvPr id="25" name="TekstSylinder 24">
          <a:extLst>
            <a:ext uri="{FF2B5EF4-FFF2-40B4-BE49-F238E27FC236}">
              <a16:creationId xmlns:a16="http://schemas.microsoft.com/office/drawing/2014/main" id="{A0A538CA-9D16-4E4A-A6AD-AF398E2C5D82}"/>
            </a:ext>
          </a:extLst>
        </xdr:cNvPr>
        <xdr:cNvSpPr txBox="1"/>
      </xdr:nvSpPr>
      <xdr:spPr>
        <a:xfrm>
          <a:off x="24926925" y="504825"/>
          <a:ext cx="7620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t>MEERI</a:t>
          </a:r>
        </a:p>
      </xdr:txBody>
    </xdr:sp>
    <xdr:clientData/>
  </xdr:oneCellAnchor>
  <xdr:oneCellAnchor>
    <xdr:from>
      <xdr:col>53</xdr:col>
      <xdr:colOff>28574</xdr:colOff>
      <xdr:row>2</xdr:row>
      <xdr:rowOff>57150</xdr:rowOff>
    </xdr:from>
    <xdr:ext cx="657225" cy="342786"/>
    <xdr:sp macro="" textlink="">
      <xdr:nvSpPr>
        <xdr:cNvPr id="26" name="TekstSylinder 25">
          <a:extLst>
            <a:ext uri="{FF2B5EF4-FFF2-40B4-BE49-F238E27FC236}">
              <a16:creationId xmlns:a16="http://schemas.microsoft.com/office/drawing/2014/main" id="{9871AAF9-F60D-4B39-B10D-C6420BD9F7F3}"/>
            </a:ext>
          </a:extLst>
        </xdr:cNvPr>
        <xdr:cNvSpPr txBox="1"/>
      </xdr:nvSpPr>
      <xdr:spPr>
        <a:xfrm>
          <a:off x="29032199" y="523875"/>
          <a:ext cx="6572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t>CKR</a:t>
          </a:r>
        </a:p>
      </xdr:txBody>
    </xdr:sp>
    <xdr:clientData/>
  </xdr:oneCellAnchor>
  <xdr:oneCellAnchor>
    <xdr:from>
      <xdr:col>29</xdr:col>
      <xdr:colOff>57149</xdr:colOff>
      <xdr:row>2</xdr:row>
      <xdr:rowOff>38100</xdr:rowOff>
    </xdr:from>
    <xdr:ext cx="657225" cy="342786"/>
    <xdr:sp macro="" textlink="">
      <xdr:nvSpPr>
        <xdr:cNvPr id="27" name="TekstSylinder 26">
          <a:extLst>
            <a:ext uri="{FF2B5EF4-FFF2-40B4-BE49-F238E27FC236}">
              <a16:creationId xmlns:a16="http://schemas.microsoft.com/office/drawing/2014/main" id="{030DFFBF-F034-418C-8345-B965016D16B7}"/>
            </a:ext>
          </a:extLst>
        </xdr:cNvPr>
        <xdr:cNvSpPr txBox="1"/>
      </xdr:nvSpPr>
      <xdr:spPr>
        <a:xfrm>
          <a:off x="17335499" y="504825"/>
          <a:ext cx="6572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solidFill>
                <a:sysClr val="windowText" lastClr="000000"/>
              </a:solidFill>
            </a:rPr>
            <a:t>BIN</a:t>
          </a:r>
        </a:p>
      </xdr:txBody>
    </xdr:sp>
    <xdr:clientData/>
  </xdr:oneCellAnchor>
  <xdr:oneCellAnchor>
    <xdr:from>
      <xdr:col>1</xdr:col>
      <xdr:colOff>438150</xdr:colOff>
      <xdr:row>0</xdr:row>
      <xdr:rowOff>228600</xdr:rowOff>
    </xdr:from>
    <xdr:ext cx="1987595" cy="609013"/>
    <xdr:sp macro="" textlink="">
      <xdr:nvSpPr>
        <xdr:cNvPr id="33" name="TekstSylinder 32">
          <a:extLst>
            <a:ext uri="{FF2B5EF4-FFF2-40B4-BE49-F238E27FC236}">
              <a16:creationId xmlns:a16="http://schemas.microsoft.com/office/drawing/2014/main" id="{504495F7-A006-3F8A-E7D6-50BB4C96D4D0}"/>
            </a:ext>
          </a:extLst>
        </xdr:cNvPr>
        <xdr:cNvSpPr txBox="1"/>
      </xdr:nvSpPr>
      <xdr:spPr>
        <a:xfrm>
          <a:off x="5019675" y="228600"/>
          <a:ext cx="198759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nb-NO" sz="1100" b="1"/>
            <a:t>TOTAL</a:t>
          </a:r>
        </a:p>
        <a:p>
          <a:pPr algn="ctr"/>
          <a:r>
            <a:rPr lang="nb-NO" sz="1100" b="1"/>
            <a:t>All Direct &amp; Indirect Cost (EUR)</a:t>
          </a:r>
        </a:p>
        <a:p>
          <a:pPr algn="ctr"/>
          <a:r>
            <a:rPr lang="nb-NO" sz="1100" b="1"/>
            <a:t>ACTUAL</a:t>
          </a:r>
          <a:r>
            <a:rPr lang="nb-NO" sz="1100" b="1" baseline="0"/>
            <a:t> &amp; BUDGET</a:t>
          </a:r>
          <a:endParaRPr lang="nb-NO" sz="1100" b="1"/>
        </a:p>
      </xdr:txBody>
    </xdr:sp>
    <xdr:clientData/>
  </xdr:oneCellAnchor>
  <xdr:twoCellAnchor>
    <xdr:from>
      <xdr:col>22</xdr:col>
      <xdr:colOff>638175</xdr:colOff>
      <xdr:row>1</xdr:row>
      <xdr:rowOff>9525</xdr:rowOff>
    </xdr:from>
    <xdr:to>
      <xdr:col>25</xdr:col>
      <xdr:colOff>409575</xdr:colOff>
      <xdr:row>2</xdr:row>
      <xdr:rowOff>57150</xdr:rowOff>
    </xdr:to>
    <xdr:sp macro="" textlink="">
      <xdr:nvSpPr>
        <xdr:cNvPr id="2" name="Lyn 1">
          <a:extLst>
            <a:ext uri="{FF2B5EF4-FFF2-40B4-BE49-F238E27FC236}">
              <a16:creationId xmlns:a16="http://schemas.microsoft.com/office/drawing/2014/main" id="{726775A3-5C72-3BDF-905B-BD09A210EA3D}"/>
            </a:ext>
          </a:extLst>
        </xdr:cNvPr>
        <xdr:cNvSpPr/>
      </xdr:nvSpPr>
      <xdr:spPr>
        <a:xfrm>
          <a:off x="15125700" y="276225"/>
          <a:ext cx="438150" cy="247650"/>
        </a:xfrm>
        <a:prstGeom prst="lightningBol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editAs="oneCell">
    <xdr:from>
      <xdr:col>0</xdr:col>
      <xdr:colOff>523875</xdr:colOff>
      <xdr:row>3</xdr:row>
      <xdr:rowOff>19050</xdr:rowOff>
    </xdr:from>
    <xdr:to>
      <xdr:col>0</xdr:col>
      <xdr:colOff>1023790</xdr:colOff>
      <xdr:row>4</xdr:row>
      <xdr:rowOff>99465</xdr:rowOff>
    </xdr:to>
    <xdr:pic>
      <xdr:nvPicPr>
        <xdr:cNvPr id="4" name="Bilde 3">
          <a:extLst>
            <a:ext uri="{FF2B5EF4-FFF2-40B4-BE49-F238E27FC236}">
              <a16:creationId xmlns:a16="http://schemas.microsoft.com/office/drawing/2014/main" id="{EA388D4E-D52E-A90B-143F-F6F00470742F}"/>
            </a:ext>
          </a:extLst>
        </xdr:cNvPr>
        <xdr:cNvPicPr>
          <a:picLocks noChangeAspect="1"/>
        </xdr:cNvPicPr>
      </xdr:nvPicPr>
      <xdr:blipFill>
        <a:blip xmlns:r="http://schemas.openxmlformats.org/officeDocument/2006/relationships" r:embed="rId1"/>
        <a:stretch>
          <a:fillRect/>
        </a:stretch>
      </xdr:blipFill>
      <xdr:spPr>
        <a:xfrm>
          <a:off x="523875" y="676275"/>
          <a:ext cx="499915" cy="280440"/>
        </a:xfrm>
        <a:prstGeom prst="rect">
          <a:avLst/>
        </a:prstGeom>
      </xdr:spPr>
    </xdr:pic>
    <xdr:clientData/>
  </xdr:twoCellAnchor>
  <xdr:twoCellAnchor>
    <xdr:from>
      <xdr:col>39</xdr:col>
      <xdr:colOff>304800</xdr:colOff>
      <xdr:row>0</xdr:row>
      <xdr:rowOff>190500</xdr:rowOff>
    </xdr:from>
    <xdr:to>
      <xdr:col>42</xdr:col>
      <xdr:colOff>76200</xdr:colOff>
      <xdr:row>1</xdr:row>
      <xdr:rowOff>171450</xdr:rowOff>
    </xdr:to>
    <xdr:sp macro="" textlink="">
      <xdr:nvSpPr>
        <xdr:cNvPr id="5" name="Lyn 4">
          <a:extLst>
            <a:ext uri="{FF2B5EF4-FFF2-40B4-BE49-F238E27FC236}">
              <a16:creationId xmlns:a16="http://schemas.microsoft.com/office/drawing/2014/main" id="{1A7D476B-3D9C-4D5E-9742-43E4A7472624}"/>
            </a:ext>
          </a:extLst>
        </xdr:cNvPr>
        <xdr:cNvSpPr/>
      </xdr:nvSpPr>
      <xdr:spPr>
        <a:xfrm>
          <a:off x="22917150" y="190500"/>
          <a:ext cx="1104900" cy="247650"/>
        </a:xfrm>
        <a:prstGeom prst="lightningBol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18</xdr:col>
      <xdr:colOff>295275</xdr:colOff>
      <xdr:row>0</xdr:row>
      <xdr:rowOff>247650</xdr:rowOff>
    </xdr:from>
    <xdr:to>
      <xdr:col>21</xdr:col>
      <xdr:colOff>66675</xdr:colOff>
      <xdr:row>2</xdr:row>
      <xdr:rowOff>28575</xdr:rowOff>
    </xdr:to>
    <xdr:sp macro="" textlink="">
      <xdr:nvSpPr>
        <xdr:cNvPr id="3" name="Lyn 2">
          <a:extLst>
            <a:ext uri="{FF2B5EF4-FFF2-40B4-BE49-F238E27FC236}">
              <a16:creationId xmlns:a16="http://schemas.microsoft.com/office/drawing/2014/main" id="{EF74CAA6-3B8A-49C0-8EED-F5F025A0D23B}"/>
            </a:ext>
          </a:extLst>
        </xdr:cNvPr>
        <xdr:cNvSpPr/>
      </xdr:nvSpPr>
      <xdr:spPr>
        <a:xfrm>
          <a:off x="12915900" y="247650"/>
          <a:ext cx="1104900" cy="247650"/>
        </a:xfrm>
        <a:prstGeom prst="lightningBol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15</xdr:col>
      <xdr:colOff>0</xdr:colOff>
      <xdr:row>14</xdr:row>
      <xdr:rowOff>0</xdr:rowOff>
    </xdr:from>
    <xdr:ext cx="2492375" cy="609013"/>
    <xdr:sp macro="" textlink="">
      <xdr:nvSpPr>
        <xdr:cNvPr id="2" name="TekstSylinder 1">
          <a:extLst>
            <a:ext uri="{FF2B5EF4-FFF2-40B4-BE49-F238E27FC236}">
              <a16:creationId xmlns:a16="http://schemas.microsoft.com/office/drawing/2014/main" id="{76EBF6FC-F700-4558-93AA-8808E62BCE03}"/>
            </a:ext>
          </a:extLst>
        </xdr:cNvPr>
        <xdr:cNvSpPr txBox="1"/>
      </xdr:nvSpPr>
      <xdr:spPr>
        <a:xfrm>
          <a:off x="12612414" y="2605690"/>
          <a:ext cx="249237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100" b="1"/>
            <a:t>Table to the left is active as</a:t>
          </a:r>
          <a:r>
            <a:rPr lang="nb-NO" sz="1100" b="1" baseline="0"/>
            <a:t> partner input to sheet Direct &amp; Indirect Personnal Cost</a:t>
          </a:r>
          <a:endParaRPr lang="nb-NO" sz="1100" b="1"/>
        </a:p>
      </xdr:txBody>
    </xdr:sp>
    <xdr:clientData/>
  </xdr:oneCellAnchor>
  <xdr:oneCellAnchor>
    <xdr:from>
      <xdr:col>19</xdr:col>
      <xdr:colOff>2690814</xdr:colOff>
      <xdr:row>1</xdr:row>
      <xdr:rowOff>7938</xdr:rowOff>
    </xdr:from>
    <xdr:ext cx="2722562" cy="749821"/>
    <xdr:sp macro="" textlink="">
      <xdr:nvSpPr>
        <xdr:cNvPr id="9" name="TekstSylinder 8">
          <a:extLst>
            <a:ext uri="{FF2B5EF4-FFF2-40B4-BE49-F238E27FC236}">
              <a16:creationId xmlns:a16="http://schemas.microsoft.com/office/drawing/2014/main" id="{A55E0458-0A6A-4D12-8073-E19932D33CF5}"/>
            </a:ext>
          </a:extLst>
        </xdr:cNvPr>
        <xdr:cNvSpPr txBox="1"/>
      </xdr:nvSpPr>
      <xdr:spPr>
        <a:xfrm>
          <a:off x="2690814" y="7938"/>
          <a:ext cx="2722562" cy="74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400" b="1">
              <a:solidFill>
                <a:schemeClr val="accent5">
                  <a:lumMod val="75000"/>
                </a:schemeClr>
              </a:solidFill>
            </a:rPr>
            <a:t>Column C</a:t>
          </a:r>
          <a:r>
            <a:rPr lang="nb-NO" sz="1400" b="1" baseline="0">
              <a:solidFill>
                <a:schemeClr val="accent5">
                  <a:lumMod val="75000"/>
                </a:schemeClr>
              </a:solidFill>
            </a:rPr>
            <a:t> is </a:t>
          </a:r>
          <a:r>
            <a:rPr lang="nb-NO" sz="1400" b="1">
              <a:solidFill>
                <a:schemeClr val="accent5">
                  <a:lumMod val="75000"/>
                </a:schemeClr>
              </a:solidFill>
            </a:rPr>
            <a:t>budgeted PM,</a:t>
          </a:r>
          <a:r>
            <a:rPr lang="nb-NO" sz="1400" b="1" baseline="0">
              <a:solidFill>
                <a:schemeClr val="accent5">
                  <a:lumMod val="75000"/>
                </a:schemeClr>
              </a:solidFill>
            </a:rPr>
            <a:t> column D is </a:t>
          </a:r>
          <a:r>
            <a:rPr lang="nb-NO" sz="1400" b="1">
              <a:solidFill>
                <a:schemeClr val="accent5">
                  <a:lumMod val="75000"/>
                </a:schemeClr>
              </a:solidFill>
            </a:rPr>
            <a:t>hours is assuming 1720 or 1 PM=143.333</a:t>
          </a:r>
        </a:p>
      </xdr:txBody>
    </xdr:sp>
    <xdr:clientData/>
  </xdr:oneCellAnchor>
  <xdr:oneCellAnchor>
    <xdr:from>
      <xdr:col>23</xdr:col>
      <xdr:colOff>47626</xdr:colOff>
      <xdr:row>1</xdr:row>
      <xdr:rowOff>39688</xdr:rowOff>
    </xdr:from>
    <xdr:ext cx="4310062" cy="593239"/>
    <xdr:sp macro="" textlink="">
      <xdr:nvSpPr>
        <xdr:cNvPr id="10" name="TekstSylinder 9">
          <a:extLst>
            <a:ext uri="{FF2B5EF4-FFF2-40B4-BE49-F238E27FC236}">
              <a16:creationId xmlns:a16="http://schemas.microsoft.com/office/drawing/2014/main" id="{76A8EBC6-6997-4E9D-A215-3F15521B4261}"/>
            </a:ext>
          </a:extLst>
        </xdr:cNvPr>
        <xdr:cNvSpPr txBox="1"/>
      </xdr:nvSpPr>
      <xdr:spPr>
        <a:xfrm>
          <a:off x="5353051" y="39688"/>
          <a:ext cx="4310062"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solidFill>
                <a:schemeClr val="accent5">
                  <a:lumMod val="75000"/>
                </a:schemeClr>
              </a:solidFill>
            </a:rPr>
            <a:t>COMPLETE COLUMN E TIL I for the AMD2</a:t>
          </a:r>
        </a:p>
        <a:p>
          <a:r>
            <a:rPr lang="nb-NO" sz="1600" b="1">
              <a:solidFill>
                <a:schemeClr val="accent5">
                  <a:lumMod val="75000"/>
                </a:schemeClr>
              </a:solidFill>
            </a:rPr>
            <a:t>According to your re-allocation and salary cost.</a:t>
          </a:r>
        </a:p>
      </xdr:txBody>
    </xdr:sp>
    <xdr:clientData/>
  </xdr:oneCellAnchor>
  <xdr:twoCellAnchor editAs="oneCell">
    <xdr:from>
      <xdr:col>28</xdr:col>
      <xdr:colOff>32845</xdr:colOff>
      <xdr:row>9</xdr:row>
      <xdr:rowOff>10948</xdr:rowOff>
    </xdr:from>
    <xdr:to>
      <xdr:col>30</xdr:col>
      <xdr:colOff>159020</xdr:colOff>
      <xdr:row>44</xdr:row>
      <xdr:rowOff>120432</xdr:rowOff>
    </xdr:to>
    <xdr:pic>
      <xdr:nvPicPr>
        <xdr:cNvPr id="11" name="Bilde 10">
          <a:extLst>
            <a:ext uri="{FF2B5EF4-FFF2-40B4-BE49-F238E27FC236}">
              <a16:creationId xmlns:a16="http://schemas.microsoft.com/office/drawing/2014/main" id="{8E5435C9-6C6E-8B49-73B7-5BD2E2A938F3}"/>
            </a:ext>
          </a:extLst>
        </xdr:cNvPr>
        <xdr:cNvPicPr>
          <a:picLocks noChangeAspect="1"/>
        </xdr:cNvPicPr>
      </xdr:nvPicPr>
      <xdr:blipFill>
        <a:blip xmlns:r="http://schemas.openxmlformats.org/officeDocument/2006/relationships" r:embed="rId1"/>
        <a:stretch>
          <a:fillRect/>
        </a:stretch>
      </xdr:blipFill>
      <xdr:spPr>
        <a:xfrm>
          <a:off x="30972673" y="1686034"/>
          <a:ext cx="1352381" cy="6623708"/>
        </a:xfrm>
        <a:prstGeom prst="rect">
          <a:avLst/>
        </a:prstGeom>
      </xdr:spPr>
    </xdr:pic>
    <xdr:clientData/>
  </xdr:twoCellAnchor>
  <xdr:twoCellAnchor editAs="oneCell">
    <xdr:from>
      <xdr:col>28</xdr:col>
      <xdr:colOff>43792</xdr:colOff>
      <xdr:row>43</xdr:row>
      <xdr:rowOff>10947</xdr:rowOff>
    </xdr:from>
    <xdr:to>
      <xdr:col>30</xdr:col>
      <xdr:colOff>179491</xdr:colOff>
      <xdr:row>48</xdr:row>
      <xdr:rowOff>69396</xdr:rowOff>
    </xdr:to>
    <xdr:pic>
      <xdr:nvPicPr>
        <xdr:cNvPr id="13" name="Bilde 12">
          <a:extLst>
            <a:ext uri="{FF2B5EF4-FFF2-40B4-BE49-F238E27FC236}">
              <a16:creationId xmlns:a16="http://schemas.microsoft.com/office/drawing/2014/main" id="{58D06DF5-74D2-C8E1-6935-1194DD8F5426}"/>
            </a:ext>
          </a:extLst>
        </xdr:cNvPr>
        <xdr:cNvPicPr>
          <a:picLocks noChangeAspect="1"/>
        </xdr:cNvPicPr>
      </xdr:nvPicPr>
      <xdr:blipFill>
        <a:blip xmlns:r="http://schemas.openxmlformats.org/officeDocument/2006/relationships" r:embed="rId2"/>
        <a:stretch>
          <a:fillRect/>
        </a:stretch>
      </xdr:blipFill>
      <xdr:spPr>
        <a:xfrm>
          <a:off x="30983620" y="8014137"/>
          <a:ext cx="1361905" cy="100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13</xdr:col>
      <xdr:colOff>0</xdr:colOff>
      <xdr:row>2</xdr:row>
      <xdr:rowOff>0</xdr:rowOff>
    </xdr:from>
    <xdr:ext cx="2492375" cy="609013"/>
    <xdr:sp macro="" textlink="">
      <xdr:nvSpPr>
        <xdr:cNvPr id="2" name="TekstSylinder 1">
          <a:extLst>
            <a:ext uri="{FF2B5EF4-FFF2-40B4-BE49-F238E27FC236}">
              <a16:creationId xmlns:a16="http://schemas.microsoft.com/office/drawing/2014/main" id="{D83D4E8C-35A0-4E8A-9676-CE98960583A1}"/>
            </a:ext>
          </a:extLst>
        </xdr:cNvPr>
        <xdr:cNvSpPr txBox="1"/>
      </xdr:nvSpPr>
      <xdr:spPr>
        <a:xfrm>
          <a:off x="14268450" y="5810250"/>
          <a:ext cx="249237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100" b="1"/>
            <a:t>Table to the right is active as</a:t>
          </a:r>
          <a:r>
            <a:rPr lang="nb-NO" sz="1100" b="1" baseline="0"/>
            <a:t> partner input to sheet Direct &amp; Indirect Personnal Cost</a:t>
          </a:r>
          <a:endParaRPr lang="nb-NO" sz="1100" b="1"/>
        </a:p>
      </xdr:txBody>
    </xdr:sp>
    <xdr:clientData/>
  </xdr:oneCellAnchor>
  <xdr:twoCellAnchor editAs="oneCell">
    <xdr:from>
      <xdr:col>10</xdr:col>
      <xdr:colOff>0</xdr:colOff>
      <xdr:row>2</xdr:row>
      <xdr:rowOff>0</xdr:rowOff>
    </xdr:from>
    <xdr:to>
      <xdr:col>12</xdr:col>
      <xdr:colOff>171276</xdr:colOff>
      <xdr:row>34</xdr:row>
      <xdr:rowOff>46786</xdr:rowOff>
    </xdr:to>
    <xdr:pic>
      <xdr:nvPicPr>
        <xdr:cNvPr id="3" name="Bilde 2">
          <a:extLst>
            <a:ext uri="{FF2B5EF4-FFF2-40B4-BE49-F238E27FC236}">
              <a16:creationId xmlns:a16="http://schemas.microsoft.com/office/drawing/2014/main" id="{7B145492-69BA-E87B-ED62-B9BE16C6419D}"/>
            </a:ext>
          </a:extLst>
        </xdr:cNvPr>
        <xdr:cNvPicPr>
          <a:picLocks noChangeAspect="1"/>
        </xdr:cNvPicPr>
      </xdr:nvPicPr>
      <xdr:blipFill>
        <a:blip xmlns:r="http://schemas.openxmlformats.org/officeDocument/2006/relationships" r:embed="rId1"/>
        <a:stretch>
          <a:fillRect/>
        </a:stretch>
      </xdr:blipFill>
      <xdr:spPr>
        <a:xfrm>
          <a:off x="13401675" y="1857375"/>
          <a:ext cx="1390476" cy="67142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7</xdr:col>
      <xdr:colOff>0</xdr:colOff>
      <xdr:row>15</xdr:row>
      <xdr:rowOff>0</xdr:rowOff>
    </xdr:from>
    <xdr:ext cx="2492375" cy="609013"/>
    <xdr:sp macro="" textlink="">
      <xdr:nvSpPr>
        <xdr:cNvPr id="2" name="TekstSylinder 1">
          <a:extLst>
            <a:ext uri="{FF2B5EF4-FFF2-40B4-BE49-F238E27FC236}">
              <a16:creationId xmlns:a16="http://schemas.microsoft.com/office/drawing/2014/main" id="{3C508029-B25C-4C5C-9F62-72B4BECF344B}"/>
            </a:ext>
          </a:extLst>
        </xdr:cNvPr>
        <xdr:cNvSpPr txBox="1"/>
      </xdr:nvSpPr>
      <xdr:spPr>
        <a:xfrm>
          <a:off x="7867650" y="2857500"/>
          <a:ext cx="249237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100" b="1"/>
            <a:t>Table to the left is active as</a:t>
          </a:r>
          <a:r>
            <a:rPr lang="nb-NO" sz="1100" b="1" baseline="0"/>
            <a:t> partner input to sheet Direct &amp; Indirect Personnal Cost</a:t>
          </a:r>
          <a:endParaRPr lang="nb-NO" sz="1100" b="1"/>
        </a:p>
      </xdr:txBody>
    </xdr:sp>
    <xdr:clientData/>
  </xdr:oneCellAnchor>
  <xdr:twoCellAnchor>
    <xdr:from>
      <xdr:col>8</xdr:col>
      <xdr:colOff>209550</xdr:colOff>
      <xdr:row>20</xdr:row>
      <xdr:rowOff>66675</xdr:rowOff>
    </xdr:from>
    <xdr:to>
      <xdr:col>9</xdr:col>
      <xdr:colOff>390525</xdr:colOff>
      <xdr:row>37</xdr:row>
      <xdr:rowOff>133350</xdr:rowOff>
    </xdr:to>
    <xdr:sp macro="" textlink="">
      <xdr:nvSpPr>
        <xdr:cNvPr id="3" name="Pil: ned 2">
          <a:extLst>
            <a:ext uri="{FF2B5EF4-FFF2-40B4-BE49-F238E27FC236}">
              <a16:creationId xmlns:a16="http://schemas.microsoft.com/office/drawing/2014/main" id="{06F30A38-CE2A-A7DE-AE03-19281288DD50}"/>
            </a:ext>
          </a:extLst>
        </xdr:cNvPr>
        <xdr:cNvSpPr/>
      </xdr:nvSpPr>
      <xdr:spPr>
        <a:xfrm>
          <a:off x="9610725" y="3876675"/>
          <a:ext cx="1962150" cy="33051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13</xdr:col>
      <xdr:colOff>0</xdr:colOff>
      <xdr:row>7</xdr:row>
      <xdr:rowOff>0</xdr:rowOff>
    </xdr:from>
    <xdr:ext cx="2492375" cy="609013"/>
    <xdr:sp macro="" textlink="">
      <xdr:nvSpPr>
        <xdr:cNvPr id="2" name="TekstSylinder 1">
          <a:extLst>
            <a:ext uri="{FF2B5EF4-FFF2-40B4-BE49-F238E27FC236}">
              <a16:creationId xmlns:a16="http://schemas.microsoft.com/office/drawing/2014/main" id="{3D334684-B9C1-4AEC-AA50-025BE25DAF1B}"/>
            </a:ext>
          </a:extLst>
        </xdr:cNvPr>
        <xdr:cNvSpPr txBox="1"/>
      </xdr:nvSpPr>
      <xdr:spPr>
        <a:xfrm>
          <a:off x="12239625" y="3238500"/>
          <a:ext cx="249237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100" b="1"/>
            <a:t>Table to the right is active as</a:t>
          </a:r>
          <a:r>
            <a:rPr lang="nb-NO" sz="1100" b="1" baseline="0"/>
            <a:t> partner input to sheet Direct &amp; Indirect Personnal Cost</a:t>
          </a:r>
          <a:endParaRPr lang="nb-NO" sz="1100" b="1"/>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10</xdr:col>
      <xdr:colOff>1724024</xdr:colOff>
      <xdr:row>9</xdr:row>
      <xdr:rowOff>800099</xdr:rowOff>
    </xdr:from>
    <xdr:ext cx="4495801" cy="2847975"/>
    <xdr:sp macro="" textlink="">
      <xdr:nvSpPr>
        <xdr:cNvPr id="2" name="TekstSylinder 1">
          <a:extLst>
            <a:ext uri="{FF2B5EF4-FFF2-40B4-BE49-F238E27FC236}">
              <a16:creationId xmlns:a16="http://schemas.microsoft.com/office/drawing/2014/main" id="{DA63CF52-6E9A-B7A9-580C-222B28B9AA5C}"/>
            </a:ext>
          </a:extLst>
        </xdr:cNvPr>
        <xdr:cNvSpPr txBox="1"/>
      </xdr:nvSpPr>
      <xdr:spPr>
        <a:xfrm>
          <a:off x="14963774" y="3467099"/>
          <a:ext cx="4495801" cy="2847975"/>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nb-NO" sz="1100">
              <a:solidFill>
                <a:schemeClr val="tx1"/>
              </a:solidFill>
              <a:effectLst/>
              <a:latin typeface="+mn-lt"/>
              <a:ea typeface="+mn-ea"/>
              <a:cs typeface="+mn-cs"/>
            </a:rPr>
            <a:t>1720 h/year and 143,333 h/month</a:t>
          </a:r>
        </a:p>
        <a:p>
          <a:endParaRPr lang="nb-NO"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nb-NO" sz="1100">
              <a:solidFill>
                <a:schemeClr val="tx1"/>
              </a:solidFill>
              <a:effectLst/>
              <a:latin typeface="+mn-lt"/>
              <a:ea typeface="+mn-ea"/>
              <a:cs typeface="+mn-cs"/>
            </a:rPr>
            <a:t>1) 2 PM from WP 1 to WP2. With this, we would have hit our then remaining</a:t>
          </a:r>
        </a:p>
        <a:p>
          <a:pPr marL="0" marR="0" lvl="0" indent="0" defTabSz="914400" eaLnBrk="1" fontAlgn="auto" latinLnBrk="0" hangingPunct="1">
            <a:lnSpc>
              <a:spcPct val="100000"/>
            </a:lnSpc>
            <a:spcBef>
              <a:spcPts val="0"/>
            </a:spcBef>
            <a:spcAft>
              <a:spcPts val="0"/>
            </a:spcAft>
            <a:buClrTx/>
            <a:buSzTx/>
            <a:buFontTx/>
            <a:buNone/>
            <a:tabLst/>
            <a:defRPr/>
          </a:pPr>
          <a:r>
            <a:rPr lang="nb-NO" sz="1100">
              <a:solidFill>
                <a:schemeClr val="tx1"/>
              </a:solidFill>
              <a:effectLst/>
              <a:latin typeface="+mn-lt"/>
              <a:ea typeface="+mn-ea"/>
              <a:cs typeface="+mn-cs"/>
            </a:rPr>
            <a:t>PM in WP1 sufficiently accurately and could accommodate 2 PM in WP7 </a:t>
          </a:r>
        </a:p>
        <a:p>
          <a:pPr marL="0" marR="0" lvl="0" indent="0" defTabSz="914400" eaLnBrk="1" fontAlgn="auto" latinLnBrk="0" hangingPunct="1">
            <a:lnSpc>
              <a:spcPct val="100000"/>
            </a:lnSpc>
            <a:spcBef>
              <a:spcPts val="0"/>
            </a:spcBef>
            <a:spcAft>
              <a:spcPts val="0"/>
            </a:spcAft>
            <a:buClrTx/>
            <a:buSzTx/>
            <a:buFontTx/>
            <a:buNone/>
            <a:tabLst/>
            <a:defRPr/>
          </a:pPr>
          <a:r>
            <a:rPr lang="nb-NO" sz="1100">
              <a:solidFill>
                <a:schemeClr val="tx1"/>
              </a:solidFill>
              <a:effectLst/>
              <a:latin typeface="+mn-lt"/>
              <a:ea typeface="+mn-ea"/>
              <a:cs typeface="+mn-cs"/>
            </a:rPr>
            <a:t>as agreed.</a:t>
          </a:r>
        </a:p>
        <a:p>
          <a:endParaRPr lang="nb-NO" sz="1100">
            <a:solidFill>
              <a:srgbClr val="FF0000"/>
            </a:solidFill>
          </a:endParaRPr>
        </a:p>
        <a:p>
          <a:r>
            <a:rPr lang="nb-NO" sz="1100">
              <a:solidFill>
                <a:schemeClr val="tx1"/>
              </a:solidFill>
              <a:effectLst/>
              <a:latin typeface="+mn-lt"/>
              <a:ea typeface="+mn-ea"/>
              <a:cs typeface="+mn-cs"/>
            </a:rPr>
            <a:t>2) Adjustment of the salary rate. I have not found the salary rate in the GA </a:t>
          </a:r>
        </a:p>
        <a:p>
          <a:r>
            <a:rPr lang="nb-NO" sz="1100">
              <a:solidFill>
                <a:schemeClr val="tx1"/>
              </a:solidFill>
              <a:effectLst/>
              <a:latin typeface="+mn-lt"/>
              <a:ea typeface="+mn-ea"/>
              <a:cs typeface="+mn-cs"/>
            </a:rPr>
            <a:t>directly, but come to 7,750 €/PM. However, we are currently landing more </a:t>
          </a:r>
        </a:p>
        <a:p>
          <a:r>
            <a:rPr lang="nb-NO" sz="1100">
              <a:solidFill>
                <a:schemeClr val="tx1"/>
              </a:solidFill>
              <a:effectLst/>
              <a:latin typeface="+mn-lt"/>
              <a:ea typeface="+mn-ea"/>
              <a:cs typeface="+mn-cs"/>
            </a:rPr>
            <a:t>at 8,500 €/PM. I.e. here should also be an adjustment when the salary rate </a:t>
          </a:r>
        </a:p>
        <a:p>
          <a:r>
            <a:rPr lang="nb-NO" sz="1100">
              <a:solidFill>
                <a:schemeClr val="tx1"/>
              </a:solidFill>
              <a:effectLst/>
              <a:latin typeface="+mn-lt"/>
              <a:ea typeface="+mn-ea"/>
              <a:cs typeface="+mn-cs"/>
            </a:rPr>
            <a:t>is specified. (Or do you need the information in €/hour ?).</a:t>
          </a:r>
          <a:endParaRPr lang="nb-NO" sz="1100">
            <a:solidFill>
              <a:srgbClr val="FF0000"/>
            </a:solidFill>
          </a:endParaRPr>
        </a:p>
      </xdr:txBody>
    </xdr:sp>
    <xdr:clientData/>
  </xdr:oneCellAnchor>
  <xdr:oneCellAnchor>
    <xdr:from>
      <xdr:col>11</xdr:col>
      <xdr:colOff>19050</xdr:colOff>
      <xdr:row>25</xdr:row>
      <xdr:rowOff>161925</xdr:rowOff>
    </xdr:from>
    <xdr:ext cx="4495801" cy="2847975"/>
    <xdr:sp macro="" textlink="">
      <xdr:nvSpPr>
        <xdr:cNvPr id="3" name="TekstSylinder 2">
          <a:extLst>
            <a:ext uri="{FF2B5EF4-FFF2-40B4-BE49-F238E27FC236}">
              <a16:creationId xmlns:a16="http://schemas.microsoft.com/office/drawing/2014/main" id="{FEE445F8-8916-47D1-BB6C-4A3359DFD90E}"/>
            </a:ext>
          </a:extLst>
        </xdr:cNvPr>
        <xdr:cNvSpPr txBox="1"/>
      </xdr:nvSpPr>
      <xdr:spPr>
        <a:xfrm>
          <a:off x="14982825" y="4924425"/>
          <a:ext cx="4495801" cy="2847975"/>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nb-NO" sz="1100">
              <a:solidFill>
                <a:schemeClr val="tx1"/>
              </a:solidFill>
              <a:effectLst/>
              <a:latin typeface="+mn-lt"/>
              <a:ea typeface="+mn-ea"/>
              <a:cs typeface="+mn-cs"/>
            </a:rPr>
            <a:t>Hourly rate will with 8,500 Euro /PM be 59,3 Euro</a:t>
          </a:r>
        </a:p>
        <a:p>
          <a:endParaRPr lang="nb-NO"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nb-NO" sz="1100">
              <a:solidFill>
                <a:schemeClr val="tx1"/>
              </a:solidFill>
              <a:effectLst/>
              <a:latin typeface="+mn-lt"/>
              <a:ea typeface="+mn-ea"/>
              <a:cs typeface="+mn-cs"/>
            </a:rPr>
            <a:t>2PM Cost moved from WP1 till WP2 =  17000 Euro</a:t>
          </a:r>
        </a:p>
        <a:p>
          <a:pPr marL="0" marR="0" lvl="0" indent="0" defTabSz="914400" eaLnBrk="1" fontAlgn="auto" latinLnBrk="0" hangingPunct="1">
            <a:lnSpc>
              <a:spcPct val="100000"/>
            </a:lnSpc>
            <a:spcBef>
              <a:spcPts val="0"/>
            </a:spcBef>
            <a:spcAft>
              <a:spcPts val="0"/>
            </a:spcAft>
            <a:buClrTx/>
            <a:buSzTx/>
            <a:buFontTx/>
            <a:buNone/>
            <a:tabLst/>
            <a:defRPr/>
          </a:pPr>
          <a:r>
            <a:rPr lang="nb-NO" sz="1100">
              <a:solidFill>
                <a:schemeClr val="tx1"/>
              </a:solidFill>
              <a:effectLst/>
              <a:latin typeface="+mn-lt"/>
              <a:ea typeface="+mn-ea"/>
              <a:cs typeface="+mn-cs"/>
            </a:rPr>
            <a:t>2PM Cost moved from WP1 till WP7 = 17000 Euro</a:t>
          </a:r>
        </a:p>
        <a:p>
          <a:endParaRPr lang="nb-NO" sz="1100">
            <a:solidFill>
              <a:srgbClr val="FF0000"/>
            </a:solidFill>
          </a:endParaRPr>
        </a:p>
        <a:p>
          <a:endParaRPr lang="nb-NO" sz="1100">
            <a:solidFill>
              <a:schemeClr val="tx1"/>
            </a:solidFill>
            <a:effectLst/>
            <a:latin typeface="+mn-lt"/>
            <a:ea typeface="+mn-ea"/>
            <a:cs typeface="+mn-cs"/>
          </a:endParaRPr>
        </a:p>
        <a:p>
          <a:r>
            <a:rPr lang="nb-NO" sz="1100">
              <a:solidFill>
                <a:schemeClr val="tx1"/>
              </a:solidFill>
              <a:effectLst/>
              <a:latin typeface="+mn-lt"/>
              <a:ea typeface="+mn-ea"/>
              <a:cs typeface="+mn-cs"/>
            </a:rPr>
            <a:t>For</a:t>
          </a:r>
          <a:r>
            <a:rPr lang="nb-NO" sz="1100" baseline="0">
              <a:solidFill>
                <a:schemeClr val="tx1"/>
              </a:solidFill>
              <a:effectLst/>
              <a:latin typeface="+mn-lt"/>
              <a:ea typeface="+mn-ea"/>
              <a:cs typeface="+mn-cs"/>
            </a:rPr>
            <a:t> this exercice we will use 8,500 Euro</a:t>
          </a:r>
          <a:endParaRPr lang="nb-NO" sz="1100">
            <a:solidFill>
              <a:srgbClr val="FF0000"/>
            </a:solidFill>
          </a:endParaRPr>
        </a:p>
      </xdr:txBody>
    </xdr:sp>
    <xdr:clientData/>
  </xdr:oneCellAnchor>
  <xdr:oneCellAnchor>
    <xdr:from>
      <xdr:col>11</xdr:col>
      <xdr:colOff>95250</xdr:colOff>
      <xdr:row>4</xdr:row>
      <xdr:rowOff>38100</xdr:rowOff>
    </xdr:from>
    <xdr:ext cx="2492375" cy="609013"/>
    <xdr:sp macro="" textlink="">
      <xdr:nvSpPr>
        <xdr:cNvPr id="4" name="TekstSylinder 3">
          <a:extLst>
            <a:ext uri="{FF2B5EF4-FFF2-40B4-BE49-F238E27FC236}">
              <a16:creationId xmlns:a16="http://schemas.microsoft.com/office/drawing/2014/main" id="{9784A8FB-EDE7-4E35-A547-3F9F184A0D0D}"/>
            </a:ext>
          </a:extLst>
        </xdr:cNvPr>
        <xdr:cNvSpPr txBox="1"/>
      </xdr:nvSpPr>
      <xdr:spPr>
        <a:xfrm>
          <a:off x="15059025" y="800100"/>
          <a:ext cx="249237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100" b="1"/>
            <a:t>Table to the right is active as</a:t>
          </a:r>
          <a:r>
            <a:rPr lang="nb-NO" sz="1100" b="1" baseline="0"/>
            <a:t> partner input to sheet Direct &amp; Indirect Personnal Cost</a:t>
          </a:r>
          <a:endParaRPr lang="nb-NO" sz="1100" b="1"/>
        </a:p>
      </xdr:txBody>
    </xdr:sp>
    <xdr:clientData/>
  </xdr:oneCellAnchor>
  <xdr:oneCellAnchor>
    <xdr:from>
      <xdr:col>0</xdr:col>
      <xdr:colOff>395288</xdr:colOff>
      <xdr:row>2</xdr:row>
      <xdr:rowOff>133350</xdr:rowOff>
    </xdr:from>
    <xdr:ext cx="4341813" cy="539750"/>
    <xdr:sp macro="" textlink="">
      <xdr:nvSpPr>
        <xdr:cNvPr id="7" name="TekstSylinder 6">
          <a:extLst>
            <a:ext uri="{FF2B5EF4-FFF2-40B4-BE49-F238E27FC236}">
              <a16:creationId xmlns:a16="http://schemas.microsoft.com/office/drawing/2014/main" id="{3765BF47-4407-465F-80B4-1E2DED322EC1}"/>
            </a:ext>
          </a:extLst>
        </xdr:cNvPr>
        <xdr:cNvSpPr txBox="1"/>
      </xdr:nvSpPr>
      <xdr:spPr>
        <a:xfrm>
          <a:off x="395288" y="514350"/>
          <a:ext cx="4341813" cy="539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nb-NO" sz="1400" b="1">
              <a:solidFill>
                <a:schemeClr val="accent5">
                  <a:lumMod val="75000"/>
                </a:schemeClr>
              </a:solidFill>
            </a:rPr>
            <a:t>YOUR BUDGETE NUMBERS:</a:t>
          </a:r>
          <a:r>
            <a:rPr lang="nb-NO" sz="1400" b="1" baseline="0">
              <a:solidFill>
                <a:schemeClr val="accent5">
                  <a:lumMod val="75000"/>
                </a:schemeClr>
              </a:solidFill>
            </a:rPr>
            <a:t> </a:t>
          </a:r>
          <a:r>
            <a:rPr lang="nb-NO" sz="1400" b="1">
              <a:solidFill>
                <a:schemeClr val="accent5">
                  <a:lumMod val="75000"/>
                </a:schemeClr>
              </a:solidFill>
            </a:rPr>
            <a:t>Column C</a:t>
          </a:r>
          <a:r>
            <a:rPr lang="nb-NO" sz="1400" b="1" baseline="0">
              <a:solidFill>
                <a:schemeClr val="accent5">
                  <a:lumMod val="75000"/>
                </a:schemeClr>
              </a:solidFill>
            </a:rPr>
            <a:t> is </a:t>
          </a:r>
          <a:r>
            <a:rPr lang="nb-NO" sz="1400" b="1">
              <a:solidFill>
                <a:schemeClr val="accent5">
                  <a:lumMod val="75000"/>
                </a:schemeClr>
              </a:solidFill>
            </a:rPr>
            <a:t>budgeted PM,</a:t>
          </a:r>
          <a:r>
            <a:rPr lang="nb-NO" sz="1400" b="1" baseline="0">
              <a:solidFill>
                <a:schemeClr val="accent5">
                  <a:lumMod val="75000"/>
                </a:schemeClr>
              </a:solidFill>
            </a:rPr>
            <a:t> column D is </a:t>
          </a:r>
          <a:r>
            <a:rPr lang="nb-NO" sz="1400" b="1">
              <a:solidFill>
                <a:schemeClr val="accent5">
                  <a:lumMod val="75000"/>
                </a:schemeClr>
              </a:solidFill>
            </a:rPr>
            <a:t>hours is assuming 1720 or 1 PM=143.333</a:t>
          </a:r>
        </a:p>
      </xdr:txBody>
    </xdr:sp>
    <xdr:clientData/>
  </xdr:oneCellAnchor>
  <xdr:oneCellAnchor>
    <xdr:from>
      <xdr:col>4</xdr:col>
      <xdr:colOff>47626</xdr:colOff>
      <xdr:row>0</xdr:row>
      <xdr:rowOff>39688</xdr:rowOff>
    </xdr:from>
    <xdr:ext cx="4310062" cy="593239"/>
    <xdr:sp macro="" textlink="">
      <xdr:nvSpPr>
        <xdr:cNvPr id="8" name="TekstSylinder 7">
          <a:extLst>
            <a:ext uri="{FF2B5EF4-FFF2-40B4-BE49-F238E27FC236}">
              <a16:creationId xmlns:a16="http://schemas.microsoft.com/office/drawing/2014/main" id="{EEA45535-F134-454B-AA84-42379827FA49}"/>
            </a:ext>
          </a:extLst>
        </xdr:cNvPr>
        <xdr:cNvSpPr txBox="1"/>
      </xdr:nvSpPr>
      <xdr:spPr>
        <a:xfrm>
          <a:off x="5353051" y="39688"/>
          <a:ext cx="4310062"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solidFill>
                <a:schemeClr val="accent5">
                  <a:lumMod val="75000"/>
                </a:schemeClr>
              </a:solidFill>
            </a:rPr>
            <a:t>COMPLETE COLUMN E TIL I for the AMD2</a:t>
          </a:r>
        </a:p>
        <a:p>
          <a:r>
            <a:rPr lang="nb-NO" sz="1600" b="1">
              <a:solidFill>
                <a:schemeClr val="accent5">
                  <a:lumMod val="75000"/>
                </a:schemeClr>
              </a:solidFill>
            </a:rPr>
            <a:t>According to your re-allocation and salary cost.</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2921000</xdr:colOff>
      <xdr:row>1</xdr:row>
      <xdr:rowOff>7938</xdr:rowOff>
    </xdr:from>
    <xdr:ext cx="2492375" cy="436786"/>
    <xdr:sp macro="" textlink="">
      <xdr:nvSpPr>
        <xdr:cNvPr id="2" name="TekstSylinder 1">
          <a:extLst>
            <a:ext uri="{FF2B5EF4-FFF2-40B4-BE49-F238E27FC236}">
              <a16:creationId xmlns:a16="http://schemas.microsoft.com/office/drawing/2014/main" id="{50E4689E-0C31-4B49-A3AF-27066AF3CD73}"/>
            </a:ext>
          </a:extLst>
        </xdr:cNvPr>
        <xdr:cNvSpPr txBox="1"/>
      </xdr:nvSpPr>
      <xdr:spPr>
        <a:xfrm>
          <a:off x="2921000" y="7938"/>
          <a:ext cx="249237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100" b="1"/>
            <a:t>Column C&amp;D</a:t>
          </a:r>
          <a:r>
            <a:rPr lang="nb-NO" sz="1100" b="1" baseline="0"/>
            <a:t> is for </a:t>
          </a:r>
          <a:r>
            <a:rPr lang="nb-NO" sz="1100" b="1"/>
            <a:t>MAI,  budgeted PM,</a:t>
          </a:r>
          <a:r>
            <a:rPr lang="nb-NO" sz="1100" b="1" baseline="0"/>
            <a:t> </a:t>
          </a:r>
          <a:r>
            <a:rPr lang="nb-NO" sz="1100" b="1"/>
            <a:t>hours is assuming 1720 annual hours </a:t>
          </a:r>
        </a:p>
      </xdr:txBody>
    </xdr:sp>
    <xdr:clientData/>
  </xdr:oneCellAnchor>
  <xdr:oneCellAnchor>
    <xdr:from>
      <xdr:col>4</xdr:col>
      <xdr:colOff>444500</xdr:colOff>
      <xdr:row>1</xdr:row>
      <xdr:rowOff>39688</xdr:rowOff>
    </xdr:from>
    <xdr:ext cx="2492375" cy="342786"/>
    <xdr:sp macro="" textlink="">
      <xdr:nvSpPr>
        <xdr:cNvPr id="3" name="TekstSylinder 2">
          <a:extLst>
            <a:ext uri="{FF2B5EF4-FFF2-40B4-BE49-F238E27FC236}">
              <a16:creationId xmlns:a16="http://schemas.microsoft.com/office/drawing/2014/main" id="{932EF92A-B5D2-4C4A-B151-7F6ABA5FC451}"/>
            </a:ext>
          </a:extLst>
        </xdr:cNvPr>
        <xdr:cNvSpPr txBox="1"/>
      </xdr:nvSpPr>
      <xdr:spPr>
        <a:xfrm>
          <a:off x="5749925" y="39688"/>
          <a:ext cx="24923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solidFill>
                <a:schemeClr val="accent5">
                  <a:lumMod val="75000"/>
                </a:schemeClr>
              </a:solidFill>
            </a:rPr>
            <a:t>COMPLETE COLUMN E TIL I</a:t>
          </a:r>
        </a:p>
      </xdr:txBody>
    </xdr:sp>
    <xdr:clientData/>
  </xdr:oneCellAnchor>
  <xdr:oneCellAnchor>
    <xdr:from>
      <xdr:col>11</xdr:col>
      <xdr:colOff>0</xdr:colOff>
      <xdr:row>11</xdr:row>
      <xdr:rowOff>0</xdr:rowOff>
    </xdr:from>
    <xdr:ext cx="2492375" cy="609013"/>
    <xdr:sp macro="" textlink="">
      <xdr:nvSpPr>
        <xdr:cNvPr id="4" name="TekstSylinder 3">
          <a:extLst>
            <a:ext uri="{FF2B5EF4-FFF2-40B4-BE49-F238E27FC236}">
              <a16:creationId xmlns:a16="http://schemas.microsoft.com/office/drawing/2014/main" id="{622D6794-2AD1-4C8C-9B1A-A607CA7F55BD}"/>
            </a:ext>
          </a:extLst>
        </xdr:cNvPr>
        <xdr:cNvSpPr txBox="1"/>
      </xdr:nvSpPr>
      <xdr:spPr>
        <a:xfrm>
          <a:off x="15935325" y="2095500"/>
          <a:ext cx="249237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100" b="1"/>
            <a:t>Table to the right is active as</a:t>
          </a:r>
          <a:r>
            <a:rPr lang="nb-NO" sz="1100" b="1" baseline="0"/>
            <a:t> partner input to sheet Direct &amp; Indirect Personnal Cost</a:t>
          </a:r>
          <a:endParaRPr lang="nb-NO" sz="1100" b="1"/>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13</xdr:row>
      <xdr:rowOff>0</xdr:rowOff>
    </xdr:from>
    <xdr:ext cx="2295525" cy="733425"/>
    <xdr:sp macro="" textlink="">
      <xdr:nvSpPr>
        <xdr:cNvPr id="2" name="TekstSylinder 1">
          <a:extLst>
            <a:ext uri="{FF2B5EF4-FFF2-40B4-BE49-F238E27FC236}">
              <a16:creationId xmlns:a16="http://schemas.microsoft.com/office/drawing/2014/main" id="{B109A40C-C482-4048-B778-CA8CC4203CE2}"/>
            </a:ext>
          </a:extLst>
        </xdr:cNvPr>
        <xdr:cNvSpPr txBox="1"/>
      </xdr:nvSpPr>
      <xdr:spPr>
        <a:xfrm>
          <a:off x="0" y="2600325"/>
          <a:ext cx="2295525" cy="733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nb-NO" sz="1100" b="1"/>
            <a:t>Table to the right is active as</a:t>
          </a:r>
          <a:r>
            <a:rPr lang="nb-NO" sz="1100" b="1" baseline="0"/>
            <a:t> partner input to sheet Direct &amp; Indirect Personnal Cost</a:t>
          </a:r>
          <a:endParaRPr lang="nb-NO" sz="1100" b="1"/>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25</xdr:row>
      <xdr:rowOff>0</xdr:rowOff>
    </xdr:from>
    <xdr:ext cx="2238375" cy="609013"/>
    <xdr:sp macro="" textlink="">
      <xdr:nvSpPr>
        <xdr:cNvPr id="2" name="TekstSylinder 1">
          <a:extLst>
            <a:ext uri="{FF2B5EF4-FFF2-40B4-BE49-F238E27FC236}">
              <a16:creationId xmlns:a16="http://schemas.microsoft.com/office/drawing/2014/main" id="{D24631DE-0879-4E81-993C-DCBCBA7C025F}"/>
            </a:ext>
          </a:extLst>
        </xdr:cNvPr>
        <xdr:cNvSpPr txBox="1"/>
      </xdr:nvSpPr>
      <xdr:spPr>
        <a:xfrm>
          <a:off x="0" y="4810125"/>
          <a:ext cx="223837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100" b="1"/>
            <a:t>Table to the right is active as</a:t>
          </a:r>
          <a:r>
            <a:rPr lang="nb-NO" sz="1100" b="1" baseline="0"/>
            <a:t> partner input to sheet Direct &amp; Indirect Personnal Cost</a:t>
          </a:r>
          <a:endParaRPr lang="nb-NO" sz="1100" b="1"/>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12</xdr:col>
      <xdr:colOff>0</xdr:colOff>
      <xdr:row>25</xdr:row>
      <xdr:rowOff>0</xdr:rowOff>
    </xdr:from>
    <xdr:ext cx="2492375" cy="609013"/>
    <xdr:sp macro="" textlink="">
      <xdr:nvSpPr>
        <xdr:cNvPr id="2" name="TekstSylinder 1">
          <a:extLst>
            <a:ext uri="{FF2B5EF4-FFF2-40B4-BE49-F238E27FC236}">
              <a16:creationId xmlns:a16="http://schemas.microsoft.com/office/drawing/2014/main" id="{78673ADA-C566-4815-9FC2-236B29CE5990}"/>
            </a:ext>
          </a:extLst>
        </xdr:cNvPr>
        <xdr:cNvSpPr txBox="1"/>
      </xdr:nvSpPr>
      <xdr:spPr>
        <a:xfrm>
          <a:off x="14325600" y="4810125"/>
          <a:ext cx="249237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100" b="1"/>
            <a:t>Table to the right is active as</a:t>
          </a:r>
          <a:r>
            <a:rPr lang="nb-NO" sz="1100" b="1" baseline="0"/>
            <a:t> partner input to sheet Direct &amp; Indirect Personnal Cost</a:t>
          </a:r>
          <a:endParaRPr lang="nb-NO" sz="1100" b="1"/>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14</xdr:row>
      <xdr:rowOff>0</xdr:rowOff>
    </xdr:from>
    <xdr:ext cx="2371725" cy="609013"/>
    <xdr:sp macro="" textlink="">
      <xdr:nvSpPr>
        <xdr:cNvPr id="2" name="TekstSylinder 1">
          <a:extLst>
            <a:ext uri="{FF2B5EF4-FFF2-40B4-BE49-F238E27FC236}">
              <a16:creationId xmlns:a16="http://schemas.microsoft.com/office/drawing/2014/main" id="{AC3E3DA4-8F9E-4B18-AD8F-F08F6B17236A}"/>
            </a:ext>
          </a:extLst>
        </xdr:cNvPr>
        <xdr:cNvSpPr txBox="1"/>
      </xdr:nvSpPr>
      <xdr:spPr>
        <a:xfrm>
          <a:off x="0" y="2924175"/>
          <a:ext cx="237172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100" b="1"/>
            <a:t>Table to the right is active as</a:t>
          </a:r>
          <a:r>
            <a:rPr lang="nb-NO" sz="1100" b="1" baseline="0"/>
            <a:t> partner input to sheet Direct &amp; Indirect Personnal Cost</a:t>
          </a:r>
          <a:endParaRPr lang="nb-NO" sz="1100" b="1"/>
        </a:p>
      </xdr:txBody>
    </xdr:sp>
    <xdr:clientData/>
  </xdr:oneCellAnchor>
</xdr:wsDr>
</file>

<file path=xl/drawings/drawing15.xml><?xml version="1.0" encoding="utf-8"?>
<xdr:wsDr xmlns:xdr="http://schemas.openxmlformats.org/drawingml/2006/spreadsheetDrawing" xmlns:a="http://schemas.openxmlformats.org/drawingml/2006/main">
  <xdr:twoCellAnchor>
    <xdr:from>
      <xdr:col>11</xdr:col>
      <xdr:colOff>209550</xdr:colOff>
      <xdr:row>34</xdr:row>
      <xdr:rowOff>85725</xdr:rowOff>
    </xdr:from>
    <xdr:to>
      <xdr:col>14</xdr:col>
      <xdr:colOff>295275</xdr:colOff>
      <xdr:row>47</xdr:row>
      <xdr:rowOff>95250</xdr:rowOff>
    </xdr:to>
    <xdr:sp macro="" textlink="">
      <xdr:nvSpPr>
        <xdr:cNvPr id="2" name="Pil: ned 1">
          <a:extLst>
            <a:ext uri="{FF2B5EF4-FFF2-40B4-BE49-F238E27FC236}">
              <a16:creationId xmlns:a16="http://schemas.microsoft.com/office/drawing/2014/main" id="{C6EBF805-0C15-6879-1873-B33FBB5F304D}"/>
            </a:ext>
          </a:extLst>
        </xdr:cNvPr>
        <xdr:cNvSpPr/>
      </xdr:nvSpPr>
      <xdr:spPr>
        <a:xfrm>
          <a:off x="11563350" y="6610350"/>
          <a:ext cx="1914525" cy="248602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oneCellAnchor>
    <xdr:from>
      <xdr:col>12</xdr:col>
      <xdr:colOff>19050</xdr:colOff>
      <xdr:row>32</xdr:row>
      <xdr:rowOff>66675</xdr:rowOff>
    </xdr:from>
    <xdr:ext cx="1116396" cy="342786"/>
    <xdr:sp macro="" textlink="">
      <xdr:nvSpPr>
        <xdr:cNvPr id="3" name="TekstSylinder 2">
          <a:extLst>
            <a:ext uri="{FF2B5EF4-FFF2-40B4-BE49-F238E27FC236}">
              <a16:creationId xmlns:a16="http://schemas.microsoft.com/office/drawing/2014/main" id="{A64383AE-9C93-E6C3-D868-B63CF94997BB}"/>
            </a:ext>
          </a:extLst>
        </xdr:cNvPr>
        <xdr:cNvSpPr txBox="1"/>
      </xdr:nvSpPr>
      <xdr:spPr>
        <a:xfrm>
          <a:off x="11982450" y="6210300"/>
          <a:ext cx="111639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nb-NO" sz="1600" b="1"/>
            <a:t>See below.</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10</xdr:col>
      <xdr:colOff>0</xdr:colOff>
      <xdr:row>34</xdr:row>
      <xdr:rowOff>0</xdr:rowOff>
    </xdr:from>
    <xdr:ext cx="2492375" cy="609013"/>
    <xdr:sp macro="" textlink="">
      <xdr:nvSpPr>
        <xdr:cNvPr id="2" name="TekstSylinder 1">
          <a:extLst>
            <a:ext uri="{FF2B5EF4-FFF2-40B4-BE49-F238E27FC236}">
              <a16:creationId xmlns:a16="http://schemas.microsoft.com/office/drawing/2014/main" id="{D481C6A4-0C79-462B-B8B1-26F30245DA4C}"/>
            </a:ext>
          </a:extLst>
        </xdr:cNvPr>
        <xdr:cNvSpPr txBox="1"/>
      </xdr:nvSpPr>
      <xdr:spPr>
        <a:xfrm>
          <a:off x="10220325" y="6524625"/>
          <a:ext cx="249237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100" b="1"/>
            <a:t>Table to the right is active as</a:t>
          </a:r>
          <a:r>
            <a:rPr lang="nb-NO" sz="1100" b="1" baseline="0"/>
            <a:t> partner input to sheet Direct &amp; Indirect Personnal Cost</a:t>
          </a:r>
          <a:endParaRPr lang="nb-NO" sz="1100" b="1"/>
        </a:p>
      </xdr:txBody>
    </xdr:sp>
    <xdr:clientData/>
  </xdr:oneCellAnchor>
  <xdr:oneCellAnchor>
    <xdr:from>
      <xdr:col>0</xdr:col>
      <xdr:colOff>1071563</xdr:colOff>
      <xdr:row>48</xdr:row>
      <xdr:rowOff>7938</xdr:rowOff>
    </xdr:from>
    <xdr:ext cx="4341813" cy="539750"/>
    <xdr:sp macro="" textlink="">
      <xdr:nvSpPr>
        <xdr:cNvPr id="3" name="TekstSylinder 2">
          <a:extLst>
            <a:ext uri="{FF2B5EF4-FFF2-40B4-BE49-F238E27FC236}">
              <a16:creationId xmlns:a16="http://schemas.microsoft.com/office/drawing/2014/main" id="{D22A6292-27A7-48DF-B508-3499E11A7881}"/>
            </a:ext>
          </a:extLst>
        </xdr:cNvPr>
        <xdr:cNvSpPr txBox="1"/>
      </xdr:nvSpPr>
      <xdr:spPr>
        <a:xfrm>
          <a:off x="1071563" y="7938"/>
          <a:ext cx="4341813" cy="539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nb-NO" sz="1400" b="1">
              <a:solidFill>
                <a:schemeClr val="accent5">
                  <a:lumMod val="75000"/>
                </a:schemeClr>
              </a:solidFill>
            </a:rPr>
            <a:t>YOUR BUDGETE NUMBERS:</a:t>
          </a:r>
          <a:r>
            <a:rPr lang="nb-NO" sz="1400" b="1" baseline="0">
              <a:solidFill>
                <a:schemeClr val="accent5">
                  <a:lumMod val="75000"/>
                </a:schemeClr>
              </a:solidFill>
            </a:rPr>
            <a:t> </a:t>
          </a:r>
          <a:r>
            <a:rPr lang="nb-NO" sz="1400" b="1">
              <a:solidFill>
                <a:schemeClr val="accent5">
                  <a:lumMod val="75000"/>
                </a:schemeClr>
              </a:solidFill>
            </a:rPr>
            <a:t>Column C</a:t>
          </a:r>
          <a:r>
            <a:rPr lang="nb-NO" sz="1400" b="1" baseline="0">
              <a:solidFill>
                <a:schemeClr val="accent5">
                  <a:lumMod val="75000"/>
                </a:schemeClr>
              </a:solidFill>
            </a:rPr>
            <a:t> is </a:t>
          </a:r>
          <a:r>
            <a:rPr lang="nb-NO" sz="1400" b="1">
              <a:solidFill>
                <a:schemeClr val="accent5">
                  <a:lumMod val="75000"/>
                </a:schemeClr>
              </a:solidFill>
            </a:rPr>
            <a:t>budgeted PM,</a:t>
          </a:r>
          <a:r>
            <a:rPr lang="nb-NO" sz="1400" b="1" baseline="0">
              <a:solidFill>
                <a:schemeClr val="accent5">
                  <a:lumMod val="75000"/>
                </a:schemeClr>
              </a:solidFill>
            </a:rPr>
            <a:t> column D is </a:t>
          </a:r>
          <a:r>
            <a:rPr lang="nb-NO" sz="1400" b="1">
              <a:solidFill>
                <a:schemeClr val="accent5">
                  <a:lumMod val="75000"/>
                </a:schemeClr>
              </a:solidFill>
            </a:rPr>
            <a:t>hours is assuming 1720 or 1 PM=143.333</a:t>
          </a:r>
        </a:p>
      </xdr:txBody>
    </xdr:sp>
    <xdr:clientData/>
  </xdr:oneCellAnchor>
  <xdr:oneCellAnchor>
    <xdr:from>
      <xdr:col>4</xdr:col>
      <xdr:colOff>47626</xdr:colOff>
      <xdr:row>48</xdr:row>
      <xdr:rowOff>39688</xdr:rowOff>
    </xdr:from>
    <xdr:ext cx="4310062" cy="593239"/>
    <xdr:sp macro="" textlink="">
      <xdr:nvSpPr>
        <xdr:cNvPr id="4" name="TekstSylinder 3">
          <a:extLst>
            <a:ext uri="{FF2B5EF4-FFF2-40B4-BE49-F238E27FC236}">
              <a16:creationId xmlns:a16="http://schemas.microsoft.com/office/drawing/2014/main" id="{93422783-320B-42B0-BD11-6054757384B3}"/>
            </a:ext>
          </a:extLst>
        </xdr:cNvPr>
        <xdr:cNvSpPr txBox="1"/>
      </xdr:nvSpPr>
      <xdr:spPr>
        <a:xfrm>
          <a:off x="5353051" y="39688"/>
          <a:ext cx="4310062"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b-NO" sz="1600" b="1">
              <a:solidFill>
                <a:schemeClr val="accent5">
                  <a:lumMod val="75000"/>
                </a:schemeClr>
              </a:solidFill>
            </a:rPr>
            <a:t>COMPLETE COLUMN E TIL I for the AMD2</a:t>
          </a:r>
        </a:p>
        <a:p>
          <a:r>
            <a:rPr lang="nb-NO" sz="1600" b="1">
              <a:solidFill>
                <a:schemeClr val="accent5">
                  <a:lumMod val="75000"/>
                </a:schemeClr>
              </a:solidFill>
            </a:rPr>
            <a:t>According to your re-allocation and salary cost.</a:t>
          </a:r>
        </a:p>
      </xdr:txBody>
    </xdr:sp>
    <xdr:clientData/>
  </xdr:oneCellAnchor>
  <xdr:twoCellAnchor>
    <xdr:from>
      <xdr:col>8</xdr:col>
      <xdr:colOff>57150</xdr:colOff>
      <xdr:row>28</xdr:row>
      <xdr:rowOff>9525</xdr:rowOff>
    </xdr:from>
    <xdr:to>
      <xdr:col>9</xdr:col>
      <xdr:colOff>209550</xdr:colOff>
      <xdr:row>45</xdr:row>
      <xdr:rowOff>123825</xdr:rowOff>
    </xdr:to>
    <xdr:sp macro="" textlink="">
      <xdr:nvSpPr>
        <xdr:cNvPr id="5" name="Pil: ned 4">
          <a:extLst>
            <a:ext uri="{FF2B5EF4-FFF2-40B4-BE49-F238E27FC236}">
              <a16:creationId xmlns:a16="http://schemas.microsoft.com/office/drawing/2014/main" id="{91CADC07-68F0-A9CE-FA84-4906B355E8D0}"/>
            </a:ext>
          </a:extLst>
        </xdr:cNvPr>
        <xdr:cNvSpPr/>
      </xdr:nvSpPr>
      <xdr:spPr>
        <a:xfrm>
          <a:off x="10115550" y="5391150"/>
          <a:ext cx="1571625" cy="336232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2" xr16:uid="{71F7BD3B-62E6-49F8-9EDA-DD46F0767236}" autoFormatId="16" applyNumberFormats="0" applyBorderFormats="0" applyFontFormats="0" applyPatternFormats="0" applyAlignmentFormats="0" applyWidthHeightFormats="0">
  <queryTableRefresh nextId="3">
    <queryTableFields count="2">
      <queryTableField id="1" name="Partner" tableColumnId="1"/>
      <queryTableField id="2" name="Used of Budget"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12615B-4E60-4CC6-895E-B5E03F12638C}" name="Tabell1__2" displayName="Tabell1__2" ref="A1:B14" tableType="queryTable" totalsRowShown="0">
  <autoFilter ref="A1:B14" xr:uid="{9E12615B-4E60-4CC6-895E-B5E03F12638C}"/>
  <tableColumns count="2">
    <tableColumn id="1" xr3:uid="{115BB692-F6B5-42FE-9841-9C263432DB80}" uniqueName="1" name="Partner" queryTableFieldId="1" dataDxfId="1"/>
    <tableColumn id="2" xr3:uid="{DB33BC5A-36ED-474E-B907-6E6B1FE0BC1D}" uniqueName="2" name="Used of Budget"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3E90-391C-490E-8D08-A5D86F312D96}">
  <dimension ref="A1:B14"/>
  <sheetViews>
    <sheetView workbookViewId="0">
      <selection activeCell="B21" sqref="B21"/>
    </sheetView>
  </sheetViews>
  <sheetFormatPr baseColWidth="10" defaultRowHeight="15" x14ac:dyDescent="0.25"/>
  <cols>
    <col min="1" max="1" width="9.85546875" bestFit="1" customWidth="1"/>
    <col min="2" max="2" width="16.85546875" style="103" bestFit="1" customWidth="1"/>
  </cols>
  <sheetData>
    <row r="1" spans="1:2" x14ac:dyDescent="0.25">
      <c r="A1" t="s">
        <v>184</v>
      </c>
      <c r="B1" s="103" t="s">
        <v>151</v>
      </c>
    </row>
    <row r="2" spans="1:2" x14ac:dyDescent="0.25">
      <c r="A2" t="s">
        <v>183</v>
      </c>
      <c r="B2" s="103">
        <v>20.498142561165448</v>
      </c>
    </row>
    <row r="3" spans="1:2" x14ac:dyDescent="0.25">
      <c r="A3" t="s">
        <v>150</v>
      </c>
      <c r="B3" s="103">
        <v>29.334354998345276</v>
      </c>
    </row>
    <row r="4" spans="1:2" x14ac:dyDescent="0.25">
      <c r="A4" t="s">
        <v>152</v>
      </c>
      <c r="B4" s="103">
        <v>22.228007738846664</v>
      </c>
    </row>
    <row r="5" spans="1:2" x14ac:dyDescent="0.25">
      <c r="A5" t="s">
        <v>153</v>
      </c>
      <c r="B5" s="103">
        <v>23.329145699636708</v>
      </c>
    </row>
    <row r="6" spans="1:2" x14ac:dyDescent="0.25">
      <c r="A6" t="s">
        <v>154</v>
      </c>
      <c r="B6" s="103">
        <v>15.344396423175166</v>
      </c>
    </row>
    <row r="7" spans="1:2" x14ac:dyDescent="0.25">
      <c r="A7" t="s">
        <v>155</v>
      </c>
      <c r="B7" s="103">
        <v>10.421054317331071</v>
      </c>
    </row>
    <row r="8" spans="1:2" x14ac:dyDescent="0.25">
      <c r="A8" t="s">
        <v>156</v>
      </c>
      <c r="B8" s="103">
        <v>7.6098033931396944</v>
      </c>
    </row>
    <row r="9" spans="1:2" x14ac:dyDescent="0.25">
      <c r="A9" t="s">
        <v>157</v>
      </c>
      <c r="B9" s="103">
        <v>6.7956784040770524</v>
      </c>
    </row>
    <row r="10" spans="1:2" x14ac:dyDescent="0.25">
      <c r="A10" t="s">
        <v>112</v>
      </c>
      <c r="B10" s="103">
        <v>22.468177134431507</v>
      </c>
    </row>
    <row r="11" spans="1:2" x14ac:dyDescent="0.25">
      <c r="A11" t="s">
        <v>158</v>
      </c>
      <c r="B11" s="103">
        <v>45.780784583620104</v>
      </c>
    </row>
    <row r="12" spans="1:2" x14ac:dyDescent="0.25">
      <c r="A12" t="s">
        <v>159</v>
      </c>
      <c r="B12" s="103">
        <v>23.913982717989004</v>
      </c>
    </row>
    <row r="13" spans="1:2" x14ac:dyDescent="0.25">
      <c r="A13" t="s">
        <v>125</v>
      </c>
      <c r="B13" s="103">
        <v>11.289715150227325</v>
      </c>
    </row>
    <row r="14" spans="1:2" x14ac:dyDescent="0.25">
      <c r="A14" t="s">
        <v>160</v>
      </c>
      <c r="B14" s="103">
        <v>33.117714670433635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0E239-CDC5-49C2-80E9-82C3DD67B32B}">
  <dimension ref="B6:S117"/>
  <sheetViews>
    <sheetView topLeftCell="B1" workbookViewId="0">
      <selection activeCell="Q35" sqref="Q35"/>
    </sheetView>
  </sheetViews>
  <sheetFormatPr baseColWidth="10" defaultRowHeight="15" x14ac:dyDescent="0.25"/>
  <cols>
    <col min="19" max="19" width="16.7109375" style="6" customWidth="1"/>
  </cols>
  <sheetData>
    <row r="6" spans="14:14" ht="15.75" thickBot="1" x14ac:dyDescent="0.3">
      <c r="N6" s="186"/>
    </row>
    <row r="7" spans="14:14" ht="15.75" thickTop="1" x14ac:dyDescent="0.25"/>
    <row r="15" spans="14:14" ht="15.75" x14ac:dyDescent="0.25">
      <c r="N15" s="187"/>
    </row>
    <row r="23" spans="2:5" ht="30.75" thickBot="1" x14ac:dyDescent="0.3">
      <c r="B23" s="179" t="s">
        <v>142</v>
      </c>
      <c r="C23" s="171" t="s">
        <v>137</v>
      </c>
      <c r="D23" s="180" t="s">
        <v>135</v>
      </c>
    </row>
    <row r="24" spans="2:5" ht="15.75" thickTop="1" x14ac:dyDescent="0.25">
      <c r="B24" s="185" t="s">
        <v>8</v>
      </c>
      <c r="C24" s="181">
        <f>SUM('Direct &amp;Indirect Personnal Cost'!C7)</f>
        <v>104301.99252200076</v>
      </c>
      <c r="D24" s="182">
        <f>SUM('Direct &amp;Indirect Personnal Cost'!E7)</f>
        <v>226991.17</v>
      </c>
      <c r="E24" s="168"/>
    </row>
    <row r="25" spans="2:5" x14ac:dyDescent="0.25">
      <c r="B25" s="175" t="s">
        <v>10</v>
      </c>
      <c r="C25" s="181">
        <f>SUM('Direct &amp;Indirect Personnal Cost'!C8)</f>
        <v>41306.529978672996</v>
      </c>
      <c r="D25" s="182">
        <f>SUM('Direct &amp;Indirect Personnal Cost'!E8)</f>
        <v>88440.739999999991</v>
      </c>
      <c r="E25" s="168"/>
    </row>
    <row r="26" spans="2:5" x14ac:dyDescent="0.25">
      <c r="B26" s="175" t="s">
        <v>12</v>
      </c>
      <c r="C26" s="181">
        <f>SUM('Direct &amp;Indirect Personnal Cost'!C9)</f>
        <v>29037.41897924646</v>
      </c>
      <c r="D26" s="182">
        <f>SUM('Direct &amp;Indirect Personnal Cost'!E9)</f>
        <v>53116.01</v>
      </c>
      <c r="E26" s="168"/>
    </row>
    <row r="27" spans="2:5" x14ac:dyDescent="0.25">
      <c r="B27" s="176" t="s">
        <v>14</v>
      </c>
      <c r="C27" s="183">
        <f>SUM('Direct &amp;Indirect Personnal Cost'!C10)</f>
        <v>30982.771064081287</v>
      </c>
      <c r="D27" s="184">
        <f>SUM('Direct &amp;Indirect Personnal Cost'!E10)</f>
        <v>85434.42</v>
      </c>
      <c r="E27" s="168"/>
    </row>
    <row r="38" spans="2:4" ht="30.75" thickBot="1" x14ac:dyDescent="0.3">
      <c r="B38" s="170" t="s">
        <v>142</v>
      </c>
      <c r="C38" s="171" t="s">
        <v>137</v>
      </c>
      <c r="D38" s="172" t="s">
        <v>135</v>
      </c>
    </row>
    <row r="39" spans="2:4" ht="15.75" thickTop="1" x14ac:dyDescent="0.25">
      <c r="B39" s="173" t="s">
        <v>16</v>
      </c>
      <c r="C39" s="111">
        <f>SUM('Direct &amp;Indirect Personnal Cost'!C11)</f>
        <v>67811.890929632689</v>
      </c>
      <c r="D39" s="174">
        <f>SUM('Direct &amp;Indirect Personnal Cost'!E11)</f>
        <v>153493.81</v>
      </c>
    </row>
    <row r="40" spans="2:4" x14ac:dyDescent="0.25">
      <c r="B40" s="175" t="s">
        <v>18</v>
      </c>
      <c r="C40" s="111">
        <f>SUM('Direct &amp;Indirect Personnal Cost'!C12)</f>
        <v>19605.458747697416</v>
      </c>
      <c r="D40" s="174">
        <f>SUM('Direct &amp;Indirect Personnal Cost'!E12)</f>
        <v>67887.510000000009</v>
      </c>
    </row>
    <row r="41" spans="2:4" x14ac:dyDescent="0.25">
      <c r="B41" s="175" t="s">
        <v>20</v>
      </c>
      <c r="C41" s="111">
        <f>SUM('Direct &amp;Indirect Personnal Cost'!C13)</f>
        <v>5204.3415723569178</v>
      </c>
      <c r="D41" s="174">
        <f>SUM('Direct &amp;Indirect Personnal Cost'!E13)</f>
        <v>3343.75</v>
      </c>
    </row>
    <row r="42" spans="2:4" x14ac:dyDescent="0.25">
      <c r="B42" s="175" t="s">
        <v>22</v>
      </c>
      <c r="C42" s="111">
        <f>SUM('Direct &amp;Indirect Personnal Cost'!C14)</f>
        <v>10794.029411952335</v>
      </c>
      <c r="D42" s="174">
        <f>SUM('Direct &amp;Indirect Personnal Cost'!E14)</f>
        <v>12525</v>
      </c>
    </row>
    <row r="43" spans="2:4" x14ac:dyDescent="0.25">
      <c r="B43" s="176" t="s">
        <v>24</v>
      </c>
      <c r="C43" s="177">
        <f>SUM('Direct &amp;Indirect Personnal Cost'!C15)</f>
        <v>32291.646666944205</v>
      </c>
      <c r="D43" s="178">
        <f>SUM('Direct &amp;Indirect Personnal Cost'!E15)</f>
        <v>69737.55</v>
      </c>
    </row>
    <row r="47" spans="2:4" x14ac:dyDescent="0.25">
      <c r="B47" s="169"/>
    </row>
    <row r="53" spans="2:4" ht="30.75" thickBot="1" x14ac:dyDescent="0.3">
      <c r="B53" s="170" t="s">
        <v>142</v>
      </c>
      <c r="C53" s="171" t="s">
        <v>137</v>
      </c>
      <c r="D53" s="172" t="s">
        <v>135</v>
      </c>
    </row>
    <row r="54" spans="2:4" ht="15.75" thickTop="1" x14ac:dyDescent="0.25">
      <c r="B54" s="173" t="s">
        <v>26</v>
      </c>
      <c r="C54" s="111">
        <f>SUM('Direct &amp;Indirect Personnal Cost'!C16)</f>
        <v>84177.461563493547</v>
      </c>
      <c r="D54" s="174">
        <f>SUM('Direct &amp;Indirect Personnal Cost'!E16)</f>
        <v>3434125.1199999996</v>
      </c>
    </row>
    <row r="55" spans="2:4" x14ac:dyDescent="0.25">
      <c r="B55" s="175" t="s">
        <v>28</v>
      </c>
      <c r="C55" s="111">
        <f>SUM('Direct &amp;Indirect Personnal Cost'!C17)</f>
        <v>47109.119660916309</v>
      </c>
      <c r="D55" s="174">
        <f>SUM('Direct &amp;Indirect Personnal Cost'!E17)</f>
        <v>68475.03</v>
      </c>
    </row>
    <row r="56" spans="2:4" x14ac:dyDescent="0.25">
      <c r="B56" s="175" t="s">
        <v>30</v>
      </c>
      <c r="C56" s="111">
        <f>SUM('Direct &amp;Indirect Personnal Cost'!C18)</f>
        <v>14557.760265077239</v>
      </c>
      <c r="D56" s="174">
        <f>SUM('Direct &amp;Indirect Personnal Cost'!E18)</f>
        <v>18562.5</v>
      </c>
    </row>
    <row r="57" spans="2:4" x14ac:dyDescent="0.25">
      <c r="B57" s="175" t="s">
        <v>32</v>
      </c>
      <c r="C57" s="111">
        <f>SUM('Direct &amp;Indirect Personnal Cost'!C19)</f>
        <v>15885.025000000001</v>
      </c>
      <c r="D57" s="174">
        <f>SUM('Direct &amp;Indirect Personnal Cost'!E19)</f>
        <v>121637.57</v>
      </c>
    </row>
    <row r="58" spans="2:4" x14ac:dyDescent="0.25">
      <c r="B58" s="175" t="s">
        <v>34</v>
      </c>
      <c r="C58" s="111">
        <f>SUM('Direct &amp;Indirect Personnal Cost'!C20)</f>
        <v>0</v>
      </c>
      <c r="D58" s="174">
        <f>SUM('Direct &amp;Indirect Personnal Cost'!E20)</f>
        <v>26750</v>
      </c>
    </row>
    <row r="59" spans="2:4" x14ac:dyDescent="0.25">
      <c r="B59" s="175" t="s">
        <v>36</v>
      </c>
      <c r="C59" s="111">
        <f>SUM('Direct &amp;Indirect Personnal Cost'!C21)</f>
        <v>0</v>
      </c>
      <c r="D59" s="174">
        <f>SUM('Direct &amp;Indirect Personnal Cost'!E21)</f>
        <v>3026750</v>
      </c>
    </row>
    <row r="60" spans="2:4" x14ac:dyDescent="0.25">
      <c r="B60" s="176" t="s">
        <v>38</v>
      </c>
      <c r="C60" s="177">
        <f>SUM('Direct &amp;Indirect Personnal Cost'!C22)</f>
        <v>6187.5</v>
      </c>
      <c r="D60" s="178">
        <f>SUM('Direct &amp;Indirect Personnal Cost'!E22)</f>
        <v>171950.02000000002</v>
      </c>
    </row>
    <row r="68" spans="2:4" ht="30.75" thickBot="1" x14ac:dyDescent="0.3">
      <c r="B68" s="170" t="s">
        <v>142</v>
      </c>
      <c r="C68" s="171" t="s">
        <v>137</v>
      </c>
      <c r="D68" s="172" t="s">
        <v>135</v>
      </c>
    </row>
    <row r="69" spans="2:4" ht="15.75" thickTop="1" x14ac:dyDescent="0.25">
      <c r="B69" s="173" t="s">
        <v>40</v>
      </c>
      <c r="C69" s="111">
        <f>SUM('Direct &amp;Indirect Personnal Cost'!C23)</f>
        <v>21789.228262094621</v>
      </c>
      <c r="D69" s="174">
        <f>SUM('Direct &amp;Indirect Personnal Cost'!E23)</f>
        <v>701740.32</v>
      </c>
    </row>
    <row r="70" spans="2:4" x14ac:dyDescent="0.25">
      <c r="B70" s="175" t="s">
        <v>42</v>
      </c>
      <c r="C70" s="111">
        <f>SUM('Direct &amp;Indirect Personnal Cost'!C24)</f>
        <v>8330.8886002439158</v>
      </c>
      <c r="D70" s="174">
        <f>SUM('Direct &amp;Indirect Personnal Cost'!E24)</f>
        <v>24218.75</v>
      </c>
    </row>
    <row r="71" spans="2:4" x14ac:dyDescent="0.25">
      <c r="B71" s="175" t="s">
        <v>44</v>
      </c>
      <c r="C71" s="111">
        <f>SUM('Direct &amp;Indirect Personnal Cost'!C25)</f>
        <v>5322.8375000000005</v>
      </c>
      <c r="D71" s="174">
        <f>SUM('Direct &amp;Indirect Personnal Cost'!E25)</f>
        <v>170550.08</v>
      </c>
    </row>
    <row r="72" spans="2:4" x14ac:dyDescent="0.25">
      <c r="B72" s="175" t="s">
        <v>46</v>
      </c>
      <c r="C72" s="111">
        <f>SUM('Direct &amp;Indirect Personnal Cost'!C26)</f>
        <v>261.39999999999998</v>
      </c>
      <c r="D72" s="174">
        <f>SUM('Direct &amp;Indirect Personnal Cost'!E26)</f>
        <v>113875.04999999999</v>
      </c>
    </row>
    <row r="73" spans="2:4" x14ac:dyDescent="0.25">
      <c r="B73" s="175" t="s">
        <v>48</v>
      </c>
      <c r="C73" s="111">
        <f>SUM('Direct &amp;Indirect Personnal Cost'!C27)</f>
        <v>0</v>
      </c>
      <c r="D73" s="174">
        <f>SUM('Direct &amp;Indirect Personnal Cost'!E27)</f>
        <v>70268.81</v>
      </c>
    </row>
    <row r="74" spans="2:4" x14ac:dyDescent="0.25">
      <c r="B74" s="175" t="s">
        <v>50</v>
      </c>
      <c r="C74" s="111">
        <f>SUM('Direct &amp;Indirect Personnal Cost'!C28)</f>
        <v>359.9074800325219</v>
      </c>
      <c r="D74" s="174">
        <f>SUM('Direct &amp;Indirect Personnal Cost'!E28)</f>
        <v>114196.76</v>
      </c>
    </row>
    <row r="75" spans="2:4" x14ac:dyDescent="0.25">
      <c r="B75" s="175" t="s">
        <v>52</v>
      </c>
      <c r="C75" s="111">
        <f>SUM('Direct &amp;Indirect Personnal Cost'!C29)</f>
        <v>230.55500000000001</v>
      </c>
      <c r="D75" s="174">
        <f>SUM('Direct &amp;Indirect Personnal Cost'!E29)</f>
        <v>6925</v>
      </c>
    </row>
    <row r="76" spans="2:4" x14ac:dyDescent="0.25">
      <c r="B76" s="175" t="s">
        <v>54</v>
      </c>
      <c r="C76" s="111">
        <f>SUM('Direct &amp;Indirect Personnal Cost'!C30)</f>
        <v>798.07499999999993</v>
      </c>
      <c r="D76" s="174">
        <f>SUM('Direct &amp;Indirect Personnal Cost'!E30)</f>
        <v>54018.33</v>
      </c>
    </row>
    <row r="77" spans="2:4" x14ac:dyDescent="0.25">
      <c r="B77" s="175" t="s">
        <v>56</v>
      </c>
      <c r="C77" s="111">
        <f>SUM('Direct &amp;Indirect Personnal Cost'!C31)</f>
        <v>595.19468181818183</v>
      </c>
      <c r="D77" s="174">
        <f>SUM('Direct &amp;Indirect Personnal Cost'!E31)</f>
        <v>53087.47</v>
      </c>
    </row>
    <row r="78" spans="2:4" x14ac:dyDescent="0.25">
      <c r="B78" s="176" t="s">
        <v>58</v>
      </c>
      <c r="C78" s="177">
        <f>SUM('Direct &amp;Indirect Personnal Cost'!C32)</f>
        <v>5748.0500000000011</v>
      </c>
      <c r="D78" s="178">
        <f>SUM('Direct &amp;Indirect Personnal Cost'!E32)</f>
        <v>94600.07</v>
      </c>
    </row>
    <row r="83" spans="2:4" ht="30.75" thickBot="1" x14ac:dyDescent="0.3">
      <c r="B83" s="179" t="s">
        <v>142</v>
      </c>
      <c r="C83" s="171" t="s">
        <v>137</v>
      </c>
      <c r="D83" s="180" t="s">
        <v>135</v>
      </c>
    </row>
    <row r="84" spans="2:4" ht="15.75" thickTop="1" x14ac:dyDescent="0.25">
      <c r="B84" s="185" t="s">
        <v>60</v>
      </c>
      <c r="C84" s="181">
        <f>SUM('Direct &amp;Indirect Personnal Cost'!C33)</f>
        <v>42546.324297708605</v>
      </c>
      <c r="D84" s="182">
        <f>SUM('Direct &amp;Indirect Personnal Cost'!E33)</f>
        <v>148095.22999999998</v>
      </c>
    </row>
    <row r="85" spans="2:4" x14ac:dyDescent="0.25">
      <c r="B85" s="175" t="s">
        <v>62</v>
      </c>
      <c r="C85" s="181">
        <f>SUM('Direct &amp;Indirect Personnal Cost'!C34)</f>
        <v>40961.187400208597</v>
      </c>
      <c r="D85" s="182">
        <f>SUM('Direct &amp;Indirect Personnal Cost'!E34)</f>
        <v>55221.349999999991</v>
      </c>
    </row>
    <row r="86" spans="2:4" x14ac:dyDescent="0.25">
      <c r="B86" s="175" t="s">
        <v>64</v>
      </c>
      <c r="C86" s="181">
        <f>SUM('Direct &amp;Indirect Personnal Cost'!C35)</f>
        <v>771.5</v>
      </c>
      <c r="D86" s="182">
        <f>SUM('Direct &amp;Indirect Personnal Cost'!E35)</f>
        <v>55221.349999999991</v>
      </c>
    </row>
    <row r="87" spans="2:4" x14ac:dyDescent="0.25">
      <c r="B87" s="176" t="s">
        <v>143</v>
      </c>
      <c r="C87" s="183">
        <f>SUM('Direct &amp;Indirect Personnal Cost'!C36)</f>
        <v>796.20624999999995</v>
      </c>
      <c r="D87" s="184">
        <f>SUM('Direct &amp;Indirect Personnal Cost'!E36)</f>
        <v>37652.530000000006</v>
      </c>
    </row>
    <row r="98" spans="2:4" ht="30.75" thickBot="1" x14ac:dyDescent="0.3">
      <c r="B98" s="179" t="s">
        <v>142</v>
      </c>
      <c r="C98" s="171" t="s">
        <v>137</v>
      </c>
      <c r="D98" s="180" t="s">
        <v>135</v>
      </c>
    </row>
    <row r="99" spans="2:4" ht="15.75" thickTop="1" x14ac:dyDescent="0.25">
      <c r="B99" s="185" t="s">
        <v>68</v>
      </c>
      <c r="C99" s="181">
        <f>SUM('Direct &amp;Indirect Personnal Cost'!C37)</f>
        <v>56406.840370897713</v>
      </c>
      <c r="D99" s="182">
        <f>SUM('Direct &amp;Indirect Personnal Cost'!E37)</f>
        <v>231218.95</v>
      </c>
    </row>
    <row r="100" spans="2:4" x14ac:dyDescent="0.25">
      <c r="B100" s="175" t="s">
        <v>70</v>
      </c>
      <c r="C100" s="181">
        <f>SUM('Direct &amp;Indirect Personnal Cost'!C38)</f>
        <v>39381.405002314139</v>
      </c>
      <c r="D100" s="182">
        <f>SUM('Direct &amp;Indirect Personnal Cost'!E38)</f>
        <v>55825.06</v>
      </c>
    </row>
    <row r="101" spans="2:4" x14ac:dyDescent="0.25">
      <c r="B101" s="175" t="s">
        <v>72</v>
      </c>
      <c r="C101" s="181">
        <f>SUM('Direct &amp;Indirect Personnal Cost'!C39)</f>
        <v>10860.063160833579</v>
      </c>
      <c r="D101" s="182">
        <f>SUM('Direct &amp;Indirect Personnal Cost'!E39)</f>
        <v>108168.84</v>
      </c>
    </row>
    <row r="102" spans="2:4" x14ac:dyDescent="0.25">
      <c r="B102" s="176" t="s">
        <v>144</v>
      </c>
      <c r="C102" s="183">
        <f>SUM('Direct &amp;Indirect Personnal Cost'!C40)</f>
        <v>1066.5956250000002</v>
      </c>
      <c r="D102" s="184">
        <f>SUM('Direct &amp;Indirect Personnal Cost'!E40)</f>
        <v>67225.05</v>
      </c>
    </row>
    <row r="113" spans="2:4" ht="30.75" thickBot="1" x14ac:dyDescent="0.3">
      <c r="B113" s="179" t="s">
        <v>142</v>
      </c>
      <c r="C113" s="171" t="s">
        <v>137</v>
      </c>
      <c r="D113" s="180" t="s">
        <v>135</v>
      </c>
    </row>
    <row r="114" spans="2:4" ht="15.75" thickTop="1" x14ac:dyDescent="0.25">
      <c r="B114" s="185" t="s">
        <v>76</v>
      </c>
      <c r="C114" s="181">
        <f>SUM('Direct &amp;Indirect Personnal Cost'!C41)</f>
        <v>115933.43288398575</v>
      </c>
      <c r="D114" s="182">
        <f>SUM('Direct &amp;Indirect Personnal Cost'!E41)</f>
        <v>214000</v>
      </c>
    </row>
    <row r="115" spans="2:4" x14ac:dyDescent="0.25">
      <c r="B115" s="175" t="s">
        <v>78</v>
      </c>
      <c r="C115" s="181">
        <f>SUM('Direct &amp;Indirect Personnal Cost'!C42)</f>
        <v>42675.263923074512</v>
      </c>
      <c r="D115" s="182">
        <f>SUM('Direct &amp;Indirect Personnal Cost'!E42)</f>
        <v>147125</v>
      </c>
    </row>
    <row r="116" spans="2:4" x14ac:dyDescent="0.25">
      <c r="B116" s="175" t="s">
        <v>80</v>
      </c>
      <c r="C116" s="181">
        <f>SUM('Direct &amp;Indirect Personnal Cost'!C43)</f>
        <v>50402.561505838057</v>
      </c>
      <c r="D116" s="182">
        <f>SUM('Direct &amp;Indirect Personnal Cost'!E43)</f>
        <v>46812.5</v>
      </c>
    </row>
    <row r="117" spans="2:4" x14ac:dyDescent="0.25">
      <c r="B117" s="176" t="s">
        <v>145</v>
      </c>
      <c r="C117" s="183">
        <f>SUM('Direct &amp;Indirect Personnal Cost'!C44)</f>
        <v>22782.088705073173</v>
      </c>
      <c r="D117" s="184">
        <f>SUM('Direct &amp;Indirect Personnal Cost'!E44)</f>
        <v>20062.5</v>
      </c>
    </row>
  </sheetData>
  <phoneticPr fontId="1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6FBAA-C028-41F2-9DA0-BF5E4D1E5268}">
  <dimension ref="A1:T53"/>
  <sheetViews>
    <sheetView workbookViewId="0">
      <selection activeCell="Y17" sqref="Y17"/>
    </sheetView>
  </sheetViews>
  <sheetFormatPr baseColWidth="10" defaultColWidth="9.140625" defaultRowHeight="15" x14ac:dyDescent="0.25"/>
  <cols>
    <col min="1" max="1" width="1.85546875" style="317" customWidth="1"/>
    <col min="2" max="2" width="5.42578125" style="548" customWidth="1"/>
    <col min="3" max="3" width="58.28515625" style="375" customWidth="1"/>
    <col min="4" max="4" width="6.85546875" style="315" customWidth="1"/>
    <col min="5" max="5" width="5" style="315" customWidth="1"/>
    <col min="6" max="6" width="4.85546875" style="315" customWidth="1"/>
    <col min="7" max="7" width="5.28515625" style="520" customWidth="1"/>
    <col min="8" max="8" width="5" style="520" customWidth="1"/>
    <col min="9" max="9" width="6" style="549" customWidth="1"/>
    <col min="10" max="10" width="7" style="520" customWidth="1"/>
    <col min="11" max="19" width="7.7109375" style="549" customWidth="1"/>
    <col min="20" max="20" width="9.140625" style="549"/>
    <col min="21" max="16384" width="9.140625" style="314"/>
  </cols>
  <sheetData>
    <row r="1" spans="1:20" ht="14.25" customHeight="1" thickBot="1" x14ac:dyDescent="0.3">
      <c r="B1" s="492" t="s">
        <v>84</v>
      </c>
      <c r="C1" s="493"/>
      <c r="D1" s="494"/>
      <c r="E1" s="495"/>
      <c r="F1" s="496"/>
      <c r="G1" s="497" t="s">
        <v>400</v>
      </c>
      <c r="H1" s="497" t="s">
        <v>401</v>
      </c>
      <c r="I1" s="497" t="s">
        <v>402</v>
      </c>
      <c r="J1" s="497" t="s">
        <v>403</v>
      </c>
      <c r="K1" s="497" t="s">
        <v>404</v>
      </c>
      <c r="L1" s="497" t="s">
        <v>405</v>
      </c>
      <c r="M1" s="497" t="s">
        <v>406</v>
      </c>
      <c r="N1" s="497" t="s">
        <v>407</v>
      </c>
      <c r="O1" s="497" t="s">
        <v>408</v>
      </c>
      <c r="P1" s="497" t="s">
        <v>409</v>
      </c>
      <c r="Q1" s="497" t="s">
        <v>410</v>
      </c>
      <c r="R1" s="497" t="s">
        <v>411</v>
      </c>
      <c r="S1" s="498"/>
      <c r="T1" s="314"/>
    </row>
    <row r="2" spans="1:20" s="318" customFormat="1" ht="14.25" customHeight="1" thickTop="1" x14ac:dyDescent="0.2">
      <c r="A2" s="191"/>
      <c r="B2" s="499" t="s">
        <v>412</v>
      </c>
      <c r="C2" s="500" t="s">
        <v>413</v>
      </c>
      <c r="D2" s="501" t="s">
        <v>414</v>
      </c>
      <c r="E2" s="502" t="s">
        <v>415</v>
      </c>
      <c r="F2" s="503" t="s">
        <v>416</v>
      </c>
      <c r="G2" s="504" t="s">
        <v>150</v>
      </c>
      <c r="H2" s="504" t="s">
        <v>153</v>
      </c>
      <c r="I2" s="504" t="s">
        <v>417</v>
      </c>
      <c r="J2" s="504" t="s">
        <v>160</v>
      </c>
      <c r="K2" s="504" t="s">
        <v>155</v>
      </c>
      <c r="L2" s="504" t="s">
        <v>156</v>
      </c>
      <c r="M2" s="504" t="s">
        <v>157</v>
      </c>
      <c r="N2" s="504" t="s">
        <v>112</v>
      </c>
      <c r="O2" s="504" t="s">
        <v>125</v>
      </c>
      <c r="P2" s="504" t="s">
        <v>159</v>
      </c>
      <c r="Q2" s="504" t="s">
        <v>152</v>
      </c>
      <c r="R2" s="504" t="s">
        <v>158</v>
      </c>
      <c r="S2" s="497" t="s">
        <v>418</v>
      </c>
      <c r="T2" s="505">
        <f>T3+T7+T12+T19+T29+T33+T37</f>
        <v>1</v>
      </c>
    </row>
    <row r="3" spans="1:20" s="514" customFormat="1" ht="12.75" customHeight="1" x14ac:dyDescent="0.2">
      <c r="A3" s="506"/>
      <c r="B3" s="507" t="s">
        <v>8</v>
      </c>
      <c r="C3" s="508" t="s">
        <v>7</v>
      </c>
      <c r="D3" s="509" t="s">
        <v>159</v>
      </c>
      <c r="E3" s="510">
        <v>1</v>
      </c>
      <c r="F3" s="511">
        <v>6</v>
      </c>
      <c r="G3" s="512">
        <f>SUM( G4:G6)</f>
        <v>1.5</v>
      </c>
      <c r="H3" s="512">
        <f t="shared" ref="H3:R3" si="0">SUM(H4:H6)</f>
        <v>2.25</v>
      </c>
      <c r="I3" s="512">
        <f t="shared" si="0"/>
        <v>2.25</v>
      </c>
      <c r="J3" s="512">
        <f t="shared" si="0"/>
        <v>3.25</v>
      </c>
      <c r="K3" s="512">
        <f t="shared" si="0"/>
        <v>3.25</v>
      </c>
      <c r="L3" s="512">
        <f t="shared" si="0"/>
        <v>3.25</v>
      </c>
      <c r="M3" s="512">
        <f t="shared" si="0"/>
        <v>1.5</v>
      </c>
      <c r="N3" s="512">
        <f t="shared" si="0"/>
        <v>2.25</v>
      </c>
      <c r="O3" s="512">
        <f t="shared" si="0"/>
        <v>1.5</v>
      </c>
      <c r="P3" s="512">
        <f t="shared" si="0"/>
        <v>3.75</v>
      </c>
      <c r="Q3" s="512">
        <f t="shared" si="0"/>
        <v>1</v>
      </c>
      <c r="R3" s="512">
        <f t="shared" si="0"/>
        <v>1</v>
      </c>
      <c r="S3" s="513">
        <f>SUM(G3:R3)</f>
        <v>26.75</v>
      </c>
      <c r="T3" s="505">
        <f>S3/ S$41</f>
        <v>0.12022471910112359</v>
      </c>
    </row>
    <row r="4" spans="1:20" s="318" customFormat="1" ht="12.75" customHeight="1" x14ac:dyDescent="0.2">
      <c r="A4" s="191"/>
      <c r="B4" s="515" t="s">
        <v>10</v>
      </c>
      <c r="C4" s="516" t="s">
        <v>9</v>
      </c>
      <c r="D4" s="517" t="s">
        <v>112</v>
      </c>
      <c r="E4" s="518">
        <v>1</v>
      </c>
      <c r="F4" s="519">
        <v>3</v>
      </c>
      <c r="G4" s="520">
        <v>1</v>
      </c>
      <c r="H4" s="520">
        <v>1</v>
      </c>
      <c r="I4" s="520">
        <v>0.25</v>
      </c>
      <c r="J4" s="520">
        <v>0.25</v>
      </c>
      <c r="K4" s="520">
        <v>0.25</v>
      </c>
      <c r="L4" s="520">
        <v>0.25</v>
      </c>
      <c r="M4" s="520">
        <v>1</v>
      </c>
      <c r="N4" s="520">
        <v>1.75</v>
      </c>
      <c r="O4" s="520">
        <v>1</v>
      </c>
      <c r="P4" s="520">
        <v>0</v>
      </c>
      <c r="Q4" s="520">
        <v>0.5</v>
      </c>
      <c r="R4" s="520">
        <v>0.5</v>
      </c>
      <c r="S4" s="521">
        <f>SUM(G4:R4)</f>
        <v>7.75</v>
      </c>
      <c r="T4" s="514" t="s">
        <v>84</v>
      </c>
    </row>
    <row r="5" spans="1:20" s="318" customFormat="1" ht="12.75" customHeight="1" x14ac:dyDescent="0.2">
      <c r="A5" s="191"/>
      <c r="B5" s="515" t="s">
        <v>12</v>
      </c>
      <c r="C5" s="522" t="s">
        <v>11</v>
      </c>
      <c r="D5" s="517" t="s">
        <v>159</v>
      </c>
      <c r="E5" s="518">
        <v>1</v>
      </c>
      <c r="F5" s="519">
        <v>4</v>
      </c>
      <c r="G5" s="520">
        <v>0.25</v>
      </c>
      <c r="H5" s="520">
        <v>0.25</v>
      </c>
      <c r="I5" s="520">
        <v>1</v>
      </c>
      <c r="J5" s="520">
        <v>1</v>
      </c>
      <c r="K5" s="520">
        <v>1</v>
      </c>
      <c r="L5" s="520">
        <v>1</v>
      </c>
      <c r="M5" s="520">
        <v>0.25</v>
      </c>
      <c r="N5" s="520">
        <v>0.25</v>
      </c>
      <c r="O5" s="520">
        <v>0.25</v>
      </c>
      <c r="P5" s="520">
        <v>1.75</v>
      </c>
      <c r="Q5" s="520">
        <v>0.25</v>
      </c>
      <c r="R5" s="520">
        <v>0.25</v>
      </c>
      <c r="S5" s="521">
        <f>SUM(G5:R5)</f>
        <v>7.5</v>
      </c>
      <c r="T5" s="514" t="s">
        <v>84</v>
      </c>
    </row>
    <row r="6" spans="1:20" s="318" customFormat="1" ht="12.75" customHeight="1" x14ac:dyDescent="0.2">
      <c r="A6" s="191"/>
      <c r="B6" s="515" t="s">
        <v>14</v>
      </c>
      <c r="C6" s="522" t="s">
        <v>13</v>
      </c>
      <c r="D6" s="517" t="s">
        <v>159</v>
      </c>
      <c r="E6" s="518">
        <v>3</v>
      </c>
      <c r="F6" s="519">
        <v>6</v>
      </c>
      <c r="G6" s="520">
        <v>0.25</v>
      </c>
      <c r="H6" s="520">
        <v>1</v>
      </c>
      <c r="I6" s="520">
        <v>1</v>
      </c>
      <c r="J6" s="520">
        <v>2</v>
      </c>
      <c r="K6" s="520">
        <v>2</v>
      </c>
      <c r="L6" s="520">
        <v>2</v>
      </c>
      <c r="M6" s="520">
        <v>0.25</v>
      </c>
      <c r="N6" s="520">
        <v>0.25</v>
      </c>
      <c r="O6" s="520">
        <v>0.25</v>
      </c>
      <c r="P6" s="520">
        <v>2</v>
      </c>
      <c r="Q6" s="520">
        <v>0.25</v>
      </c>
      <c r="R6" s="520">
        <v>0.25</v>
      </c>
      <c r="S6" s="521">
        <f>SUM(G6:R6)</f>
        <v>11.5</v>
      </c>
      <c r="T6" s="514" t="s">
        <v>84</v>
      </c>
    </row>
    <row r="7" spans="1:20" s="514" customFormat="1" ht="12.75" customHeight="1" x14ac:dyDescent="0.2">
      <c r="A7" s="506"/>
      <c r="B7" s="507" t="s">
        <v>16</v>
      </c>
      <c r="C7" s="508" t="s">
        <v>15</v>
      </c>
      <c r="D7" s="509" t="s">
        <v>112</v>
      </c>
      <c r="E7" s="510">
        <v>1</v>
      </c>
      <c r="F7" s="511">
        <v>36</v>
      </c>
      <c r="G7" s="512">
        <f t="shared" ref="G7:S7" si="1">SUM(G8:G11)</f>
        <v>0.5</v>
      </c>
      <c r="H7" s="512">
        <f t="shared" si="1"/>
        <v>2.5</v>
      </c>
      <c r="I7" s="512">
        <f t="shared" si="1"/>
        <v>2.5</v>
      </c>
      <c r="J7" s="512">
        <f t="shared" si="1"/>
        <v>2</v>
      </c>
      <c r="K7" s="512">
        <f t="shared" si="1"/>
        <v>0.5</v>
      </c>
      <c r="L7" s="512">
        <f t="shared" si="1"/>
        <v>0.5</v>
      </c>
      <c r="M7" s="512">
        <f t="shared" si="1"/>
        <v>0.5</v>
      </c>
      <c r="N7" s="512">
        <f t="shared" si="1"/>
        <v>3.5</v>
      </c>
      <c r="O7" s="512">
        <f t="shared" si="1"/>
        <v>0.5</v>
      </c>
      <c r="P7" s="512">
        <f t="shared" si="1"/>
        <v>0.5</v>
      </c>
      <c r="Q7" s="512">
        <f t="shared" si="1"/>
        <v>0.5</v>
      </c>
      <c r="R7" s="512">
        <f t="shared" si="1"/>
        <v>3.75</v>
      </c>
      <c r="S7" s="513">
        <f t="shared" si="1"/>
        <v>17.75</v>
      </c>
      <c r="T7" s="505">
        <f>S7/ S$41</f>
        <v>7.9775280898876408E-2</v>
      </c>
    </row>
    <row r="8" spans="1:20" s="318" customFormat="1" ht="12.75" customHeight="1" x14ac:dyDescent="0.2">
      <c r="A8" s="191"/>
      <c r="B8" s="515" t="s">
        <v>18</v>
      </c>
      <c r="C8" s="522" t="s">
        <v>17</v>
      </c>
      <c r="D8" s="517" t="s">
        <v>112</v>
      </c>
      <c r="E8" s="518">
        <v>1</v>
      </c>
      <c r="F8" s="519">
        <v>36</v>
      </c>
      <c r="G8" s="520">
        <v>0.25</v>
      </c>
      <c r="H8" s="520">
        <v>1.25</v>
      </c>
      <c r="I8" s="520">
        <v>1.25</v>
      </c>
      <c r="J8" s="520">
        <v>0.75</v>
      </c>
      <c r="K8" s="520">
        <v>0.25</v>
      </c>
      <c r="L8" s="520">
        <v>0.25</v>
      </c>
      <c r="M8" s="520">
        <v>0.25</v>
      </c>
      <c r="N8" s="520">
        <v>3.25</v>
      </c>
      <c r="O8" s="520">
        <v>0.25</v>
      </c>
      <c r="P8" s="520">
        <v>0.25</v>
      </c>
      <c r="Q8" s="520">
        <v>0.25</v>
      </c>
      <c r="R8" s="520">
        <v>0</v>
      </c>
      <c r="S8" s="521">
        <f>SUM(G8:R8)</f>
        <v>8.25</v>
      </c>
      <c r="T8" s="514" t="s">
        <v>84</v>
      </c>
    </row>
    <row r="9" spans="1:20" s="318" customFormat="1" ht="12.75" customHeight="1" x14ac:dyDescent="0.2">
      <c r="A9" s="191"/>
      <c r="B9" s="515" t="s">
        <v>20</v>
      </c>
      <c r="C9" s="522" t="s">
        <v>19</v>
      </c>
      <c r="D9" s="517" t="s">
        <v>150</v>
      </c>
      <c r="E9" s="518">
        <v>1</v>
      </c>
      <c r="F9" s="519">
        <v>36</v>
      </c>
      <c r="G9" s="520">
        <v>0.25</v>
      </c>
      <c r="H9" s="520">
        <v>0</v>
      </c>
      <c r="I9" s="520">
        <v>0</v>
      </c>
      <c r="J9" s="520">
        <v>0</v>
      </c>
      <c r="K9" s="520">
        <v>0</v>
      </c>
      <c r="L9" s="520">
        <v>0</v>
      </c>
      <c r="M9" s="520">
        <v>0</v>
      </c>
      <c r="N9" s="520">
        <v>0</v>
      </c>
      <c r="O9" s="520">
        <v>0</v>
      </c>
      <c r="P9" s="520">
        <v>0</v>
      </c>
      <c r="Q9" s="520">
        <v>0</v>
      </c>
      <c r="R9" s="520">
        <v>0</v>
      </c>
      <c r="S9" s="521">
        <f>SUM(G9:R9)</f>
        <v>0.25</v>
      </c>
      <c r="T9" s="514" t="s">
        <v>84</v>
      </c>
    </row>
    <row r="10" spans="1:20" s="318" customFormat="1" ht="12.75" customHeight="1" x14ac:dyDescent="0.2">
      <c r="A10" s="191"/>
      <c r="B10" s="515" t="s">
        <v>22</v>
      </c>
      <c r="C10" s="522" t="s">
        <v>21</v>
      </c>
      <c r="D10" s="517" t="s">
        <v>160</v>
      </c>
      <c r="E10" s="518">
        <v>1</v>
      </c>
      <c r="F10" s="519">
        <v>36</v>
      </c>
      <c r="G10" s="520">
        <v>0</v>
      </c>
      <c r="H10" s="520">
        <v>1</v>
      </c>
      <c r="I10" s="520">
        <v>1</v>
      </c>
      <c r="J10" s="520">
        <v>1</v>
      </c>
      <c r="K10" s="520">
        <v>0</v>
      </c>
      <c r="L10" s="520">
        <v>0</v>
      </c>
      <c r="M10" s="520">
        <v>0</v>
      </c>
      <c r="N10" s="520">
        <v>0</v>
      </c>
      <c r="O10" s="520">
        <v>0</v>
      </c>
      <c r="P10" s="520">
        <v>0</v>
      </c>
      <c r="Q10" s="520">
        <v>0</v>
      </c>
      <c r="R10" s="520">
        <v>0</v>
      </c>
      <c r="S10" s="521">
        <f>SUM(G10:R10)</f>
        <v>3</v>
      </c>
      <c r="T10" s="514" t="s">
        <v>84</v>
      </c>
    </row>
    <row r="11" spans="1:20" s="318" customFormat="1" ht="12.75" customHeight="1" x14ac:dyDescent="0.2">
      <c r="A11" s="191"/>
      <c r="B11" s="515" t="s">
        <v>24</v>
      </c>
      <c r="C11" s="522" t="s">
        <v>23</v>
      </c>
      <c r="D11" s="517" t="s">
        <v>158</v>
      </c>
      <c r="E11" s="518">
        <v>1</v>
      </c>
      <c r="F11" s="519">
        <v>36</v>
      </c>
      <c r="G11" s="520">
        <v>0</v>
      </c>
      <c r="H11" s="520">
        <v>0.25</v>
      </c>
      <c r="I11" s="520">
        <v>0.25</v>
      </c>
      <c r="J11" s="520">
        <v>0.25</v>
      </c>
      <c r="K11" s="520">
        <v>0.25</v>
      </c>
      <c r="L11" s="520">
        <v>0.25</v>
      </c>
      <c r="M11" s="520">
        <v>0.25</v>
      </c>
      <c r="N11" s="520">
        <v>0.25</v>
      </c>
      <c r="O11" s="520">
        <v>0.25</v>
      </c>
      <c r="P11" s="520">
        <v>0.25</v>
      </c>
      <c r="Q11" s="520">
        <v>0.25</v>
      </c>
      <c r="R11" s="520">
        <v>3.75</v>
      </c>
      <c r="S11" s="521">
        <f>SUM(G11:R11)</f>
        <v>6.25</v>
      </c>
      <c r="T11" s="514" t="s">
        <v>84</v>
      </c>
    </row>
    <row r="12" spans="1:20" s="514" customFormat="1" ht="12.75" customHeight="1" x14ac:dyDescent="0.2">
      <c r="A12" s="506"/>
      <c r="B12" s="507" t="s">
        <v>26</v>
      </c>
      <c r="C12" s="523" t="s">
        <v>25</v>
      </c>
      <c r="D12" s="509" t="s">
        <v>160</v>
      </c>
      <c r="E12" s="510">
        <v>1</v>
      </c>
      <c r="F12" s="511">
        <v>36</v>
      </c>
      <c r="G12" s="512">
        <f t="shared" ref="G12:S12" si="2">SUM(G13:G18)</f>
        <v>7</v>
      </c>
      <c r="H12" s="512">
        <f t="shared" si="2"/>
        <v>2.5</v>
      </c>
      <c r="I12" s="512">
        <f t="shared" si="2"/>
        <v>3.5</v>
      </c>
      <c r="J12" s="512">
        <f t="shared" si="2"/>
        <v>6</v>
      </c>
      <c r="K12" s="512">
        <f t="shared" si="2"/>
        <v>3.5</v>
      </c>
      <c r="L12" s="512">
        <f t="shared" si="2"/>
        <v>3.5</v>
      </c>
      <c r="M12" s="512">
        <f t="shared" si="2"/>
        <v>2.5</v>
      </c>
      <c r="N12" s="512">
        <f t="shared" si="2"/>
        <v>2.5</v>
      </c>
      <c r="O12" s="512">
        <f t="shared" si="2"/>
        <v>2.5</v>
      </c>
      <c r="P12" s="512">
        <f t="shared" si="2"/>
        <v>3.5</v>
      </c>
      <c r="Q12" s="512">
        <f t="shared" si="2"/>
        <v>4.5</v>
      </c>
      <c r="R12" s="512">
        <f t="shared" si="2"/>
        <v>4</v>
      </c>
      <c r="S12" s="524">
        <f t="shared" si="2"/>
        <v>45.5</v>
      </c>
      <c r="T12" s="505">
        <f>S12/ S$41</f>
        <v>0.20449438202247192</v>
      </c>
    </row>
    <row r="13" spans="1:20" s="318" customFormat="1" ht="12.75" customHeight="1" x14ac:dyDescent="0.2">
      <c r="A13" s="191"/>
      <c r="B13" s="515" t="s">
        <v>28</v>
      </c>
      <c r="C13" s="525" t="s">
        <v>27</v>
      </c>
      <c r="D13" s="526" t="s">
        <v>160</v>
      </c>
      <c r="E13" s="527">
        <v>1</v>
      </c>
      <c r="F13" s="528">
        <v>7</v>
      </c>
      <c r="G13" s="520">
        <v>0.5</v>
      </c>
      <c r="H13" s="520">
        <v>0.5</v>
      </c>
      <c r="I13" s="520">
        <v>0.5</v>
      </c>
      <c r="J13" s="520">
        <v>3</v>
      </c>
      <c r="K13" s="520">
        <v>0.5</v>
      </c>
      <c r="L13" s="520">
        <v>0.5</v>
      </c>
      <c r="M13" s="520">
        <v>0.5</v>
      </c>
      <c r="N13" s="520">
        <v>0.5</v>
      </c>
      <c r="O13" s="520">
        <v>0.5</v>
      </c>
      <c r="P13" s="520">
        <v>0.5</v>
      </c>
      <c r="Q13" s="520">
        <v>0.5</v>
      </c>
      <c r="R13" s="520">
        <v>0.5</v>
      </c>
      <c r="S13" s="521">
        <f t="shared" ref="S13:S18" si="3">SUM(G13:R13)</f>
        <v>8.5</v>
      </c>
      <c r="T13" s="514"/>
    </row>
    <row r="14" spans="1:20" s="318" customFormat="1" ht="12.75" customHeight="1" x14ac:dyDescent="0.2">
      <c r="A14" s="191"/>
      <c r="B14" s="515" t="s">
        <v>30</v>
      </c>
      <c r="C14" s="525" t="s">
        <v>29</v>
      </c>
      <c r="D14" s="526" t="s">
        <v>158</v>
      </c>
      <c r="E14" s="527">
        <v>8</v>
      </c>
      <c r="F14" s="528">
        <v>18</v>
      </c>
      <c r="G14" s="520">
        <v>0.5</v>
      </c>
      <c r="H14" s="520">
        <v>0</v>
      </c>
      <c r="I14" s="520">
        <v>0</v>
      </c>
      <c r="J14" s="520">
        <v>0</v>
      </c>
      <c r="K14" s="520">
        <v>0</v>
      </c>
      <c r="L14" s="520">
        <v>0</v>
      </c>
      <c r="M14" s="520">
        <v>0</v>
      </c>
      <c r="N14" s="520">
        <v>0</v>
      </c>
      <c r="O14" s="520">
        <v>0</v>
      </c>
      <c r="P14" s="520">
        <v>0</v>
      </c>
      <c r="Q14" s="520">
        <v>0</v>
      </c>
      <c r="R14" s="520">
        <v>1</v>
      </c>
      <c r="S14" s="521">
        <f t="shared" si="3"/>
        <v>1.5</v>
      </c>
      <c r="T14" s="514"/>
    </row>
    <row r="15" spans="1:20" s="318" customFormat="1" ht="12.75" customHeight="1" x14ac:dyDescent="0.2">
      <c r="A15" s="191"/>
      <c r="B15" s="515" t="s">
        <v>32</v>
      </c>
      <c r="C15" s="525" t="s">
        <v>31</v>
      </c>
      <c r="D15" s="526" t="s">
        <v>158</v>
      </c>
      <c r="E15" s="527">
        <v>11</v>
      </c>
      <c r="F15" s="528">
        <v>20</v>
      </c>
      <c r="G15" s="520">
        <v>1</v>
      </c>
      <c r="H15" s="520">
        <v>1</v>
      </c>
      <c r="I15" s="520">
        <v>1</v>
      </c>
      <c r="J15" s="520">
        <v>1</v>
      </c>
      <c r="K15" s="520">
        <v>1</v>
      </c>
      <c r="L15" s="520">
        <v>1</v>
      </c>
      <c r="M15" s="520">
        <v>1</v>
      </c>
      <c r="N15" s="520">
        <v>1</v>
      </c>
      <c r="O15" s="520">
        <v>1</v>
      </c>
      <c r="P15" s="520">
        <v>1</v>
      </c>
      <c r="Q15" s="520">
        <v>1</v>
      </c>
      <c r="R15" s="520">
        <v>1.5</v>
      </c>
      <c r="S15" s="521">
        <f t="shared" si="3"/>
        <v>12.5</v>
      </c>
      <c r="T15" s="514"/>
    </row>
    <row r="16" spans="1:20" s="318" customFormat="1" ht="12.75" customHeight="1" x14ac:dyDescent="0.2">
      <c r="A16" s="191"/>
      <c r="B16" s="515" t="s">
        <v>34</v>
      </c>
      <c r="C16" s="522" t="s">
        <v>33</v>
      </c>
      <c r="D16" s="526" t="s">
        <v>150</v>
      </c>
      <c r="E16" s="529">
        <v>13</v>
      </c>
      <c r="F16" s="530">
        <v>22</v>
      </c>
      <c r="G16" s="520">
        <v>2</v>
      </c>
      <c r="H16" s="520">
        <v>0</v>
      </c>
      <c r="I16" s="520">
        <v>0</v>
      </c>
      <c r="J16" s="520">
        <v>0</v>
      </c>
      <c r="K16" s="520">
        <v>0</v>
      </c>
      <c r="L16" s="520">
        <v>0</v>
      </c>
      <c r="M16" s="520">
        <v>0</v>
      </c>
      <c r="N16" s="520">
        <v>0</v>
      </c>
      <c r="O16" s="520">
        <v>0</v>
      </c>
      <c r="P16" s="520">
        <v>0</v>
      </c>
      <c r="Q16" s="520">
        <v>0</v>
      </c>
      <c r="R16" s="520">
        <v>0</v>
      </c>
      <c r="S16" s="521">
        <f t="shared" si="3"/>
        <v>2</v>
      </c>
      <c r="T16" s="514"/>
    </row>
    <row r="17" spans="1:20" s="318" customFormat="1" ht="12.75" customHeight="1" x14ac:dyDescent="0.2">
      <c r="A17" s="191"/>
      <c r="B17" s="515" t="s">
        <v>36</v>
      </c>
      <c r="C17" s="522" t="s">
        <v>35</v>
      </c>
      <c r="D17" s="526" t="s">
        <v>150</v>
      </c>
      <c r="E17" s="529">
        <v>13</v>
      </c>
      <c r="F17" s="530">
        <v>36</v>
      </c>
      <c r="G17" s="520">
        <v>2</v>
      </c>
      <c r="H17" s="520">
        <v>0</v>
      </c>
      <c r="I17" s="520">
        <v>0</v>
      </c>
      <c r="J17" s="520">
        <v>0</v>
      </c>
      <c r="K17" s="520">
        <v>0</v>
      </c>
      <c r="L17" s="520">
        <v>0</v>
      </c>
      <c r="M17" s="520">
        <v>0</v>
      </c>
      <c r="N17" s="520">
        <v>0</v>
      </c>
      <c r="O17" s="520">
        <v>0</v>
      </c>
      <c r="P17" s="520">
        <v>0</v>
      </c>
      <c r="Q17" s="520">
        <v>0</v>
      </c>
      <c r="R17" s="520">
        <v>0</v>
      </c>
      <c r="S17" s="521">
        <f t="shared" si="3"/>
        <v>2</v>
      </c>
      <c r="T17" s="531" t="s">
        <v>84</v>
      </c>
    </row>
    <row r="18" spans="1:20" s="318" customFormat="1" ht="12.75" customHeight="1" x14ac:dyDescent="0.2">
      <c r="A18" s="191"/>
      <c r="B18" s="515" t="s">
        <v>38</v>
      </c>
      <c r="C18" s="525" t="s">
        <v>37</v>
      </c>
      <c r="D18" s="532" t="s">
        <v>152</v>
      </c>
      <c r="E18" s="529">
        <v>13</v>
      </c>
      <c r="F18" s="530">
        <v>36</v>
      </c>
      <c r="G18" s="520">
        <v>1</v>
      </c>
      <c r="H18" s="520">
        <v>1</v>
      </c>
      <c r="I18" s="520">
        <v>2</v>
      </c>
      <c r="J18" s="520">
        <v>2</v>
      </c>
      <c r="K18" s="520">
        <v>2</v>
      </c>
      <c r="L18" s="520">
        <v>2</v>
      </c>
      <c r="M18" s="520">
        <v>1</v>
      </c>
      <c r="N18" s="520">
        <v>1</v>
      </c>
      <c r="O18" s="520">
        <v>1</v>
      </c>
      <c r="P18" s="520">
        <v>2</v>
      </c>
      <c r="Q18" s="520">
        <v>3</v>
      </c>
      <c r="R18" s="520">
        <v>1</v>
      </c>
      <c r="S18" s="521">
        <f t="shared" si="3"/>
        <v>19</v>
      </c>
      <c r="T18" s="514" t="s">
        <v>84</v>
      </c>
    </row>
    <row r="19" spans="1:20" s="514" customFormat="1" ht="12.75" customHeight="1" x14ac:dyDescent="0.2">
      <c r="A19" s="506"/>
      <c r="B19" s="507" t="s">
        <v>40</v>
      </c>
      <c r="C19" s="508" t="s">
        <v>212</v>
      </c>
      <c r="D19" s="509" t="s">
        <v>155</v>
      </c>
      <c r="E19" s="510">
        <v>1</v>
      </c>
      <c r="F19" s="511">
        <v>36</v>
      </c>
      <c r="G19" s="512">
        <f>SUM(G20:G28)</f>
        <v>5.5</v>
      </c>
      <c r="H19" s="512">
        <f t="shared" ref="H19:S19" si="4">SUM(H20:H28)</f>
        <v>8.5</v>
      </c>
      <c r="I19" s="512">
        <f t="shared" si="4"/>
        <v>7</v>
      </c>
      <c r="J19" s="512">
        <f t="shared" si="4"/>
        <v>3</v>
      </c>
      <c r="K19" s="512">
        <f t="shared" si="4"/>
        <v>8</v>
      </c>
      <c r="L19" s="512">
        <f t="shared" si="4"/>
        <v>9</v>
      </c>
      <c r="M19" s="512">
        <f t="shared" si="4"/>
        <v>3</v>
      </c>
      <c r="N19" s="512">
        <f t="shared" si="4"/>
        <v>7</v>
      </c>
      <c r="O19" s="512">
        <f t="shared" si="4"/>
        <v>6</v>
      </c>
      <c r="P19" s="512">
        <f t="shared" si="4"/>
        <v>2.5</v>
      </c>
      <c r="Q19" s="512">
        <f t="shared" si="4"/>
        <v>12.75</v>
      </c>
      <c r="R19" s="512">
        <f t="shared" si="4"/>
        <v>2.5</v>
      </c>
      <c r="S19" s="524">
        <f t="shared" si="4"/>
        <v>74.75</v>
      </c>
      <c r="T19" s="505">
        <f>S19/ S$41</f>
        <v>0.33595505617977528</v>
      </c>
    </row>
    <row r="20" spans="1:20" s="318" customFormat="1" ht="12.75" customHeight="1" x14ac:dyDescent="0.2">
      <c r="A20" s="191"/>
      <c r="B20" s="515" t="s">
        <v>42</v>
      </c>
      <c r="C20" s="533" t="s">
        <v>213</v>
      </c>
      <c r="D20" s="532" t="s">
        <v>155</v>
      </c>
      <c r="E20" s="529">
        <v>1</v>
      </c>
      <c r="F20" s="530">
        <v>36</v>
      </c>
      <c r="G20" s="520">
        <v>0</v>
      </c>
      <c r="H20" s="520">
        <v>0</v>
      </c>
      <c r="I20" s="520">
        <v>0</v>
      </c>
      <c r="J20" s="520">
        <v>0</v>
      </c>
      <c r="K20" s="520">
        <v>2.5</v>
      </c>
      <c r="L20" s="520">
        <v>0</v>
      </c>
      <c r="M20" s="520">
        <v>0</v>
      </c>
      <c r="N20" s="520">
        <v>0</v>
      </c>
      <c r="O20" s="520">
        <v>0</v>
      </c>
      <c r="P20" s="520">
        <v>0</v>
      </c>
      <c r="Q20" s="520">
        <v>0</v>
      </c>
      <c r="R20" s="520">
        <v>0</v>
      </c>
      <c r="S20" s="521">
        <f t="shared" ref="S20:S28" si="5">SUM(G20:R20)</f>
        <v>2.5</v>
      </c>
      <c r="T20" s="514" t="s">
        <v>84</v>
      </c>
    </row>
    <row r="21" spans="1:20" s="318" customFormat="1" ht="12.75" customHeight="1" x14ac:dyDescent="0.2">
      <c r="A21" s="191"/>
      <c r="B21" s="515" t="s">
        <v>44</v>
      </c>
      <c r="C21" s="533" t="s">
        <v>43</v>
      </c>
      <c r="D21" s="532" t="s">
        <v>155</v>
      </c>
      <c r="E21" s="529">
        <v>1</v>
      </c>
      <c r="F21" s="530">
        <v>24</v>
      </c>
      <c r="G21" s="520">
        <v>1</v>
      </c>
      <c r="H21" s="520">
        <v>1</v>
      </c>
      <c r="I21" s="520">
        <v>1</v>
      </c>
      <c r="J21" s="520">
        <v>1</v>
      </c>
      <c r="K21" s="520">
        <v>3</v>
      </c>
      <c r="L21" s="520">
        <v>3.5</v>
      </c>
      <c r="M21" s="520">
        <v>1</v>
      </c>
      <c r="N21" s="520">
        <v>1</v>
      </c>
      <c r="O21" s="520">
        <v>1</v>
      </c>
      <c r="P21" s="520">
        <v>1.5</v>
      </c>
      <c r="Q21" s="520">
        <v>1</v>
      </c>
      <c r="R21" s="520">
        <v>1.5</v>
      </c>
      <c r="S21" s="521">
        <f t="shared" si="5"/>
        <v>17.5</v>
      </c>
      <c r="T21" s="514"/>
    </row>
    <row r="22" spans="1:20" s="318" customFormat="1" ht="12.75" customHeight="1" x14ac:dyDescent="0.2">
      <c r="A22" s="191"/>
      <c r="B22" s="515" t="s">
        <v>46</v>
      </c>
      <c r="C22" s="533" t="s">
        <v>45</v>
      </c>
      <c r="D22" s="532" t="s">
        <v>419</v>
      </c>
      <c r="E22" s="529">
        <v>1</v>
      </c>
      <c r="F22" s="530">
        <v>24</v>
      </c>
      <c r="G22" s="520">
        <v>0.5</v>
      </c>
      <c r="H22" s="520">
        <v>4</v>
      </c>
      <c r="I22" s="520">
        <v>0.5</v>
      </c>
      <c r="J22" s="520">
        <v>0.5</v>
      </c>
      <c r="K22" s="520">
        <v>1</v>
      </c>
      <c r="L22" s="520">
        <v>4</v>
      </c>
      <c r="M22" s="520">
        <v>0.5</v>
      </c>
      <c r="N22" s="520">
        <v>0.5</v>
      </c>
      <c r="O22" s="520">
        <v>0.5</v>
      </c>
      <c r="P22" s="520">
        <v>0.5</v>
      </c>
      <c r="Q22" s="520">
        <v>0.5</v>
      </c>
      <c r="R22" s="520">
        <v>0.5</v>
      </c>
      <c r="S22" s="521">
        <f t="shared" si="5"/>
        <v>13.5</v>
      </c>
      <c r="T22" s="514"/>
    </row>
    <row r="23" spans="1:20" s="318" customFormat="1" ht="12.75" customHeight="1" x14ac:dyDescent="0.2">
      <c r="A23" s="191"/>
      <c r="B23" s="515" t="s">
        <v>48</v>
      </c>
      <c r="C23" s="533" t="s">
        <v>47</v>
      </c>
      <c r="D23" s="532" t="s">
        <v>112</v>
      </c>
      <c r="E23" s="529">
        <v>1</v>
      </c>
      <c r="F23" s="530">
        <v>24</v>
      </c>
      <c r="G23" s="520">
        <v>0.5</v>
      </c>
      <c r="H23" s="520">
        <v>0.5</v>
      </c>
      <c r="I23" s="520">
        <v>0.5</v>
      </c>
      <c r="J23" s="520">
        <v>0.5</v>
      </c>
      <c r="K23" s="520">
        <v>0.5</v>
      </c>
      <c r="L23" s="520">
        <v>0.5</v>
      </c>
      <c r="M23" s="520">
        <v>0.5</v>
      </c>
      <c r="N23" s="520">
        <v>3</v>
      </c>
      <c r="O23" s="520">
        <v>0.5</v>
      </c>
      <c r="P23" s="520">
        <v>0</v>
      </c>
      <c r="Q23" s="520">
        <v>0</v>
      </c>
      <c r="R23" s="520">
        <v>0</v>
      </c>
      <c r="S23" s="521">
        <f t="shared" si="5"/>
        <v>7</v>
      </c>
      <c r="T23" s="514" t="s">
        <v>84</v>
      </c>
    </row>
    <row r="24" spans="1:20" s="318" customFormat="1" ht="12.75" customHeight="1" x14ac:dyDescent="0.2">
      <c r="A24" s="191"/>
      <c r="B24" s="515" t="s">
        <v>50</v>
      </c>
      <c r="C24" s="533" t="s">
        <v>186</v>
      </c>
      <c r="D24" s="532" t="s">
        <v>152</v>
      </c>
      <c r="E24" s="529">
        <v>1</v>
      </c>
      <c r="F24" s="530">
        <v>32</v>
      </c>
      <c r="G24" s="520">
        <v>0</v>
      </c>
      <c r="H24" s="520">
        <v>0</v>
      </c>
      <c r="I24" s="520">
        <v>0</v>
      </c>
      <c r="J24" s="520">
        <v>0</v>
      </c>
      <c r="K24" s="520">
        <v>0</v>
      </c>
      <c r="L24" s="520">
        <v>0</v>
      </c>
      <c r="M24" s="520">
        <v>0</v>
      </c>
      <c r="N24" s="520">
        <v>0</v>
      </c>
      <c r="O24" s="520">
        <v>0</v>
      </c>
      <c r="P24" s="520">
        <v>0</v>
      </c>
      <c r="Q24" s="520">
        <v>9.75</v>
      </c>
      <c r="R24" s="520">
        <v>0</v>
      </c>
      <c r="S24" s="521">
        <f t="shared" si="5"/>
        <v>9.75</v>
      </c>
      <c r="T24" s="514"/>
    </row>
    <row r="25" spans="1:20" s="318" customFormat="1" ht="12.75" customHeight="1" x14ac:dyDescent="0.2">
      <c r="A25" s="191"/>
      <c r="B25" s="515" t="s">
        <v>52</v>
      </c>
      <c r="C25" s="534" t="s">
        <v>51</v>
      </c>
      <c r="D25" s="532" t="s">
        <v>153</v>
      </c>
      <c r="E25" s="529">
        <v>1</v>
      </c>
      <c r="F25" s="530">
        <v>32</v>
      </c>
      <c r="G25" s="520">
        <v>0</v>
      </c>
      <c r="H25" s="520">
        <v>2</v>
      </c>
      <c r="I25" s="520">
        <v>0</v>
      </c>
      <c r="J25" s="520">
        <v>0</v>
      </c>
      <c r="K25" s="520">
        <v>0</v>
      </c>
      <c r="L25" s="520">
        <v>0</v>
      </c>
      <c r="M25" s="520">
        <v>0</v>
      </c>
      <c r="N25" s="520">
        <v>0</v>
      </c>
      <c r="O25" s="520">
        <v>0</v>
      </c>
      <c r="P25" s="520">
        <v>0</v>
      </c>
      <c r="Q25" s="520">
        <v>0</v>
      </c>
      <c r="R25" s="520">
        <v>0</v>
      </c>
      <c r="S25" s="521">
        <f t="shared" si="5"/>
        <v>2</v>
      </c>
      <c r="T25" s="514"/>
    </row>
    <row r="26" spans="1:20" s="318" customFormat="1" ht="12.75" customHeight="1" x14ac:dyDescent="0.2">
      <c r="A26" s="191"/>
      <c r="B26" s="515" t="s">
        <v>54</v>
      </c>
      <c r="C26" s="534" t="s">
        <v>53</v>
      </c>
      <c r="D26" s="532" t="s">
        <v>125</v>
      </c>
      <c r="E26" s="529">
        <v>1</v>
      </c>
      <c r="F26" s="530">
        <v>32</v>
      </c>
      <c r="G26" s="520">
        <v>0.5</v>
      </c>
      <c r="H26" s="520">
        <v>0.5</v>
      </c>
      <c r="I26" s="520">
        <v>0.5</v>
      </c>
      <c r="J26" s="520">
        <v>0.5</v>
      </c>
      <c r="K26" s="520">
        <v>0.5</v>
      </c>
      <c r="L26" s="520">
        <v>0.5</v>
      </c>
      <c r="M26" s="520">
        <v>0.5</v>
      </c>
      <c r="N26" s="520">
        <v>0.5</v>
      </c>
      <c r="O26" s="520">
        <v>2</v>
      </c>
      <c r="P26" s="520">
        <v>0</v>
      </c>
      <c r="Q26" s="520">
        <v>0</v>
      </c>
      <c r="R26" s="520">
        <v>0</v>
      </c>
      <c r="S26" s="521">
        <f t="shared" si="5"/>
        <v>6</v>
      </c>
      <c r="T26" s="514"/>
    </row>
    <row r="27" spans="1:20" s="318" customFormat="1" ht="12.75" customHeight="1" x14ac:dyDescent="0.2">
      <c r="A27" s="191"/>
      <c r="B27" s="515" t="s">
        <v>56</v>
      </c>
      <c r="C27" s="522" t="s">
        <v>55</v>
      </c>
      <c r="D27" s="532" t="s">
        <v>417</v>
      </c>
      <c r="E27" s="529">
        <v>1</v>
      </c>
      <c r="F27" s="530">
        <v>32</v>
      </c>
      <c r="G27" s="520">
        <v>0.5</v>
      </c>
      <c r="H27" s="520">
        <v>0</v>
      </c>
      <c r="I27" s="520">
        <v>4</v>
      </c>
      <c r="J27" s="520">
        <v>0</v>
      </c>
      <c r="K27" s="520">
        <v>0</v>
      </c>
      <c r="L27" s="520">
        <v>0</v>
      </c>
      <c r="M27" s="520">
        <v>0</v>
      </c>
      <c r="N27" s="520">
        <v>1.5</v>
      </c>
      <c r="O27" s="520">
        <v>0</v>
      </c>
      <c r="P27" s="520">
        <v>0</v>
      </c>
      <c r="Q27" s="520">
        <v>1</v>
      </c>
      <c r="R27" s="520">
        <v>0</v>
      </c>
      <c r="S27" s="521">
        <f t="shared" si="5"/>
        <v>7</v>
      </c>
      <c r="T27" s="514"/>
    </row>
    <row r="28" spans="1:20" s="318" customFormat="1" ht="12.75" customHeight="1" x14ac:dyDescent="0.2">
      <c r="A28" s="191"/>
      <c r="B28" s="515" t="s">
        <v>58</v>
      </c>
      <c r="C28" s="522" t="s">
        <v>57</v>
      </c>
      <c r="D28" s="532" t="s">
        <v>150</v>
      </c>
      <c r="E28" s="529">
        <v>1</v>
      </c>
      <c r="F28" s="530">
        <v>32</v>
      </c>
      <c r="G28" s="520">
        <v>2.5</v>
      </c>
      <c r="H28" s="520">
        <v>0.5</v>
      </c>
      <c r="I28" s="520">
        <v>0.5</v>
      </c>
      <c r="J28" s="520">
        <v>0.5</v>
      </c>
      <c r="K28" s="520">
        <v>0.5</v>
      </c>
      <c r="L28" s="520">
        <v>0.5</v>
      </c>
      <c r="M28" s="520">
        <v>0.5</v>
      </c>
      <c r="N28" s="520">
        <v>0.5</v>
      </c>
      <c r="O28" s="520">
        <v>2</v>
      </c>
      <c r="P28" s="520">
        <v>0.5</v>
      </c>
      <c r="Q28" s="520">
        <v>0.5</v>
      </c>
      <c r="R28" s="520">
        <v>0.5</v>
      </c>
      <c r="S28" s="521">
        <f t="shared" si="5"/>
        <v>9.5</v>
      </c>
      <c r="T28" s="514"/>
    </row>
    <row r="29" spans="1:20" s="514" customFormat="1" ht="12.75" customHeight="1" x14ac:dyDescent="0.2">
      <c r="A29" s="506"/>
      <c r="B29" s="507" t="s">
        <v>60</v>
      </c>
      <c r="C29" s="508" t="s">
        <v>59</v>
      </c>
      <c r="D29" s="509" t="s">
        <v>152</v>
      </c>
      <c r="E29" s="510">
        <v>1</v>
      </c>
      <c r="F29" s="511">
        <v>36</v>
      </c>
      <c r="G29" s="512">
        <f t="shared" ref="G29:S29" si="6">SUM(G30:G32)</f>
        <v>0.75</v>
      </c>
      <c r="H29" s="512">
        <f t="shared" si="6"/>
        <v>0.75</v>
      </c>
      <c r="I29" s="512">
        <f t="shared" si="6"/>
        <v>0.75</v>
      </c>
      <c r="J29" s="512">
        <f t="shared" si="6"/>
        <v>0.75</v>
      </c>
      <c r="K29" s="512">
        <f t="shared" si="6"/>
        <v>0.75</v>
      </c>
      <c r="L29" s="512">
        <f t="shared" si="6"/>
        <v>0.75</v>
      </c>
      <c r="M29" s="512">
        <f t="shared" si="6"/>
        <v>0.75</v>
      </c>
      <c r="N29" s="512">
        <f t="shared" si="6"/>
        <v>0.75</v>
      </c>
      <c r="O29" s="512">
        <f t="shared" si="6"/>
        <v>0.75</v>
      </c>
      <c r="P29" s="512">
        <f t="shared" si="6"/>
        <v>0.75</v>
      </c>
      <c r="Q29" s="512">
        <f t="shared" si="6"/>
        <v>6</v>
      </c>
      <c r="R29" s="512">
        <f t="shared" si="6"/>
        <v>0.75</v>
      </c>
      <c r="S29" s="513">
        <f t="shared" si="6"/>
        <v>14.25</v>
      </c>
      <c r="T29" s="505">
        <f>S29/ S$41</f>
        <v>6.4044943820224715E-2</v>
      </c>
    </row>
    <row r="30" spans="1:20" s="318" customFormat="1" ht="12.75" customHeight="1" x14ac:dyDescent="0.2">
      <c r="A30" s="191"/>
      <c r="B30" s="515" t="s">
        <v>62</v>
      </c>
      <c r="C30" s="535" t="s">
        <v>61</v>
      </c>
      <c r="D30" s="536" t="s">
        <v>152</v>
      </c>
      <c r="E30" s="537">
        <v>1</v>
      </c>
      <c r="F30" s="538">
        <v>36</v>
      </c>
      <c r="G30" s="520">
        <v>0.25</v>
      </c>
      <c r="H30" s="520">
        <v>0.25</v>
      </c>
      <c r="I30" s="520">
        <v>0.25</v>
      </c>
      <c r="J30" s="520">
        <v>0.25</v>
      </c>
      <c r="K30" s="520">
        <v>0.25</v>
      </c>
      <c r="L30" s="520">
        <v>0.25</v>
      </c>
      <c r="M30" s="520">
        <v>0.25</v>
      </c>
      <c r="N30" s="520">
        <v>0.25</v>
      </c>
      <c r="O30" s="520">
        <v>0.25</v>
      </c>
      <c r="P30" s="520">
        <v>0.25</v>
      </c>
      <c r="Q30" s="520">
        <v>2.5</v>
      </c>
      <c r="R30" s="520">
        <v>0.25</v>
      </c>
      <c r="S30" s="521">
        <f>SUM(G30:R30)</f>
        <v>5.25</v>
      </c>
      <c r="T30" s="514"/>
    </row>
    <row r="31" spans="1:20" s="318" customFormat="1" ht="12.75" customHeight="1" x14ac:dyDescent="0.2">
      <c r="A31" s="191"/>
      <c r="B31" s="515" t="s">
        <v>64</v>
      </c>
      <c r="C31" s="535" t="s">
        <v>420</v>
      </c>
      <c r="D31" s="536" t="s">
        <v>152</v>
      </c>
      <c r="E31" s="537">
        <v>1</v>
      </c>
      <c r="F31" s="538">
        <v>36</v>
      </c>
      <c r="G31" s="520">
        <v>0.25</v>
      </c>
      <c r="H31" s="520">
        <v>0.25</v>
      </c>
      <c r="I31" s="520">
        <v>0.25</v>
      </c>
      <c r="J31" s="520">
        <v>0.25</v>
      </c>
      <c r="K31" s="520">
        <v>0.25</v>
      </c>
      <c r="L31" s="520">
        <v>0.25</v>
      </c>
      <c r="M31" s="520">
        <v>0.25</v>
      </c>
      <c r="N31" s="520">
        <v>0.25</v>
      </c>
      <c r="O31" s="520">
        <v>0.25</v>
      </c>
      <c r="P31" s="520">
        <v>0.25</v>
      </c>
      <c r="Q31" s="520">
        <v>2.5</v>
      </c>
      <c r="R31" s="520">
        <v>0.25</v>
      </c>
      <c r="S31" s="521">
        <f>SUM(G31:R31)</f>
        <v>5.25</v>
      </c>
      <c r="T31" s="514"/>
    </row>
    <row r="32" spans="1:20" s="318" customFormat="1" ht="12.75" customHeight="1" x14ac:dyDescent="0.2">
      <c r="A32" s="191"/>
      <c r="B32" s="515" t="s">
        <v>66</v>
      </c>
      <c r="C32" s="539" t="s">
        <v>65</v>
      </c>
      <c r="D32" s="536" t="s">
        <v>152</v>
      </c>
      <c r="E32" s="537">
        <v>35</v>
      </c>
      <c r="F32" s="538">
        <v>36</v>
      </c>
      <c r="G32" s="520">
        <v>0.25</v>
      </c>
      <c r="H32" s="520">
        <v>0.25</v>
      </c>
      <c r="I32" s="520">
        <v>0.25</v>
      </c>
      <c r="J32" s="520">
        <v>0.25</v>
      </c>
      <c r="K32" s="520">
        <v>0.25</v>
      </c>
      <c r="L32" s="520">
        <v>0.25</v>
      </c>
      <c r="M32" s="520">
        <v>0.25</v>
      </c>
      <c r="N32" s="520">
        <v>0.25</v>
      </c>
      <c r="O32" s="520">
        <v>0.25</v>
      </c>
      <c r="P32" s="520">
        <v>0.25</v>
      </c>
      <c r="Q32" s="520">
        <v>1</v>
      </c>
      <c r="R32" s="520">
        <v>0.25</v>
      </c>
      <c r="S32" s="521">
        <f>SUM(G32:R32)</f>
        <v>3.75</v>
      </c>
      <c r="T32" s="514"/>
    </row>
    <row r="33" spans="1:20" s="514" customFormat="1" ht="12.75" customHeight="1" x14ac:dyDescent="0.2">
      <c r="A33" s="506"/>
      <c r="B33" s="507" t="s">
        <v>68</v>
      </c>
      <c r="C33" s="508" t="s">
        <v>67</v>
      </c>
      <c r="D33" s="509" t="s">
        <v>153</v>
      </c>
      <c r="E33" s="510">
        <v>1</v>
      </c>
      <c r="F33" s="511">
        <v>36</v>
      </c>
      <c r="G33" s="512">
        <f t="shared" ref="G33:S33" si="7">SUM(G34:G36)</f>
        <v>2</v>
      </c>
      <c r="H33" s="512">
        <f t="shared" si="7"/>
        <v>7.5</v>
      </c>
      <c r="I33" s="512">
        <f t="shared" si="7"/>
        <v>2</v>
      </c>
      <c r="J33" s="512">
        <f t="shared" si="7"/>
        <v>2</v>
      </c>
      <c r="K33" s="512">
        <f t="shared" si="7"/>
        <v>3</v>
      </c>
      <c r="L33" s="512">
        <f t="shared" si="7"/>
        <v>2</v>
      </c>
      <c r="M33" s="512">
        <f t="shared" si="7"/>
        <v>2</v>
      </c>
      <c r="N33" s="512">
        <f t="shared" si="7"/>
        <v>2</v>
      </c>
      <c r="O33" s="512">
        <f t="shared" si="7"/>
        <v>2</v>
      </c>
      <c r="P33" s="512">
        <f t="shared" si="7"/>
        <v>1</v>
      </c>
      <c r="Q33" s="512">
        <f t="shared" si="7"/>
        <v>1</v>
      </c>
      <c r="R33" s="512">
        <f t="shared" si="7"/>
        <v>1</v>
      </c>
      <c r="S33" s="524">
        <f t="shared" si="7"/>
        <v>27.5</v>
      </c>
      <c r="T33" s="505">
        <f>S33/ S$41</f>
        <v>0.12359550561797752</v>
      </c>
    </row>
    <row r="34" spans="1:20" s="318" customFormat="1" ht="12.75" customHeight="1" x14ac:dyDescent="0.2">
      <c r="A34" s="191"/>
      <c r="B34" s="515" t="s">
        <v>70</v>
      </c>
      <c r="C34" s="535" t="s">
        <v>69</v>
      </c>
      <c r="D34" s="536" t="s">
        <v>153</v>
      </c>
      <c r="E34" s="537">
        <v>1</v>
      </c>
      <c r="F34" s="538">
        <v>36</v>
      </c>
      <c r="G34" s="520">
        <v>0.5</v>
      </c>
      <c r="H34" s="520">
        <v>4</v>
      </c>
      <c r="I34" s="520">
        <v>0.5</v>
      </c>
      <c r="J34" s="520">
        <v>0.5</v>
      </c>
      <c r="K34" s="520">
        <v>0.5</v>
      </c>
      <c r="L34" s="520">
        <v>0.5</v>
      </c>
      <c r="M34" s="520">
        <v>0.5</v>
      </c>
      <c r="N34" s="520">
        <v>0.5</v>
      </c>
      <c r="O34" s="520">
        <v>0.5</v>
      </c>
      <c r="P34" s="520">
        <v>0</v>
      </c>
      <c r="Q34" s="520">
        <v>0</v>
      </c>
      <c r="R34" s="520">
        <v>0</v>
      </c>
      <c r="S34" s="521">
        <f>SUM(G34:R34)</f>
        <v>8</v>
      </c>
      <c r="T34" s="514"/>
    </row>
    <row r="35" spans="1:20" s="318" customFormat="1" ht="12.75" customHeight="1" x14ac:dyDescent="0.2">
      <c r="A35" s="191"/>
      <c r="B35" s="515" t="s">
        <v>72</v>
      </c>
      <c r="C35" s="535" t="s">
        <v>71</v>
      </c>
      <c r="D35" s="536" t="s">
        <v>153</v>
      </c>
      <c r="E35" s="537">
        <v>1</v>
      </c>
      <c r="F35" s="538">
        <v>36</v>
      </c>
      <c r="G35" s="520">
        <v>1</v>
      </c>
      <c r="H35" s="520">
        <v>3</v>
      </c>
      <c r="I35" s="520">
        <v>1</v>
      </c>
      <c r="J35" s="520">
        <v>1</v>
      </c>
      <c r="K35" s="520">
        <v>1</v>
      </c>
      <c r="L35" s="520">
        <v>1</v>
      </c>
      <c r="M35" s="520">
        <v>1</v>
      </c>
      <c r="N35" s="520">
        <v>1</v>
      </c>
      <c r="O35" s="520">
        <v>1</v>
      </c>
      <c r="P35" s="520">
        <v>0.5</v>
      </c>
      <c r="Q35" s="520">
        <v>0.5</v>
      </c>
      <c r="R35" s="520">
        <v>0.5</v>
      </c>
      <c r="S35" s="521">
        <f>SUM(G35:R35)</f>
        <v>12.5</v>
      </c>
      <c r="T35" s="514"/>
    </row>
    <row r="36" spans="1:20" s="318" customFormat="1" ht="12.75" customHeight="1" x14ac:dyDescent="0.2">
      <c r="A36" s="191"/>
      <c r="B36" s="515" t="s">
        <v>74</v>
      </c>
      <c r="C36" s="535" t="s">
        <v>73</v>
      </c>
      <c r="D36" s="536" t="s">
        <v>155</v>
      </c>
      <c r="E36" s="537">
        <v>1</v>
      </c>
      <c r="F36" s="538">
        <v>36</v>
      </c>
      <c r="G36" s="520">
        <v>0.5</v>
      </c>
      <c r="H36" s="520">
        <v>0.5</v>
      </c>
      <c r="I36" s="520">
        <v>0.5</v>
      </c>
      <c r="J36" s="520">
        <v>0.5</v>
      </c>
      <c r="K36" s="520">
        <v>1.5</v>
      </c>
      <c r="L36" s="520">
        <v>0.5</v>
      </c>
      <c r="M36" s="520">
        <v>0.5</v>
      </c>
      <c r="N36" s="520">
        <v>0.5</v>
      </c>
      <c r="O36" s="520">
        <v>0.5</v>
      </c>
      <c r="P36" s="520">
        <v>0.5</v>
      </c>
      <c r="Q36" s="520">
        <v>0.5</v>
      </c>
      <c r="R36" s="520">
        <v>0.5</v>
      </c>
      <c r="S36" s="521">
        <f>SUM(G36:R36)</f>
        <v>7</v>
      </c>
      <c r="T36" s="531" t="s">
        <v>84</v>
      </c>
    </row>
    <row r="37" spans="1:20" s="318" customFormat="1" ht="12.75" customHeight="1" x14ac:dyDescent="0.2">
      <c r="A37" s="191"/>
      <c r="B37" s="507" t="s">
        <v>76</v>
      </c>
      <c r="C37" s="508" t="s">
        <v>75</v>
      </c>
      <c r="D37" s="509" t="s">
        <v>150</v>
      </c>
      <c r="E37" s="510">
        <v>1</v>
      </c>
      <c r="F37" s="511">
        <v>36</v>
      </c>
      <c r="G37" s="512">
        <f t="shared" ref="G37:S37" si="8">SUM(G38:G40)</f>
        <v>16</v>
      </c>
      <c r="H37" s="512">
        <f t="shared" si="8"/>
        <v>0</v>
      </c>
      <c r="I37" s="512">
        <f t="shared" si="8"/>
        <v>0</v>
      </c>
      <c r="J37" s="512">
        <f t="shared" si="8"/>
        <v>0</v>
      </c>
      <c r="K37" s="512">
        <f t="shared" si="8"/>
        <v>0</v>
      </c>
      <c r="L37" s="512">
        <f t="shared" si="8"/>
        <v>0</v>
      </c>
      <c r="M37" s="512">
        <f t="shared" si="8"/>
        <v>0</v>
      </c>
      <c r="N37" s="512">
        <f t="shared" si="8"/>
        <v>0</v>
      </c>
      <c r="O37" s="512">
        <f t="shared" si="8"/>
        <v>0</v>
      </c>
      <c r="P37" s="512">
        <f t="shared" si="8"/>
        <v>0</v>
      </c>
      <c r="Q37" s="512">
        <f t="shared" si="8"/>
        <v>0</v>
      </c>
      <c r="R37" s="512">
        <f t="shared" si="8"/>
        <v>0</v>
      </c>
      <c r="S37" s="513">
        <f t="shared" si="8"/>
        <v>16</v>
      </c>
      <c r="T37" s="505">
        <f>S37/ S$41</f>
        <v>7.1910112359550568E-2</v>
      </c>
    </row>
    <row r="38" spans="1:20" s="318" customFormat="1" ht="12.75" customHeight="1" x14ac:dyDescent="0.2">
      <c r="A38" s="191"/>
      <c r="B38" s="515" t="s">
        <v>78</v>
      </c>
      <c r="C38" s="535" t="s">
        <v>77</v>
      </c>
      <c r="D38" s="536" t="s">
        <v>150</v>
      </c>
      <c r="E38" s="537">
        <v>1</v>
      </c>
      <c r="F38" s="538">
        <v>36</v>
      </c>
      <c r="G38" s="520">
        <v>11</v>
      </c>
      <c r="H38" s="520">
        <v>0</v>
      </c>
      <c r="I38" s="520">
        <v>0</v>
      </c>
      <c r="J38" s="520">
        <v>0</v>
      </c>
      <c r="K38" s="520">
        <v>0</v>
      </c>
      <c r="L38" s="520">
        <v>0</v>
      </c>
      <c r="M38" s="520">
        <v>0</v>
      </c>
      <c r="N38" s="520">
        <v>0</v>
      </c>
      <c r="O38" s="520">
        <v>0</v>
      </c>
      <c r="P38" s="520">
        <v>0</v>
      </c>
      <c r="Q38" s="520">
        <v>0</v>
      </c>
      <c r="R38" s="520">
        <v>0</v>
      </c>
      <c r="S38" s="521">
        <f>SUM(G38:R38)</f>
        <v>11</v>
      </c>
      <c r="T38" s="514" t="s">
        <v>84</v>
      </c>
    </row>
    <row r="39" spans="1:20" s="318" customFormat="1" ht="12.75" customHeight="1" x14ac:dyDescent="0.2">
      <c r="A39" s="191"/>
      <c r="B39" s="515" t="s">
        <v>80</v>
      </c>
      <c r="C39" s="535" t="s">
        <v>79</v>
      </c>
      <c r="D39" s="536" t="s">
        <v>150</v>
      </c>
      <c r="E39" s="537">
        <v>1</v>
      </c>
      <c r="F39" s="538">
        <v>36</v>
      </c>
      <c r="G39" s="520">
        <v>3.5</v>
      </c>
      <c r="H39" s="520">
        <v>0</v>
      </c>
      <c r="I39" s="520">
        <v>0</v>
      </c>
      <c r="J39" s="520">
        <v>0</v>
      </c>
      <c r="K39" s="520">
        <v>0</v>
      </c>
      <c r="L39" s="520">
        <v>0</v>
      </c>
      <c r="M39" s="520">
        <v>0</v>
      </c>
      <c r="N39" s="520">
        <v>0</v>
      </c>
      <c r="O39" s="520">
        <v>0</v>
      </c>
      <c r="P39" s="520">
        <v>0</v>
      </c>
      <c r="Q39" s="520">
        <v>0</v>
      </c>
      <c r="R39" s="520">
        <v>0</v>
      </c>
      <c r="S39" s="521">
        <f>SUM(G39:R39)</f>
        <v>3.5</v>
      </c>
      <c r="T39" s="514" t="s">
        <v>84</v>
      </c>
    </row>
    <row r="40" spans="1:20" s="318" customFormat="1" ht="12.75" customHeight="1" thickBot="1" x14ac:dyDescent="0.25">
      <c r="A40" s="191"/>
      <c r="B40" s="515" t="s">
        <v>82</v>
      </c>
      <c r="C40" s="540" t="s">
        <v>81</v>
      </c>
      <c r="D40" s="536" t="s">
        <v>150</v>
      </c>
      <c r="E40" s="537">
        <v>1</v>
      </c>
      <c r="F40" s="538">
        <v>36</v>
      </c>
      <c r="G40" s="520">
        <v>1.5</v>
      </c>
      <c r="H40" s="520">
        <v>0</v>
      </c>
      <c r="I40" s="520">
        <v>0</v>
      </c>
      <c r="J40" s="520">
        <v>0</v>
      </c>
      <c r="K40" s="520">
        <v>0</v>
      </c>
      <c r="L40" s="520">
        <v>0</v>
      </c>
      <c r="M40" s="520">
        <v>0</v>
      </c>
      <c r="N40" s="520">
        <v>0</v>
      </c>
      <c r="O40" s="520">
        <v>0</v>
      </c>
      <c r="P40" s="520">
        <v>0</v>
      </c>
      <c r="Q40" s="520">
        <v>0</v>
      </c>
      <c r="R40" s="520">
        <v>0</v>
      </c>
      <c r="S40" s="521">
        <f>SUM(G40:R40)</f>
        <v>1.5</v>
      </c>
      <c r="T40" s="514" t="s">
        <v>84</v>
      </c>
    </row>
    <row r="41" spans="1:20" s="318" customFormat="1" ht="12.75" customHeight="1" thickBot="1" x14ac:dyDescent="0.25">
      <c r="A41" s="191"/>
      <c r="B41" s="541" t="s">
        <v>84</v>
      </c>
      <c r="C41" s="542"/>
      <c r="D41" s="543" t="s">
        <v>414</v>
      </c>
      <c r="E41" s="544" t="s">
        <v>415</v>
      </c>
      <c r="F41" s="545" t="s">
        <v>416</v>
      </c>
      <c r="G41" s="546">
        <f>G3+G7+G12+G19+G29+G33+G37</f>
        <v>33.25</v>
      </c>
      <c r="H41" s="546">
        <f t="shared" ref="H41:R41" si="9">H3+H7+H12+H19+H29+H33+H37</f>
        <v>24</v>
      </c>
      <c r="I41" s="546">
        <f t="shared" si="9"/>
        <v>18</v>
      </c>
      <c r="J41" s="546">
        <f t="shared" si="9"/>
        <v>17</v>
      </c>
      <c r="K41" s="546">
        <f t="shared" si="9"/>
        <v>19</v>
      </c>
      <c r="L41" s="546">
        <f t="shared" si="9"/>
        <v>19</v>
      </c>
      <c r="M41" s="546">
        <f t="shared" si="9"/>
        <v>10.25</v>
      </c>
      <c r="N41" s="546">
        <f t="shared" si="9"/>
        <v>18</v>
      </c>
      <c r="O41" s="546">
        <f t="shared" si="9"/>
        <v>13.25</v>
      </c>
      <c r="P41" s="546">
        <f t="shared" si="9"/>
        <v>12</v>
      </c>
      <c r="Q41" s="546">
        <f t="shared" si="9"/>
        <v>25.75</v>
      </c>
      <c r="R41" s="546">
        <f t="shared" si="9"/>
        <v>13</v>
      </c>
      <c r="S41" s="547">
        <f>SUM(G41:R41)</f>
        <v>222.5</v>
      </c>
    </row>
    <row r="42" spans="1:20" s="318" customFormat="1" ht="15" customHeight="1" thickTop="1" x14ac:dyDescent="0.25">
      <c r="A42" s="317"/>
      <c r="B42" s="548"/>
      <c r="C42" s="375"/>
      <c r="D42" s="315"/>
      <c r="E42" s="315"/>
      <c r="F42" s="315"/>
      <c r="G42" s="520"/>
      <c r="H42" s="520"/>
      <c r="I42" s="549"/>
      <c r="J42" s="520"/>
      <c r="K42" s="550"/>
      <c r="L42" s="550"/>
      <c r="M42" s="550"/>
      <c r="N42" s="550"/>
      <c r="O42" s="550"/>
      <c r="P42" s="550"/>
      <c r="Q42" s="550"/>
      <c r="R42" s="550"/>
      <c r="S42" s="550"/>
      <c r="T42" s="550"/>
    </row>
    <row r="43" spans="1:20" s="318" customFormat="1" ht="15" customHeight="1" x14ac:dyDescent="0.25">
      <c r="A43" s="317"/>
      <c r="B43" s="548"/>
      <c r="C43" s="375"/>
      <c r="D43" s="520"/>
      <c r="E43" s="549"/>
      <c r="F43" s="551" t="s">
        <v>412</v>
      </c>
      <c r="G43" s="551" t="str">
        <f>G$1</f>
        <v>B1</v>
      </c>
      <c r="H43" s="551" t="str">
        <f t="shared" ref="H43:R43" si="10">H$1</f>
        <v>B2</v>
      </c>
      <c r="I43" s="551" t="str">
        <f t="shared" si="10"/>
        <v>B3</v>
      </c>
      <c r="J43" s="551" t="str">
        <f t="shared" si="10"/>
        <v>B4</v>
      </c>
      <c r="K43" s="551" t="str">
        <f t="shared" si="10"/>
        <v>B5</v>
      </c>
      <c r="L43" s="551" t="str">
        <f t="shared" si="10"/>
        <v>B6</v>
      </c>
      <c r="M43" s="551" t="str">
        <f t="shared" si="10"/>
        <v>B7</v>
      </c>
      <c r="N43" s="551" t="str">
        <f t="shared" si="10"/>
        <v>B8</v>
      </c>
      <c r="O43" s="551" t="str">
        <f t="shared" si="10"/>
        <v>B9</v>
      </c>
      <c r="P43" s="551" t="str">
        <f t="shared" si="10"/>
        <v>B10</v>
      </c>
      <c r="Q43" s="551" t="str">
        <f t="shared" si="10"/>
        <v>B11</v>
      </c>
      <c r="R43" s="551" t="str">
        <f t="shared" si="10"/>
        <v>B12</v>
      </c>
      <c r="T43" s="552" t="s">
        <v>84</v>
      </c>
    </row>
    <row r="44" spans="1:20" s="318" customFormat="1" ht="15" customHeight="1" x14ac:dyDescent="0.25">
      <c r="A44" s="317"/>
      <c r="B44" s="548"/>
      <c r="C44" s="375"/>
      <c r="D44" s="520"/>
      <c r="E44" s="549"/>
      <c r="F44" s="551" t="s">
        <v>184</v>
      </c>
      <c r="G44" s="553" t="str">
        <f t="shared" ref="G44:R44" si="11">G$2</f>
        <v>MNU</v>
      </c>
      <c r="H44" s="553" t="str">
        <f t="shared" si="11"/>
        <v>FOC</v>
      </c>
      <c r="I44" s="553" t="str">
        <f t="shared" si="11"/>
        <v>CTLV</v>
      </c>
      <c r="J44" s="553" t="str">
        <f t="shared" si="11"/>
        <v>CKR</v>
      </c>
      <c r="K44" s="553" t="str">
        <f t="shared" si="11"/>
        <v>MAI</v>
      </c>
      <c r="L44" s="553" t="str">
        <f t="shared" si="11"/>
        <v>BIN</v>
      </c>
      <c r="M44" s="553" t="str">
        <f t="shared" si="11"/>
        <v>IOC</v>
      </c>
      <c r="N44" s="553" t="str">
        <f t="shared" si="11"/>
        <v>HIE</v>
      </c>
      <c r="O44" s="553" t="str">
        <f t="shared" si="11"/>
        <v>MCN</v>
      </c>
      <c r="P44" s="553" t="str">
        <f t="shared" si="11"/>
        <v>MEERI</v>
      </c>
      <c r="Q44" s="553" t="str">
        <f t="shared" si="11"/>
        <v>SCA</v>
      </c>
      <c r="R44" s="553" t="str">
        <f t="shared" si="11"/>
        <v>BAL</v>
      </c>
      <c r="S44" s="554" t="s">
        <v>83</v>
      </c>
      <c r="T44" s="552" t="s">
        <v>84</v>
      </c>
    </row>
    <row r="45" spans="1:20" s="318" customFormat="1" ht="15" customHeight="1" x14ac:dyDescent="0.25">
      <c r="A45" s="317"/>
      <c r="B45" s="548"/>
      <c r="C45" s="375"/>
      <c r="D45" s="520"/>
      <c r="E45" s="549" t="s">
        <v>84</v>
      </c>
      <c r="F45" s="555" t="str">
        <f>B3</f>
        <v>WP1</v>
      </c>
      <c r="G45" s="556">
        <f t="shared" ref="G45:S45" si="12">G3</f>
        <v>1.5</v>
      </c>
      <c r="H45" s="556">
        <f t="shared" si="12"/>
        <v>2.25</v>
      </c>
      <c r="I45" s="556">
        <f t="shared" si="12"/>
        <v>2.25</v>
      </c>
      <c r="J45" s="556">
        <f t="shared" si="12"/>
        <v>3.25</v>
      </c>
      <c r="K45" s="556">
        <f t="shared" si="12"/>
        <v>3.25</v>
      </c>
      <c r="L45" s="556">
        <f t="shared" si="12"/>
        <v>3.25</v>
      </c>
      <c r="M45" s="556">
        <f t="shared" si="12"/>
        <v>1.5</v>
      </c>
      <c r="N45" s="556">
        <f t="shared" si="12"/>
        <v>2.25</v>
      </c>
      <c r="O45" s="556">
        <f t="shared" si="12"/>
        <v>1.5</v>
      </c>
      <c r="P45" s="556">
        <f t="shared" si="12"/>
        <v>3.75</v>
      </c>
      <c r="Q45" s="556">
        <f t="shared" si="12"/>
        <v>1</v>
      </c>
      <c r="R45" s="557">
        <f t="shared" si="12"/>
        <v>1</v>
      </c>
      <c r="S45" s="558">
        <f t="shared" si="12"/>
        <v>26.75</v>
      </c>
      <c r="T45" s="559">
        <f t="shared" ref="T45:T51" si="13">S45/ S$52</f>
        <v>0.12022471910112359</v>
      </c>
    </row>
    <row r="46" spans="1:20" s="318" customFormat="1" ht="15" customHeight="1" x14ac:dyDescent="0.25">
      <c r="A46" s="317"/>
      <c r="B46" s="548"/>
      <c r="C46" s="375"/>
      <c r="D46" s="520"/>
      <c r="E46" s="549" t="s">
        <v>84</v>
      </c>
      <c r="F46" s="555" t="str">
        <f>B7</f>
        <v>WP2</v>
      </c>
      <c r="G46" s="556">
        <f t="shared" ref="G46:S46" si="14">G7</f>
        <v>0.5</v>
      </c>
      <c r="H46" s="556">
        <f t="shared" si="14"/>
        <v>2.5</v>
      </c>
      <c r="I46" s="556">
        <f t="shared" si="14"/>
        <v>2.5</v>
      </c>
      <c r="J46" s="556">
        <f t="shared" si="14"/>
        <v>2</v>
      </c>
      <c r="K46" s="556">
        <f t="shared" si="14"/>
        <v>0.5</v>
      </c>
      <c r="L46" s="556">
        <f t="shared" si="14"/>
        <v>0.5</v>
      </c>
      <c r="M46" s="556">
        <f t="shared" si="14"/>
        <v>0.5</v>
      </c>
      <c r="N46" s="556">
        <f t="shared" si="14"/>
        <v>3.5</v>
      </c>
      <c r="O46" s="556">
        <f t="shared" si="14"/>
        <v>0.5</v>
      </c>
      <c r="P46" s="556">
        <f t="shared" si="14"/>
        <v>0.5</v>
      </c>
      <c r="Q46" s="556">
        <f t="shared" si="14"/>
        <v>0.5</v>
      </c>
      <c r="R46" s="557">
        <f t="shared" si="14"/>
        <v>3.75</v>
      </c>
      <c r="S46" s="558">
        <f t="shared" si="14"/>
        <v>17.75</v>
      </c>
      <c r="T46" s="559">
        <f t="shared" si="13"/>
        <v>7.9775280898876408E-2</v>
      </c>
    </row>
    <row r="47" spans="1:20" s="318" customFormat="1" ht="15" customHeight="1" x14ac:dyDescent="0.25">
      <c r="A47" s="317"/>
      <c r="B47" s="548"/>
      <c r="C47" s="375"/>
      <c r="D47" s="520"/>
      <c r="E47" s="549" t="s">
        <v>84</v>
      </c>
      <c r="F47" s="555" t="str">
        <f>B12</f>
        <v>WP3</v>
      </c>
      <c r="G47" s="556">
        <f t="shared" ref="G47:S47" si="15">G12</f>
        <v>7</v>
      </c>
      <c r="H47" s="556">
        <f t="shared" si="15"/>
        <v>2.5</v>
      </c>
      <c r="I47" s="556">
        <f t="shared" si="15"/>
        <v>3.5</v>
      </c>
      <c r="J47" s="556">
        <f t="shared" si="15"/>
        <v>6</v>
      </c>
      <c r="K47" s="556">
        <f t="shared" si="15"/>
        <v>3.5</v>
      </c>
      <c r="L47" s="556">
        <f t="shared" si="15"/>
        <v>3.5</v>
      </c>
      <c r="M47" s="556">
        <f t="shared" si="15"/>
        <v>2.5</v>
      </c>
      <c r="N47" s="556">
        <f t="shared" si="15"/>
        <v>2.5</v>
      </c>
      <c r="O47" s="556">
        <f t="shared" si="15"/>
        <v>2.5</v>
      </c>
      <c r="P47" s="556">
        <f t="shared" si="15"/>
        <v>3.5</v>
      </c>
      <c r="Q47" s="556">
        <f t="shared" si="15"/>
        <v>4.5</v>
      </c>
      <c r="R47" s="557">
        <f t="shared" si="15"/>
        <v>4</v>
      </c>
      <c r="S47" s="558">
        <f t="shared" si="15"/>
        <v>45.5</v>
      </c>
      <c r="T47" s="559">
        <f t="shared" si="13"/>
        <v>0.20449438202247192</v>
      </c>
    </row>
    <row r="48" spans="1:20" s="318" customFormat="1" ht="15" customHeight="1" x14ac:dyDescent="0.25">
      <c r="A48" s="317"/>
      <c r="B48" s="548"/>
      <c r="C48" s="375"/>
      <c r="D48" s="520"/>
      <c r="E48" s="549" t="s">
        <v>84</v>
      </c>
      <c r="F48" s="555" t="str">
        <f>B19</f>
        <v>WP4</v>
      </c>
      <c r="G48" s="556">
        <f t="shared" ref="G48:S48" si="16">G19</f>
        <v>5.5</v>
      </c>
      <c r="H48" s="556">
        <f t="shared" si="16"/>
        <v>8.5</v>
      </c>
      <c r="I48" s="556">
        <f t="shared" si="16"/>
        <v>7</v>
      </c>
      <c r="J48" s="556">
        <f t="shared" si="16"/>
        <v>3</v>
      </c>
      <c r="K48" s="556">
        <f t="shared" si="16"/>
        <v>8</v>
      </c>
      <c r="L48" s="556">
        <f t="shared" si="16"/>
        <v>9</v>
      </c>
      <c r="M48" s="556">
        <f t="shared" si="16"/>
        <v>3</v>
      </c>
      <c r="N48" s="556">
        <f t="shared" si="16"/>
        <v>7</v>
      </c>
      <c r="O48" s="556">
        <f t="shared" si="16"/>
        <v>6</v>
      </c>
      <c r="P48" s="556">
        <f t="shared" si="16"/>
        <v>2.5</v>
      </c>
      <c r="Q48" s="556">
        <f t="shared" si="16"/>
        <v>12.75</v>
      </c>
      <c r="R48" s="557">
        <f t="shared" si="16"/>
        <v>2.5</v>
      </c>
      <c r="S48" s="558">
        <f t="shared" si="16"/>
        <v>74.75</v>
      </c>
      <c r="T48" s="559">
        <f t="shared" si="13"/>
        <v>0.33595505617977528</v>
      </c>
    </row>
    <row r="49" spans="1:20" s="318" customFormat="1" ht="15" customHeight="1" x14ac:dyDescent="0.25">
      <c r="A49" s="317"/>
      <c r="B49" s="548"/>
      <c r="C49" s="375" t="s">
        <v>84</v>
      </c>
      <c r="D49" s="520"/>
      <c r="E49" s="549" t="s">
        <v>84</v>
      </c>
      <c r="F49" s="555" t="str">
        <f>B29</f>
        <v>WP5</v>
      </c>
      <c r="G49" s="556">
        <f t="shared" ref="G49:S49" si="17">G29</f>
        <v>0.75</v>
      </c>
      <c r="H49" s="556">
        <f t="shared" si="17"/>
        <v>0.75</v>
      </c>
      <c r="I49" s="556">
        <f t="shared" si="17"/>
        <v>0.75</v>
      </c>
      <c r="J49" s="556">
        <f t="shared" si="17"/>
        <v>0.75</v>
      </c>
      <c r="K49" s="556">
        <f t="shared" si="17"/>
        <v>0.75</v>
      </c>
      <c r="L49" s="556">
        <f t="shared" si="17"/>
        <v>0.75</v>
      </c>
      <c r="M49" s="556">
        <f t="shared" si="17"/>
        <v>0.75</v>
      </c>
      <c r="N49" s="556">
        <f t="shared" si="17"/>
        <v>0.75</v>
      </c>
      <c r="O49" s="556">
        <f t="shared" si="17"/>
        <v>0.75</v>
      </c>
      <c r="P49" s="556">
        <f t="shared" si="17"/>
        <v>0.75</v>
      </c>
      <c r="Q49" s="556">
        <f t="shared" si="17"/>
        <v>6</v>
      </c>
      <c r="R49" s="557">
        <f t="shared" si="17"/>
        <v>0.75</v>
      </c>
      <c r="S49" s="558">
        <f t="shared" si="17"/>
        <v>14.25</v>
      </c>
      <c r="T49" s="559">
        <f t="shared" si="13"/>
        <v>6.4044943820224715E-2</v>
      </c>
    </row>
    <row r="50" spans="1:20" s="318" customFormat="1" ht="15" customHeight="1" x14ac:dyDescent="0.25">
      <c r="A50" s="317"/>
      <c r="B50" s="548"/>
      <c r="C50" s="375"/>
      <c r="D50" s="520"/>
      <c r="E50" s="549" t="s">
        <v>84</v>
      </c>
      <c r="F50" s="555" t="str">
        <f>B33</f>
        <v>WP6</v>
      </c>
      <c r="G50" s="556">
        <f t="shared" ref="G50:S50" si="18">G33</f>
        <v>2</v>
      </c>
      <c r="H50" s="556">
        <f t="shared" si="18"/>
        <v>7.5</v>
      </c>
      <c r="I50" s="556">
        <f t="shared" si="18"/>
        <v>2</v>
      </c>
      <c r="J50" s="556">
        <f t="shared" si="18"/>
        <v>2</v>
      </c>
      <c r="K50" s="556">
        <f t="shared" si="18"/>
        <v>3</v>
      </c>
      <c r="L50" s="556">
        <f t="shared" si="18"/>
        <v>2</v>
      </c>
      <c r="M50" s="556">
        <f t="shared" si="18"/>
        <v>2</v>
      </c>
      <c r="N50" s="556">
        <f t="shared" si="18"/>
        <v>2</v>
      </c>
      <c r="O50" s="556">
        <f t="shared" si="18"/>
        <v>2</v>
      </c>
      <c r="P50" s="556">
        <f t="shared" si="18"/>
        <v>1</v>
      </c>
      <c r="Q50" s="556">
        <f t="shared" si="18"/>
        <v>1</v>
      </c>
      <c r="R50" s="557">
        <f t="shared" si="18"/>
        <v>1</v>
      </c>
      <c r="S50" s="558">
        <f t="shared" si="18"/>
        <v>27.5</v>
      </c>
      <c r="T50" s="559">
        <f t="shared" si="13"/>
        <v>0.12359550561797752</v>
      </c>
    </row>
    <row r="51" spans="1:20" s="318" customFormat="1" ht="15" customHeight="1" x14ac:dyDescent="0.25">
      <c r="A51" s="317"/>
      <c r="B51" s="548"/>
      <c r="C51" s="375"/>
      <c r="D51" s="520"/>
      <c r="E51" s="549" t="s">
        <v>84</v>
      </c>
      <c r="F51" s="555" t="str">
        <f>B37</f>
        <v>WP7</v>
      </c>
      <c r="G51" s="556">
        <f t="shared" ref="G51:S51" si="19">G37</f>
        <v>16</v>
      </c>
      <c r="H51" s="556">
        <f t="shared" si="19"/>
        <v>0</v>
      </c>
      <c r="I51" s="556">
        <f t="shared" si="19"/>
        <v>0</v>
      </c>
      <c r="J51" s="556">
        <f t="shared" si="19"/>
        <v>0</v>
      </c>
      <c r="K51" s="556">
        <f t="shared" si="19"/>
        <v>0</v>
      </c>
      <c r="L51" s="556">
        <f t="shared" si="19"/>
        <v>0</v>
      </c>
      <c r="M51" s="556">
        <f t="shared" si="19"/>
        <v>0</v>
      </c>
      <c r="N51" s="556">
        <f t="shared" si="19"/>
        <v>0</v>
      </c>
      <c r="O51" s="556">
        <f t="shared" si="19"/>
        <v>0</v>
      </c>
      <c r="P51" s="556">
        <f t="shared" si="19"/>
        <v>0</v>
      </c>
      <c r="Q51" s="556">
        <f t="shared" si="19"/>
        <v>0</v>
      </c>
      <c r="R51" s="557">
        <f t="shared" si="19"/>
        <v>0</v>
      </c>
      <c r="S51" s="558">
        <f t="shared" si="19"/>
        <v>16</v>
      </c>
      <c r="T51" s="559">
        <f t="shared" si="13"/>
        <v>7.1910112359550568E-2</v>
      </c>
    </row>
    <row r="52" spans="1:20" s="318" customFormat="1" ht="15" customHeight="1" x14ac:dyDescent="0.25">
      <c r="A52" s="317"/>
      <c r="B52" s="548"/>
      <c r="C52" s="375"/>
      <c r="D52" s="520"/>
      <c r="E52" s="549"/>
      <c r="F52" s="558" t="s">
        <v>421</v>
      </c>
      <c r="G52" s="558">
        <f t="shared" ref="G52:S52" si="20">G41</f>
        <v>33.25</v>
      </c>
      <c r="H52" s="558">
        <f t="shared" si="20"/>
        <v>24</v>
      </c>
      <c r="I52" s="558">
        <f t="shared" si="20"/>
        <v>18</v>
      </c>
      <c r="J52" s="558">
        <f t="shared" si="20"/>
        <v>17</v>
      </c>
      <c r="K52" s="558">
        <f t="shared" si="20"/>
        <v>19</v>
      </c>
      <c r="L52" s="558">
        <f t="shared" si="20"/>
        <v>19</v>
      </c>
      <c r="M52" s="558">
        <f t="shared" si="20"/>
        <v>10.25</v>
      </c>
      <c r="N52" s="558">
        <f t="shared" si="20"/>
        <v>18</v>
      </c>
      <c r="O52" s="558">
        <f t="shared" si="20"/>
        <v>13.25</v>
      </c>
      <c r="P52" s="558">
        <f t="shared" si="20"/>
        <v>12</v>
      </c>
      <c r="Q52" s="558">
        <f t="shared" si="20"/>
        <v>25.75</v>
      </c>
      <c r="R52" s="558">
        <f t="shared" si="20"/>
        <v>13</v>
      </c>
      <c r="S52" s="560">
        <f t="shared" si="20"/>
        <v>222.5</v>
      </c>
      <c r="T52" s="559">
        <f>SUM(T45:T51)</f>
        <v>1</v>
      </c>
    </row>
    <row r="53" spans="1:20" s="318" customFormat="1" ht="15" customHeight="1" x14ac:dyDescent="0.25">
      <c r="A53" s="317"/>
      <c r="B53" s="548"/>
      <c r="C53" s="375"/>
      <c r="D53" s="520"/>
      <c r="E53" s="549"/>
      <c r="F53" s="520"/>
      <c r="G53" s="550"/>
      <c r="H53" s="550" t="s">
        <v>84</v>
      </c>
      <c r="I53" s="550"/>
      <c r="J53" s="550"/>
      <c r="K53" s="550"/>
      <c r="L53" s="550"/>
      <c r="M53" s="550"/>
      <c r="N53" s="550"/>
      <c r="O53" s="550" t="s">
        <v>84</v>
      </c>
      <c r="P53" s="550" t="s">
        <v>84</v>
      </c>
      <c r="Q53" s="550"/>
      <c r="R53" s="550"/>
      <c r="S53" s="550"/>
      <c r="T53" s="552" t="s">
        <v>84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AA9D4-A83B-4E1F-8374-39E11B795A18}">
  <dimension ref="A1:S53"/>
  <sheetViews>
    <sheetView topLeftCell="A3" zoomScaleNormal="100" workbookViewId="0">
      <selection activeCell="Y25" sqref="Y25"/>
    </sheetView>
  </sheetViews>
  <sheetFormatPr baseColWidth="10" defaultRowHeight="15" x14ac:dyDescent="0.25"/>
  <sheetData>
    <row r="1" spans="1:19" ht="15.75" thickBot="1" x14ac:dyDescent="0.3">
      <c r="A1" s="492" t="s">
        <v>84</v>
      </c>
      <c r="B1" s="493"/>
      <c r="C1" s="494"/>
      <c r="D1" s="495"/>
      <c r="E1" s="496"/>
      <c r="F1" s="497" t="s">
        <v>400</v>
      </c>
      <c r="G1" s="497" t="s">
        <v>401</v>
      </c>
      <c r="H1" s="497" t="s">
        <v>402</v>
      </c>
      <c r="I1" s="497" t="s">
        <v>403</v>
      </c>
      <c r="J1" s="497" t="s">
        <v>404</v>
      </c>
      <c r="K1" s="497" t="s">
        <v>405</v>
      </c>
      <c r="L1" s="497" t="s">
        <v>406</v>
      </c>
      <c r="M1" s="497" t="s">
        <v>407</v>
      </c>
      <c r="N1" s="497" t="s">
        <v>408</v>
      </c>
      <c r="O1" s="497" t="s">
        <v>409</v>
      </c>
      <c r="P1" s="497" t="s">
        <v>410</v>
      </c>
      <c r="Q1" s="497" t="s">
        <v>411</v>
      </c>
      <c r="R1" s="498"/>
      <c r="S1" s="612"/>
    </row>
    <row r="2" spans="1:19" ht="15" customHeight="1" thickTop="1" x14ac:dyDescent="0.25">
      <c r="A2" s="499" t="s">
        <v>412</v>
      </c>
      <c r="B2" s="500" t="s">
        <v>413</v>
      </c>
      <c r="C2" s="501" t="s">
        <v>414</v>
      </c>
      <c r="D2" s="502" t="s">
        <v>415</v>
      </c>
      <c r="E2" s="503" t="s">
        <v>416</v>
      </c>
      <c r="F2" s="504" t="s">
        <v>150</v>
      </c>
      <c r="G2" s="504" t="s">
        <v>153</v>
      </c>
      <c r="H2" s="504" t="s">
        <v>417</v>
      </c>
      <c r="I2" s="504" t="s">
        <v>160</v>
      </c>
      <c r="J2" s="504" t="s">
        <v>155</v>
      </c>
      <c r="K2" s="504" t="s">
        <v>156</v>
      </c>
      <c r="L2" s="504" t="s">
        <v>157</v>
      </c>
      <c r="M2" s="504" t="s">
        <v>112</v>
      </c>
      <c r="N2" s="504" t="s">
        <v>125</v>
      </c>
      <c r="O2" s="504" t="s">
        <v>159</v>
      </c>
      <c r="P2" s="504" t="s">
        <v>152</v>
      </c>
      <c r="Q2" s="504" t="s">
        <v>158</v>
      </c>
      <c r="R2" s="497" t="s">
        <v>418</v>
      </c>
      <c r="S2" s="505">
        <f>S3+S7+S12+S19+S29+S33+S37</f>
        <v>1</v>
      </c>
    </row>
    <row r="3" spans="1:19" ht="15" customHeight="1" x14ac:dyDescent="0.25">
      <c r="A3" s="507" t="s">
        <v>8</v>
      </c>
      <c r="B3" s="508" t="s">
        <v>7</v>
      </c>
      <c r="C3" s="509" t="s">
        <v>159</v>
      </c>
      <c r="D3" s="510">
        <v>1</v>
      </c>
      <c r="E3" s="511">
        <v>6</v>
      </c>
      <c r="F3" s="512">
        <f>SUM( F4:F6)</f>
        <v>1.5</v>
      </c>
      <c r="G3" s="512">
        <f t="shared" ref="G3:Q3" si="0">SUM(G4:G6)</f>
        <v>2.25</v>
      </c>
      <c r="H3" s="512">
        <f t="shared" si="0"/>
        <v>2.25</v>
      </c>
      <c r="I3" s="512">
        <f t="shared" si="0"/>
        <v>3.25</v>
      </c>
      <c r="J3" s="512">
        <f t="shared" si="0"/>
        <v>3.25</v>
      </c>
      <c r="K3" s="512">
        <f t="shared" si="0"/>
        <v>3.25</v>
      </c>
      <c r="L3" s="512">
        <f t="shared" si="0"/>
        <v>1.5</v>
      </c>
      <c r="M3" s="512">
        <f t="shared" si="0"/>
        <v>2.25</v>
      </c>
      <c r="N3" s="512">
        <f t="shared" si="0"/>
        <v>1.5</v>
      </c>
      <c r="O3" s="512">
        <f t="shared" si="0"/>
        <v>3.75</v>
      </c>
      <c r="P3" s="512">
        <f t="shared" si="0"/>
        <v>1</v>
      </c>
      <c r="Q3" s="512">
        <f t="shared" si="0"/>
        <v>1</v>
      </c>
      <c r="R3" s="513">
        <f>SUM(F3:Q3)</f>
        <v>26.75</v>
      </c>
      <c r="S3" s="505">
        <f>R3/ R$41</f>
        <v>0.12022471910112359</v>
      </c>
    </row>
    <row r="4" spans="1:19" ht="15" customHeight="1" x14ac:dyDescent="0.25">
      <c r="A4" s="515" t="s">
        <v>10</v>
      </c>
      <c r="B4" s="516" t="s">
        <v>9</v>
      </c>
      <c r="C4" s="517" t="s">
        <v>112</v>
      </c>
      <c r="D4" s="518">
        <v>1</v>
      </c>
      <c r="E4" s="519">
        <v>3</v>
      </c>
      <c r="F4" s="520">
        <v>1</v>
      </c>
      <c r="G4" s="520">
        <v>1</v>
      </c>
      <c r="H4" s="520">
        <v>0.25</v>
      </c>
      <c r="I4" s="520">
        <v>0.25</v>
      </c>
      <c r="J4" s="520">
        <v>0.25</v>
      </c>
      <c r="K4" s="520">
        <v>0.25</v>
      </c>
      <c r="L4" s="520">
        <v>1</v>
      </c>
      <c r="M4" s="520">
        <v>1.75</v>
      </c>
      <c r="N4" s="520">
        <v>1</v>
      </c>
      <c r="O4" s="520">
        <v>0</v>
      </c>
      <c r="P4" s="520">
        <v>0.5</v>
      </c>
      <c r="Q4" s="520">
        <v>0.5</v>
      </c>
      <c r="R4" s="521">
        <f>SUM(F4:Q4)</f>
        <v>7.75</v>
      </c>
      <c r="S4" s="514" t="s">
        <v>84</v>
      </c>
    </row>
    <row r="5" spans="1:19" ht="15" customHeight="1" x14ac:dyDescent="0.25">
      <c r="A5" s="515" t="s">
        <v>12</v>
      </c>
      <c r="B5" s="522" t="s">
        <v>11</v>
      </c>
      <c r="C5" s="517" t="s">
        <v>159</v>
      </c>
      <c r="D5" s="518">
        <v>1</v>
      </c>
      <c r="E5" s="519">
        <v>4</v>
      </c>
      <c r="F5" s="520">
        <v>0.25</v>
      </c>
      <c r="G5" s="520">
        <v>0.25</v>
      </c>
      <c r="H5" s="520">
        <v>1</v>
      </c>
      <c r="I5" s="520">
        <v>1</v>
      </c>
      <c r="J5" s="520">
        <v>1</v>
      </c>
      <c r="K5" s="520">
        <v>1</v>
      </c>
      <c r="L5" s="520">
        <v>0.25</v>
      </c>
      <c r="M5" s="520">
        <v>0.25</v>
      </c>
      <c r="N5" s="520">
        <v>0.25</v>
      </c>
      <c r="O5" s="520">
        <v>1.75</v>
      </c>
      <c r="P5" s="520">
        <v>0.25</v>
      </c>
      <c r="Q5" s="520">
        <v>0.25</v>
      </c>
      <c r="R5" s="521">
        <f>SUM(F5:Q5)</f>
        <v>7.5</v>
      </c>
      <c r="S5" s="514" t="s">
        <v>84</v>
      </c>
    </row>
    <row r="6" spans="1:19" ht="15" customHeight="1" x14ac:dyDescent="0.25">
      <c r="A6" s="515" t="s">
        <v>14</v>
      </c>
      <c r="B6" s="522" t="s">
        <v>13</v>
      </c>
      <c r="C6" s="517" t="s">
        <v>159</v>
      </c>
      <c r="D6" s="518">
        <v>3</v>
      </c>
      <c r="E6" s="519">
        <v>6</v>
      </c>
      <c r="F6" s="520">
        <v>0.25</v>
      </c>
      <c r="G6" s="520">
        <v>1</v>
      </c>
      <c r="H6" s="520">
        <v>1</v>
      </c>
      <c r="I6" s="520">
        <v>2</v>
      </c>
      <c r="J6" s="520">
        <v>2</v>
      </c>
      <c r="K6" s="520">
        <v>2</v>
      </c>
      <c r="L6" s="520">
        <v>0.25</v>
      </c>
      <c r="M6" s="520">
        <v>0.25</v>
      </c>
      <c r="N6" s="520">
        <v>0.25</v>
      </c>
      <c r="O6" s="520">
        <v>2</v>
      </c>
      <c r="P6" s="520">
        <v>0.25</v>
      </c>
      <c r="Q6" s="520">
        <v>0.25</v>
      </c>
      <c r="R6" s="521">
        <f>SUM(F6:Q6)</f>
        <v>11.5</v>
      </c>
      <c r="S6" s="514" t="s">
        <v>84</v>
      </c>
    </row>
    <row r="7" spans="1:19" ht="15" customHeight="1" x14ac:dyDescent="0.25">
      <c r="A7" s="507" t="s">
        <v>16</v>
      </c>
      <c r="B7" s="508" t="s">
        <v>15</v>
      </c>
      <c r="C7" s="509" t="s">
        <v>112</v>
      </c>
      <c r="D7" s="510">
        <v>1</v>
      </c>
      <c r="E7" s="511">
        <v>36</v>
      </c>
      <c r="F7" s="512">
        <f t="shared" ref="F7:R7" si="1">SUM(F8:F11)</f>
        <v>0.5</v>
      </c>
      <c r="G7" s="512">
        <f t="shared" si="1"/>
        <v>2.5</v>
      </c>
      <c r="H7" s="512">
        <f t="shared" si="1"/>
        <v>2.5</v>
      </c>
      <c r="I7" s="512">
        <f t="shared" si="1"/>
        <v>2</v>
      </c>
      <c r="J7" s="512">
        <f t="shared" si="1"/>
        <v>0.5</v>
      </c>
      <c r="K7" s="512">
        <f t="shared" si="1"/>
        <v>0.5</v>
      </c>
      <c r="L7" s="512">
        <f t="shared" si="1"/>
        <v>0.5</v>
      </c>
      <c r="M7" s="512">
        <f t="shared" si="1"/>
        <v>3.5</v>
      </c>
      <c r="N7" s="512">
        <f t="shared" si="1"/>
        <v>0.5</v>
      </c>
      <c r="O7" s="512">
        <f t="shared" si="1"/>
        <v>0.5</v>
      </c>
      <c r="P7" s="512">
        <f t="shared" si="1"/>
        <v>0.5</v>
      </c>
      <c r="Q7" s="512">
        <f t="shared" si="1"/>
        <v>3.75</v>
      </c>
      <c r="R7" s="513">
        <f t="shared" si="1"/>
        <v>17.75</v>
      </c>
      <c r="S7" s="505">
        <f>R7/ R$41</f>
        <v>7.9775280898876408E-2</v>
      </c>
    </row>
    <row r="8" spans="1:19" ht="15" customHeight="1" x14ac:dyDescent="0.25">
      <c r="A8" s="515" t="s">
        <v>18</v>
      </c>
      <c r="B8" s="522" t="s">
        <v>17</v>
      </c>
      <c r="C8" s="517" t="s">
        <v>112</v>
      </c>
      <c r="D8" s="518">
        <v>1</v>
      </c>
      <c r="E8" s="519">
        <v>36</v>
      </c>
      <c r="F8" s="520">
        <v>0.25</v>
      </c>
      <c r="G8" s="520">
        <v>1.25</v>
      </c>
      <c r="H8" s="520">
        <v>1.25</v>
      </c>
      <c r="I8" s="520">
        <v>0.75</v>
      </c>
      <c r="J8" s="520">
        <v>0.25</v>
      </c>
      <c r="K8" s="520">
        <v>0.25</v>
      </c>
      <c r="L8" s="520">
        <v>0.25</v>
      </c>
      <c r="M8" s="520">
        <v>3.25</v>
      </c>
      <c r="N8" s="520">
        <v>0.25</v>
      </c>
      <c r="O8" s="520">
        <v>0.25</v>
      </c>
      <c r="P8" s="520">
        <v>0.25</v>
      </c>
      <c r="Q8" s="520">
        <v>0</v>
      </c>
      <c r="R8" s="521">
        <f>SUM(F8:Q8)</f>
        <v>8.25</v>
      </c>
      <c r="S8" s="514" t="s">
        <v>84</v>
      </c>
    </row>
    <row r="9" spans="1:19" ht="15" customHeight="1" x14ac:dyDescent="0.25">
      <c r="A9" s="515" t="s">
        <v>20</v>
      </c>
      <c r="B9" s="522" t="s">
        <v>19</v>
      </c>
      <c r="C9" s="517" t="s">
        <v>150</v>
      </c>
      <c r="D9" s="518">
        <v>1</v>
      </c>
      <c r="E9" s="519">
        <v>36</v>
      </c>
      <c r="F9" s="520">
        <v>0.25</v>
      </c>
      <c r="G9" s="520">
        <v>0</v>
      </c>
      <c r="H9" s="520">
        <v>0</v>
      </c>
      <c r="I9" s="520">
        <v>0</v>
      </c>
      <c r="J9" s="520">
        <v>0</v>
      </c>
      <c r="K9" s="520">
        <v>0</v>
      </c>
      <c r="L9" s="520">
        <v>0</v>
      </c>
      <c r="M9" s="520">
        <v>0</v>
      </c>
      <c r="N9" s="520">
        <v>0</v>
      </c>
      <c r="O9" s="520">
        <v>0</v>
      </c>
      <c r="P9" s="520">
        <v>0</v>
      </c>
      <c r="Q9" s="520">
        <v>0</v>
      </c>
      <c r="R9" s="521">
        <f>SUM(F9:Q9)</f>
        <v>0.25</v>
      </c>
      <c r="S9" s="514" t="s">
        <v>84</v>
      </c>
    </row>
    <row r="10" spans="1:19" ht="15" customHeight="1" x14ac:dyDescent="0.25">
      <c r="A10" s="515" t="s">
        <v>22</v>
      </c>
      <c r="B10" s="522" t="s">
        <v>21</v>
      </c>
      <c r="C10" s="517" t="s">
        <v>160</v>
      </c>
      <c r="D10" s="518">
        <v>1</v>
      </c>
      <c r="E10" s="519">
        <v>36</v>
      </c>
      <c r="F10" s="520">
        <v>0</v>
      </c>
      <c r="G10" s="520">
        <v>1</v>
      </c>
      <c r="H10" s="520">
        <v>1</v>
      </c>
      <c r="I10" s="520">
        <v>1</v>
      </c>
      <c r="J10" s="520">
        <v>0</v>
      </c>
      <c r="K10" s="520">
        <v>0</v>
      </c>
      <c r="L10" s="520">
        <v>0</v>
      </c>
      <c r="M10" s="520">
        <v>0</v>
      </c>
      <c r="N10" s="520">
        <v>0</v>
      </c>
      <c r="O10" s="520">
        <v>0</v>
      </c>
      <c r="P10" s="520">
        <v>0</v>
      </c>
      <c r="Q10" s="520">
        <v>0</v>
      </c>
      <c r="R10" s="521">
        <f>SUM(F10:Q10)</f>
        <v>3</v>
      </c>
      <c r="S10" s="514" t="s">
        <v>84</v>
      </c>
    </row>
    <row r="11" spans="1:19" ht="15" customHeight="1" x14ac:dyDescent="0.25">
      <c r="A11" s="515" t="s">
        <v>24</v>
      </c>
      <c r="B11" s="522" t="s">
        <v>23</v>
      </c>
      <c r="C11" s="517" t="s">
        <v>158</v>
      </c>
      <c r="D11" s="518">
        <v>1</v>
      </c>
      <c r="E11" s="519">
        <v>36</v>
      </c>
      <c r="F11" s="520">
        <v>0</v>
      </c>
      <c r="G11" s="520">
        <v>0.25</v>
      </c>
      <c r="H11" s="520">
        <v>0.25</v>
      </c>
      <c r="I11" s="520">
        <v>0.25</v>
      </c>
      <c r="J11" s="520">
        <v>0.25</v>
      </c>
      <c r="K11" s="520">
        <v>0.25</v>
      </c>
      <c r="L11" s="520">
        <v>0.25</v>
      </c>
      <c r="M11" s="520">
        <v>0.25</v>
      </c>
      <c r="N11" s="520">
        <v>0.25</v>
      </c>
      <c r="O11" s="520">
        <v>0.25</v>
      </c>
      <c r="P11" s="520">
        <v>0.25</v>
      </c>
      <c r="Q11" s="520">
        <v>3.75</v>
      </c>
      <c r="R11" s="521">
        <f>SUM(F11:Q11)</f>
        <v>6.25</v>
      </c>
      <c r="S11" s="514" t="s">
        <v>84</v>
      </c>
    </row>
    <row r="12" spans="1:19" ht="15" customHeight="1" x14ac:dyDescent="0.25">
      <c r="A12" s="507" t="s">
        <v>26</v>
      </c>
      <c r="B12" s="523" t="s">
        <v>25</v>
      </c>
      <c r="C12" s="509" t="s">
        <v>160</v>
      </c>
      <c r="D12" s="510">
        <v>1</v>
      </c>
      <c r="E12" s="511">
        <v>36</v>
      </c>
      <c r="F12" s="512">
        <f t="shared" ref="F12:R12" si="2">SUM(F13:F18)</f>
        <v>7</v>
      </c>
      <c r="G12" s="512">
        <f t="shared" si="2"/>
        <v>2.5</v>
      </c>
      <c r="H12" s="512">
        <f t="shared" si="2"/>
        <v>3.5</v>
      </c>
      <c r="I12" s="512">
        <f t="shared" si="2"/>
        <v>6</v>
      </c>
      <c r="J12" s="512">
        <f t="shared" si="2"/>
        <v>3.5</v>
      </c>
      <c r="K12" s="512">
        <f t="shared" si="2"/>
        <v>3.5</v>
      </c>
      <c r="L12" s="512">
        <f t="shared" si="2"/>
        <v>2.5</v>
      </c>
      <c r="M12" s="512">
        <f t="shared" si="2"/>
        <v>2.5</v>
      </c>
      <c r="N12" s="512">
        <f t="shared" si="2"/>
        <v>2.5</v>
      </c>
      <c r="O12" s="512">
        <f t="shared" si="2"/>
        <v>3.5</v>
      </c>
      <c r="P12" s="512">
        <f t="shared" si="2"/>
        <v>4.5</v>
      </c>
      <c r="Q12" s="512">
        <f t="shared" si="2"/>
        <v>4</v>
      </c>
      <c r="R12" s="524">
        <f t="shared" si="2"/>
        <v>45.5</v>
      </c>
      <c r="S12" s="505">
        <f>R12/ R$41</f>
        <v>0.20449438202247192</v>
      </c>
    </row>
    <row r="13" spans="1:19" ht="15" customHeight="1" x14ac:dyDescent="0.25">
      <c r="A13" s="515" t="s">
        <v>28</v>
      </c>
      <c r="B13" s="525" t="s">
        <v>27</v>
      </c>
      <c r="C13" s="526" t="s">
        <v>160</v>
      </c>
      <c r="D13" s="527">
        <v>1</v>
      </c>
      <c r="E13" s="528">
        <v>7</v>
      </c>
      <c r="F13" s="520">
        <v>0.5</v>
      </c>
      <c r="G13" s="520">
        <v>0.5</v>
      </c>
      <c r="H13" s="520">
        <v>0.5</v>
      </c>
      <c r="I13" s="520">
        <v>3</v>
      </c>
      <c r="J13" s="520">
        <v>0.5</v>
      </c>
      <c r="K13" s="520">
        <v>0.5</v>
      </c>
      <c r="L13" s="520">
        <v>0.5</v>
      </c>
      <c r="M13" s="520">
        <v>0.5</v>
      </c>
      <c r="N13" s="520">
        <v>0.5</v>
      </c>
      <c r="O13" s="520">
        <v>0.5</v>
      </c>
      <c r="P13" s="520">
        <v>0.5</v>
      </c>
      <c r="Q13" s="520">
        <v>0.5</v>
      </c>
      <c r="R13" s="521">
        <f t="shared" ref="R13:R18" si="3">SUM(F13:Q13)</f>
        <v>8.5</v>
      </c>
      <c r="S13" s="514"/>
    </row>
    <row r="14" spans="1:19" ht="15" customHeight="1" x14ac:dyDescent="0.25">
      <c r="A14" s="515" t="s">
        <v>30</v>
      </c>
      <c r="B14" s="525" t="s">
        <v>29</v>
      </c>
      <c r="C14" s="526" t="s">
        <v>158</v>
      </c>
      <c r="D14" s="527">
        <v>8</v>
      </c>
      <c r="E14" s="528">
        <v>18</v>
      </c>
      <c r="F14" s="520">
        <v>0.5</v>
      </c>
      <c r="G14" s="520">
        <v>0</v>
      </c>
      <c r="H14" s="520">
        <v>0</v>
      </c>
      <c r="I14" s="520">
        <v>0</v>
      </c>
      <c r="J14" s="520">
        <v>0</v>
      </c>
      <c r="K14" s="520">
        <v>0</v>
      </c>
      <c r="L14" s="520">
        <v>0</v>
      </c>
      <c r="M14" s="520">
        <v>0</v>
      </c>
      <c r="N14" s="520">
        <v>0</v>
      </c>
      <c r="O14" s="520">
        <v>0</v>
      </c>
      <c r="P14" s="520">
        <v>0</v>
      </c>
      <c r="Q14" s="520">
        <v>1</v>
      </c>
      <c r="R14" s="521">
        <f t="shared" si="3"/>
        <v>1.5</v>
      </c>
      <c r="S14" s="514"/>
    </row>
    <row r="15" spans="1:19" ht="15" customHeight="1" x14ac:dyDescent="0.25">
      <c r="A15" s="515" t="s">
        <v>32</v>
      </c>
      <c r="B15" s="525" t="s">
        <v>31</v>
      </c>
      <c r="C15" s="526" t="s">
        <v>158</v>
      </c>
      <c r="D15" s="527">
        <v>11</v>
      </c>
      <c r="E15" s="528">
        <v>20</v>
      </c>
      <c r="F15" s="520">
        <v>1</v>
      </c>
      <c r="G15" s="520">
        <v>1</v>
      </c>
      <c r="H15" s="520">
        <v>1</v>
      </c>
      <c r="I15" s="520">
        <v>1</v>
      </c>
      <c r="J15" s="520">
        <v>1</v>
      </c>
      <c r="K15" s="520">
        <v>1</v>
      </c>
      <c r="L15" s="520">
        <v>1</v>
      </c>
      <c r="M15" s="520">
        <v>1</v>
      </c>
      <c r="N15" s="520">
        <v>1</v>
      </c>
      <c r="O15" s="520">
        <v>1</v>
      </c>
      <c r="P15" s="520">
        <v>1</v>
      </c>
      <c r="Q15" s="520">
        <v>1.5</v>
      </c>
      <c r="R15" s="521">
        <f t="shared" si="3"/>
        <v>12.5</v>
      </c>
      <c r="S15" s="514"/>
    </row>
    <row r="16" spans="1:19" ht="15" customHeight="1" x14ac:dyDescent="0.25">
      <c r="A16" s="515" t="s">
        <v>34</v>
      </c>
      <c r="B16" s="522" t="s">
        <v>33</v>
      </c>
      <c r="C16" s="526" t="s">
        <v>150</v>
      </c>
      <c r="D16" s="529">
        <v>13</v>
      </c>
      <c r="E16" s="530">
        <v>22</v>
      </c>
      <c r="F16" s="520">
        <v>2</v>
      </c>
      <c r="G16" s="520">
        <v>0</v>
      </c>
      <c r="H16" s="520">
        <v>0</v>
      </c>
      <c r="I16" s="520">
        <v>0</v>
      </c>
      <c r="J16" s="520">
        <v>0</v>
      </c>
      <c r="K16" s="520">
        <v>0</v>
      </c>
      <c r="L16" s="520">
        <v>0</v>
      </c>
      <c r="M16" s="520">
        <v>0</v>
      </c>
      <c r="N16" s="520">
        <v>0</v>
      </c>
      <c r="O16" s="520">
        <v>0</v>
      </c>
      <c r="P16" s="520">
        <v>0</v>
      </c>
      <c r="Q16" s="520">
        <v>0</v>
      </c>
      <c r="R16" s="521">
        <f t="shared" si="3"/>
        <v>2</v>
      </c>
      <c r="S16" s="514"/>
    </row>
    <row r="17" spans="1:19" ht="15" customHeight="1" x14ac:dyDescent="0.25">
      <c r="A17" s="515" t="s">
        <v>36</v>
      </c>
      <c r="B17" s="522" t="s">
        <v>35</v>
      </c>
      <c r="C17" s="526" t="s">
        <v>150</v>
      </c>
      <c r="D17" s="529">
        <v>13</v>
      </c>
      <c r="E17" s="530">
        <v>36</v>
      </c>
      <c r="F17" s="520">
        <v>2</v>
      </c>
      <c r="G17" s="520">
        <v>0</v>
      </c>
      <c r="H17" s="520">
        <v>0</v>
      </c>
      <c r="I17" s="520">
        <v>0</v>
      </c>
      <c r="J17" s="520">
        <v>0</v>
      </c>
      <c r="K17" s="520">
        <v>0</v>
      </c>
      <c r="L17" s="520">
        <v>0</v>
      </c>
      <c r="M17" s="520">
        <v>0</v>
      </c>
      <c r="N17" s="520">
        <v>0</v>
      </c>
      <c r="O17" s="520">
        <v>0</v>
      </c>
      <c r="P17" s="520">
        <v>0</v>
      </c>
      <c r="Q17" s="520">
        <v>0</v>
      </c>
      <c r="R17" s="521">
        <f t="shared" si="3"/>
        <v>2</v>
      </c>
      <c r="S17" s="531" t="s">
        <v>84</v>
      </c>
    </row>
    <row r="18" spans="1:19" ht="15" customHeight="1" x14ac:dyDescent="0.25">
      <c r="A18" s="515" t="s">
        <v>38</v>
      </c>
      <c r="B18" s="525" t="s">
        <v>37</v>
      </c>
      <c r="C18" s="532" t="s">
        <v>152</v>
      </c>
      <c r="D18" s="529">
        <v>13</v>
      </c>
      <c r="E18" s="530">
        <v>36</v>
      </c>
      <c r="F18" s="520">
        <v>1</v>
      </c>
      <c r="G18" s="520">
        <v>1</v>
      </c>
      <c r="H18" s="520">
        <v>2</v>
      </c>
      <c r="I18" s="520">
        <v>2</v>
      </c>
      <c r="J18" s="520">
        <v>2</v>
      </c>
      <c r="K18" s="520">
        <v>2</v>
      </c>
      <c r="L18" s="520">
        <v>1</v>
      </c>
      <c r="M18" s="520">
        <v>1</v>
      </c>
      <c r="N18" s="520">
        <v>1</v>
      </c>
      <c r="O18" s="520">
        <v>2</v>
      </c>
      <c r="P18" s="520">
        <v>3</v>
      </c>
      <c r="Q18" s="520">
        <v>1</v>
      </c>
      <c r="R18" s="521">
        <f t="shared" si="3"/>
        <v>19</v>
      </c>
      <c r="S18" s="514" t="s">
        <v>84</v>
      </c>
    </row>
    <row r="19" spans="1:19" ht="15" customHeight="1" x14ac:dyDescent="0.25">
      <c r="A19" s="507" t="s">
        <v>40</v>
      </c>
      <c r="B19" s="508" t="s">
        <v>212</v>
      </c>
      <c r="C19" s="509" t="s">
        <v>155</v>
      </c>
      <c r="D19" s="510">
        <v>1</v>
      </c>
      <c r="E19" s="511">
        <v>36</v>
      </c>
      <c r="F19" s="512">
        <f>SUM(F20:F28)</f>
        <v>5.5</v>
      </c>
      <c r="G19" s="512">
        <f t="shared" ref="G19:R19" si="4">SUM(G20:G28)</f>
        <v>8.5</v>
      </c>
      <c r="H19" s="512">
        <f t="shared" si="4"/>
        <v>7</v>
      </c>
      <c r="I19" s="512">
        <f t="shared" si="4"/>
        <v>3</v>
      </c>
      <c r="J19" s="512">
        <f t="shared" si="4"/>
        <v>8</v>
      </c>
      <c r="K19" s="512">
        <f t="shared" si="4"/>
        <v>9</v>
      </c>
      <c r="L19" s="512">
        <f t="shared" si="4"/>
        <v>3</v>
      </c>
      <c r="M19" s="512">
        <f t="shared" si="4"/>
        <v>7</v>
      </c>
      <c r="N19" s="512">
        <f t="shared" si="4"/>
        <v>6</v>
      </c>
      <c r="O19" s="512">
        <f t="shared" si="4"/>
        <v>2.5</v>
      </c>
      <c r="P19" s="512">
        <f t="shared" si="4"/>
        <v>12.75</v>
      </c>
      <c r="Q19" s="512">
        <f t="shared" si="4"/>
        <v>2.5</v>
      </c>
      <c r="R19" s="524">
        <f t="shared" si="4"/>
        <v>74.75</v>
      </c>
      <c r="S19" s="505">
        <f>R19/ R$41</f>
        <v>0.33595505617977528</v>
      </c>
    </row>
    <row r="20" spans="1:19" ht="15" customHeight="1" x14ac:dyDescent="0.25">
      <c r="A20" s="515" t="s">
        <v>42</v>
      </c>
      <c r="B20" s="533" t="s">
        <v>213</v>
      </c>
      <c r="C20" s="532" t="s">
        <v>155</v>
      </c>
      <c r="D20" s="529">
        <v>1</v>
      </c>
      <c r="E20" s="530">
        <v>36</v>
      </c>
      <c r="F20" s="520">
        <v>0</v>
      </c>
      <c r="G20" s="520">
        <v>0</v>
      </c>
      <c r="H20" s="520">
        <v>0</v>
      </c>
      <c r="I20" s="520">
        <v>0</v>
      </c>
      <c r="J20" s="520">
        <v>2.5</v>
      </c>
      <c r="K20" s="520">
        <v>0</v>
      </c>
      <c r="L20" s="520">
        <v>0</v>
      </c>
      <c r="M20" s="520">
        <v>0</v>
      </c>
      <c r="N20" s="520">
        <v>0</v>
      </c>
      <c r="O20" s="520">
        <v>0</v>
      </c>
      <c r="P20" s="520">
        <v>0</v>
      </c>
      <c r="Q20" s="520">
        <v>0</v>
      </c>
      <c r="R20" s="521">
        <f t="shared" ref="R20:R28" si="5">SUM(F20:Q20)</f>
        <v>2.5</v>
      </c>
      <c r="S20" s="514" t="s">
        <v>84</v>
      </c>
    </row>
    <row r="21" spans="1:19" ht="15" customHeight="1" x14ac:dyDescent="0.25">
      <c r="A21" s="515" t="s">
        <v>44</v>
      </c>
      <c r="B21" s="533" t="s">
        <v>43</v>
      </c>
      <c r="C21" s="532" t="s">
        <v>155</v>
      </c>
      <c r="D21" s="529">
        <v>1</v>
      </c>
      <c r="E21" s="530">
        <v>24</v>
      </c>
      <c r="F21" s="520">
        <v>1</v>
      </c>
      <c r="G21" s="520">
        <v>1</v>
      </c>
      <c r="H21" s="520">
        <v>1</v>
      </c>
      <c r="I21" s="520">
        <v>1</v>
      </c>
      <c r="J21" s="520">
        <v>3</v>
      </c>
      <c r="K21" s="520">
        <v>3.5</v>
      </c>
      <c r="L21" s="520">
        <v>1</v>
      </c>
      <c r="M21" s="520">
        <v>1</v>
      </c>
      <c r="N21" s="520">
        <v>1</v>
      </c>
      <c r="O21" s="520">
        <v>1.5</v>
      </c>
      <c r="P21" s="520">
        <v>1</v>
      </c>
      <c r="Q21" s="520">
        <v>1.5</v>
      </c>
      <c r="R21" s="521">
        <f t="shared" si="5"/>
        <v>17.5</v>
      </c>
      <c r="S21" s="514"/>
    </row>
    <row r="22" spans="1:19" ht="15" customHeight="1" x14ac:dyDescent="0.25">
      <c r="A22" s="515" t="s">
        <v>46</v>
      </c>
      <c r="B22" s="533" t="s">
        <v>45</v>
      </c>
      <c r="C22" s="532" t="s">
        <v>419</v>
      </c>
      <c r="D22" s="529">
        <v>1</v>
      </c>
      <c r="E22" s="530">
        <v>24</v>
      </c>
      <c r="F22" s="520">
        <v>0.5</v>
      </c>
      <c r="G22" s="520">
        <v>4</v>
      </c>
      <c r="H22" s="520">
        <v>0.5</v>
      </c>
      <c r="I22" s="520">
        <v>0.5</v>
      </c>
      <c r="J22" s="520">
        <v>1</v>
      </c>
      <c r="K22" s="520">
        <v>4</v>
      </c>
      <c r="L22" s="520">
        <v>0.5</v>
      </c>
      <c r="M22" s="520">
        <v>0.5</v>
      </c>
      <c r="N22" s="520">
        <v>0.5</v>
      </c>
      <c r="O22" s="520">
        <v>0.5</v>
      </c>
      <c r="P22" s="520">
        <v>0.5</v>
      </c>
      <c r="Q22" s="520">
        <v>0.5</v>
      </c>
      <c r="R22" s="521">
        <f t="shared" si="5"/>
        <v>13.5</v>
      </c>
      <c r="S22" s="514"/>
    </row>
    <row r="23" spans="1:19" ht="15" customHeight="1" x14ac:dyDescent="0.25">
      <c r="A23" s="515" t="s">
        <v>48</v>
      </c>
      <c r="B23" s="533" t="s">
        <v>47</v>
      </c>
      <c r="C23" s="532" t="s">
        <v>112</v>
      </c>
      <c r="D23" s="529">
        <v>1</v>
      </c>
      <c r="E23" s="530">
        <v>24</v>
      </c>
      <c r="F23" s="520">
        <v>0.5</v>
      </c>
      <c r="G23" s="520">
        <v>0.5</v>
      </c>
      <c r="H23" s="520">
        <v>0.5</v>
      </c>
      <c r="I23" s="520">
        <v>0.5</v>
      </c>
      <c r="J23" s="520">
        <v>0.5</v>
      </c>
      <c r="K23" s="520">
        <v>0.5</v>
      </c>
      <c r="L23" s="520">
        <v>0.5</v>
      </c>
      <c r="M23" s="520">
        <v>3</v>
      </c>
      <c r="N23" s="520">
        <v>0.5</v>
      </c>
      <c r="O23" s="520">
        <v>0</v>
      </c>
      <c r="P23" s="520">
        <v>0</v>
      </c>
      <c r="Q23" s="520">
        <v>0</v>
      </c>
      <c r="R23" s="521">
        <f t="shared" si="5"/>
        <v>7</v>
      </c>
      <c r="S23" s="514" t="s">
        <v>84</v>
      </c>
    </row>
    <row r="24" spans="1:19" ht="15" customHeight="1" x14ac:dyDescent="0.25">
      <c r="A24" s="515" t="s">
        <v>50</v>
      </c>
      <c r="B24" s="533" t="s">
        <v>186</v>
      </c>
      <c r="C24" s="532" t="s">
        <v>152</v>
      </c>
      <c r="D24" s="529">
        <v>1</v>
      </c>
      <c r="E24" s="530">
        <v>32</v>
      </c>
      <c r="F24" s="520">
        <v>0</v>
      </c>
      <c r="G24" s="520">
        <v>0</v>
      </c>
      <c r="H24" s="520">
        <v>0</v>
      </c>
      <c r="I24" s="520">
        <v>0</v>
      </c>
      <c r="J24" s="520">
        <v>0</v>
      </c>
      <c r="K24" s="520">
        <v>0</v>
      </c>
      <c r="L24" s="520">
        <v>0</v>
      </c>
      <c r="M24" s="520">
        <v>0</v>
      </c>
      <c r="N24" s="520">
        <v>0</v>
      </c>
      <c r="O24" s="520">
        <v>0</v>
      </c>
      <c r="P24" s="520">
        <v>9.75</v>
      </c>
      <c r="Q24" s="520">
        <v>0</v>
      </c>
      <c r="R24" s="521">
        <f t="shared" si="5"/>
        <v>9.75</v>
      </c>
      <c r="S24" s="514"/>
    </row>
    <row r="25" spans="1:19" ht="15" customHeight="1" x14ac:dyDescent="0.25">
      <c r="A25" s="515" t="s">
        <v>52</v>
      </c>
      <c r="B25" s="534" t="s">
        <v>51</v>
      </c>
      <c r="C25" s="532" t="s">
        <v>153</v>
      </c>
      <c r="D25" s="529">
        <v>1</v>
      </c>
      <c r="E25" s="530">
        <v>32</v>
      </c>
      <c r="F25" s="520">
        <v>0</v>
      </c>
      <c r="G25" s="520">
        <v>2</v>
      </c>
      <c r="H25" s="520">
        <v>0</v>
      </c>
      <c r="I25" s="520">
        <v>0</v>
      </c>
      <c r="J25" s="520">
        <v>0</v>
      </c>
      <c r="K25" s="520">
        <v>0</v>
      </c>
      <c r="L25" s="520">
        <v>0</v>
      </c>
      <c r="M25" s="520">
        <v>0</v>
      </c>
      <c r="N25" s="520">
        <v>0</v>
      </c>
      <c r="O25" s="520">
        <v>0</v>
      </c>
      <c r="P25" s="520">
        <v>0</v>
      </c>
      <c r="Q25" s="520">
        <v>0</v>
      </c>
      <c r="R25" s="521">
        <f t="shared" si="5"/>
        <v>2</v>
      </c>
      <c r="S25" s="514"/>
    </row>
    <row r="26" spans="1:19" ht="15" customHeight="1" x14ac:dyDescent="0.25">
      <c r="A26" s="515" t="s">
        <v>54</v>
      </c>
      <c r="B26" s="534" t="s">
        <v>53</v>
      </c>
      <c r="C26" s="532" t="s">
        <v>125</v>
      </c>
      <c r="D26" s="529">
        <v>1</v>
      </c>
      <c r="E26" s="530">
        <v>32</v>
      </c>
      <c r="F26" s="520">
        <v>0.5</v>
      </c>
      <c r="G26" s="520">
        <v>0.5</v>
      </c>
      <c r="H26" s="520">
        <v>0.5</v>
      </c>
      <c r="I26" s="520">
        <v>0.5</v>
      </c>
      <c r="J26" s="520">
        <v>0.5</v>
      </c>
      <c r="K26" s="520">
        <v>0.5</v>
      </c>
      <c r="L26" s="520">
        <v>0.5</v>
      </c>
      <c r="M26" s="520">
        <v>0.5</v>
      </c>
      <c r="N26" s="520">
        <v>2</v>
      </c>
      <c r="O26" s="520">
        <v>0</v>
      </c>
      <c r="P26" s="520">
        <v>0</v>
      </c>
      <c r="Q26" s="520">
        <v>0</v>
      </c>
      <c r="R26" s="521">
        <f t="shared" si="5"/>
        <v>6</v>
      </c>
      <c r="S26" s="514"/>
    </row>
    <row r="27" spans="1:19" ht="15" customHeight="1" x14ac:dyDescent="0.25">
      <c r="A27" s="515" t="s">
        <v>56</v>
      </c>
      <c r="B27" s="522" t="s">
        <v>55</v>
      </c>
      <c r="C27" s="532" t="s">
        <v>417</v>
      </c>
      <c r="D27" s="529">
        <v>1</v>
      </c>
      <c r="E27" s="530">
        <v>32</v>
      </c>
      <c r="F27" s="520">
        <v>0.5</v>
      </c>
      <c r="G27" s="520">
        <v>0</v>
      </c>
      <c r="H27" s="520">
        <v>4</v>
      </c>
      <c r="I27" s="520">
        <v>0</v>
      </c>
      <c r="J27" s="520">
        <v>0</v>
      </c>
      <c r="K27" s="520">
        <v>0</v>
      </c>
      <c r="L27" s="520">
        <v>0</v>
      </c>
      <c r="M27" s="520">
        <v>1.5</v>
      </c>
      <c r="N27" s="520">
        <v>0</v>
      </c>
      <c r="O27" s="520">
        <v>0</v>
      </c>
      <c r="P27" s="520">
        <v>1</v>
      </c>
      <c r="Q27" s="520">
        <v>0</v>
      </c>
      <c r="R27" s="521">
        <f t="shared" si="5"/>
        <v>7</v>
      </c>
      <c r="S27" s="514"/>
    </row>
    <row r="28" spans="1:19" ht="15" customHeight="1" x14ac:dyDescent="0.25">
      <c r="A28" s="515" t="s">
        <v>58</v>
      </c>
      <c r="B28" s="522" t="s">
        <v>57</v>
      </c>
      <c r="C28" s="532" t="s">
        <v>150</v>
      </c>
      <c r="D28" s="529">
        <v>1</v>
      </c>
      <c r="E28" s="530">
        <v>32</v>
      </c>
      <c r="F28" s="520">
        <v>2.5</v>
      </c>
      <c r="G28" s="520">
        <v>0.5</v>
      </c>
      <c r="H28" s="520">
        <v>0.5</v>
      </c>
      <c r="I28" s="520">
        <v>0.5</v>
      </c>
      <c r="J28" s="520">
        <v>0.5</v>
      </c>
      <c r="K28" s="520">
        <v>0.5</v>
      </c>
      <c r="L28" s="520">
        <v>0.5</v>
      </c>
      <c r="M28" s="520">
        <v>0.5</v>
      </c>
      <c r="N28" s="520">
        <v>2</v>
      </c>
      <c r="O28" s="520">
        <v>0.5</v>
      </c>
      <c r="P28" s="520">
        <v>0.5</v>
      </c>
      <c r="Q28" s="520">
        <v>0.5</v>
      </c>
      <c r="R28" s="521">
        <f t="shared" si="5"/>
        <v>9.5</v>
      </c>
      <c r="S28" s="514"/>
    </row>
    <row r="29" spans="1:19" ht="15" customHeight="1" x14ac:dyDescent="0.25">
      <c r="A29" s="507" t="s">
        <v>60</v>
      </c>
      <c r="B29" s="508" t="s">
        <v>59</v>
      </c>
      <c r="C29" s="509" t="s">
        <v>152</v>
      </c>
      <c r="D29" s="510">
        <v>1</v>
      </c>
      <c r="E29" s="511">
        <v>36</v>
      </c>
      <c r="F29" s="512">
        <f t="shared" ref="F29:R29" si="6">SUM(F30:F32)</f>
        <v>0.75</v>
      </c>
      <c r="G29" s="512">
        <f t="shared" si="6"/>
        <v>0.75</v>
      </c>
      <c r="H29" s="512">
        <f t="shared" si="6"/>
        <v>0.75</v>
      </c>
      <c r="I29" s="512">
        <f t="shared" si="6"/>
        <v>0.75</v>
      </c>
      <c r="J29" s="512">
        <f t="shared" si="6"/>
        <v>0.75</v>
      </c>
      <c r="K29" s="512">
        <f t="shared" si="6"/>
        <v>0.75</v>
      </c>
      <c r="L29" s="512">
        <f t="shared" si="6"/>
        <v>0.75</v>
      </c>
      <c r="M29" s="512">
        <f t="shared" si="6"/>
        <v>0.75</v>
      </c>
      <c r="N29" s="512">
        <f t="shared" si="6"/>
        <v>0.75</v>
      </c>
      <c r="O29" s="512">
        <f t="shared" si="6"/>
        <v>0.75</v>
      </c>
      <c r="P29" s="512">
        <f t="shared" si="6"/>
        <v>6</v>
      </c>
      <c r="Q29" s="512">
        <f t="shared" si="6"/>
        <v>0.75</v>
      </c>
      <c r="R29" s="513">
        <f t="shared" si="6"/>
        <v>14.25</v>
      </c>
      <c r="S29" s="505">
        <f>R29/ R$41</f>
        <v>6.4044943820224715E-2</v>
      </c>
    </row>
    <row r="30" spans="1:19" ht="15" customHeight="1" x14ac:dyDescent="0.25">
      <c r="A30" s="515" t="s">
        <v>62</v>
      </c>
      <c r="B30" s="535" t="s">
        <v>61</v>
      </c>
      <c r="C30" s="536" t="s">
        <v>152</v>
      </c>
      <c r="D30" s="537">
        <v>1</v>
      </c>
      <c r="E30" s="538">
        <v>36</v>
      </c>
      <c r="F30" s="520">
        <v>0.25</v>
      </c>
      <c r="G30" s="520">
        <v>0.25</v>
      </c>
      <c r="H30" s="520">
        <v>0.25</v>
      </c>
      <c r="I30" s="520">
        <v>0.25</v>
      </c>
      <c r="J30" s="520">
        <v>0.25</v>
      </c>
      <c r="K30" s="520">
        <v>0.25</v>
      </c>
      <c r="L30" s="520">
        <v>0.25</v>
      </c>
      <c r="M30" s="520">
        <v>0.25</v>
      </c>
      <c r="N30" s="520">
        <v>0.25</v>
      </c>
      <c r="O30" s="520">
        <v>0.25</v>
      </c>
      <c r="P30" s="520">
        <v>2.5</v>
      </c>
      <c r="Q30" s="520">
        <v>0.25</v>
      </c>
      <c r="R30" s="521">
        <f>SUM(F30:Q30)</f>
        <v>5.25</v>
      </c>
      <c r="S30" s="514"/>
    </row>
    <row r="31" spans="1:19" ht="15" customHeight="1" x14ac:dyDescent="0.25">
      <c r="A31" s="515" t="s">
        <v>64</v>
      </c>
      <c r="B31" s="535" t="s">
        <v>420</v>
      </c>
      <c r="C31" s="536" t="s">
        <v>152</v>
      </c>
      <c r="D31" s="537">
        <v>1</v>
      </c>
      <c r="E31" s="538">
        <v>36</v>
      </c>
      <c r="F31" s="520">
        <v>0.25</v>
      </c>
      <c r="G31" s="520">
        <v>0.25</v>
      </c>
      <c r="H31" s="520">
        <v>0.25</v>
      </c>
      <c r="I31" s="520">
        <v>0.25</v>
      </c>
      <c r="J31" s="520">
        <v>0.25</v>
      </c>
      <c r="K31" s="520">
        <v>0.25</v>
      </c>
      <c r="L31" s="520">
        <v>0.25</v>
      </c>
      <c r="M31" s="520">
        <v>0.25</v>
      </c>
      <c r="N31" s="520">
        <v>0.25</v>
      </c>
      <c r="O31" s="520">
        <v>0.25</v>
      </c>
      <c r="P31" s="520">
        <v>2.5</v>
      </c>
      <c r="Q31" s="520">
        <v>0.25</v>
      </c>
      <c r="R31" s="521">
        <f>SUM(F31:Q31)</f>
        <v>5.25</v>
      </c>
      <c r="S31" s="514"/>
    </row>
    <row r="32" spans="1:19" ht="15" customHeight="1" x14ac:dyDescent="0.25">
      <c r="A32" s="515" t="s">
        <v>66</v>
      </c>
      <c r="B32" s="539" t="s">
        <v>65</v>
      </c>
      <c r="C32" s="536" t="s">
        <v>152</v>
      </c>
      <c r="D32" s="537">
        <v>35</v>
      </c>
      <c r="E32" s="538">
        <v>36</v>
      </c>
      <c r="F32" s="520">
        <v>0.25</v>
      </c>
      <c r="G32" s="520">
        <v>0.25</v>
      </c>
      <c r="H32" s="520">
        <v>0.25</v>
      </c>
      <c r="I32" s="520">
        <v>0.25</v>
      </c>
      <c r="J32" s="520">
        <v>0.25</v>
      </c>
      <c r="K32" s="520">
        <v>0.25</v>
      </c>
      <c r="L32" s="520">
        <v>0.25</v>
      </c>
      <c r="M32" s="520">
        <v>0.25</v>
      </c>
      <c r="N32" s="520">
        <v>0.25</v>
      </c>
      <c r="O32" s="520">
        <v>0.25</v>
      </c>
      <c r="P32" s="520">
        <v>1</v>
      </c>
      <c r="Q32" s="520">
        <v>0.25</v>
      </c>
      <c r="R32" s="521">
        <f>SUM(F32:Q32)</f>
        <v>3.75</v>
      </c>
      <c r="S32" s="514"/>
    </row>
    <row r="33" spans="1:19" ht="15" customHeight="1" x14ac:dyDescent="0.25">
      <c r="A33" s="507" t="s">
        <v>68</v>
      </c>
      <c r="B33" s="508" t="s">
        <v>67</v>
      </c>
      <c r="C33" s="509" t="s">
        <v>153</v>
      </c>
      <c r="D33" s="510">
        <v>1</v>
      </c>
      <c r="E33" s="511">
        <v>36</v>
      </c>
      <c r="F33" s="512">
        <f t="shared" ref="F33:R33" si="7">SUM(F34:F36)</f>
        <v>2</v>
      </c>
      <c r="G33" s="512">
        <f t="shared" si="7"/>
        <v>7.5</v>
      </c>
      <c r="H33" s="512">
        <f t="shared" si="7"/>
        <v>2</v>
      </c>
      <c r="I33" s="512">
        <f t="shared" si="7"/>
        <v>2</v>
      </c>
      <c r="J33" s="512">
        <f t="shared" si="7"/>
        <v>3</v>
      </c>
      <c r="K33" s="512">
        <f t="shared" si="7"/>
        <v>2</v>
      </c>
      <c r="L33" s="512">
        <f t="shared" si="7"/>
        <v>2</v>
      </c>
      <c r="M33" s="512">
        <f t="shared" si="7"/>
        <v>2</v>
      </c>
      <c r="N33" s="512">
        <f t="shared" si="7"/>
        <v>2</v>
      </c>
      <c r="O33" s="512">
        <f t="shared" si="7"/>
        <v>1</v>
      </c>
      <c r="P33" s="512">
        <f t="shared" si="7"/>
        <v>1</v>
      </c>
      <c r="Q33" s="512">
        <f t="shared" si="7"/>
        <v>1</v>
      </c>
      <c r="R33" s="524">
        <f t="shared" si="7"/>
        <v>27.5</v>
      </c>
      <c r="S33" s="505">
        <f>R33/ R$41</f>
        <v>0.12359550561797752</v>
      </c>
    </row>
    <row r="34" spans="1:19" ht="15" customHeight="1" x14ac:dyDescent="0.25">
      <c r="A34" s="515" t="s">
        <v>70</v>
      </c>
      <c r="B34" s="535" t="s">
        <v>69</v>
      </c>
      <c r="C34" s="536" t="s">
        <v>153</v>
      </c>
      <c r="D34" s="537">
        <v>1</v>
      </c>
      <c r="E34" s="538">
        <v>36</v>
      </c>
      <c r="F34" s="520">
        <v>0.5</v>
      </c>
      <c r="G34" s="520">
        <v>4</v>
      </c>
      <c r="H34" s="520">
        <v>0.5</v>
      </c>
      <c r="I34" s="520">
        <v>0.5</v>
      </c>
      <c r="J34" s="520">
        <v>0.5</v>
      </c>
      <c r="K34" s="520">
        <v>0.5</v>
      </c>
      <c r="L34" s="520">
        <v>0.5</v>
      </c>
      <c r="M34" s="520">
        <v>0.5</v>
      </c>
      <c r="N34" s="520">
        <v>0.5</v>
      </c>
      <c r="O34" s="520">
        <v>0</v>
      </c>
      <c r="P34" s="520">
        <v>0</v>
      </c>
      <c r="Q34" s="520">
        <v>0</v>
      </c>
      <c r="R34" s="521">
        <f>SUM(F34:Q34)</f>
        <v>8</v>
      </c>
      <c r="S34" s="514"/>
    </row>
    <row r="35" spans="1:19" ht="15" customHeight="1" x14ac:dyDescent="0.25">
      <c r="A35" s="515" t="s">
        <v>72</v>
      </c>
      <c r="B35" s="535" t="s">
        <v>71</v>
      </c>
      <c r="C35" s="536" t="s">
        <v>153</v>
      </c>
      <c r="D35" s="537">
        <v>1</v>
      </c>
      <c r="E35" s="538">
        <v>36</v>
      </c>
      <c r="F35" s="520">
        <v>1</v>
      </c>
      <c r="G35" s="520">
        <v>3</v>
      </c>
      <c r="H35" s="520">
        <v>1</v>
      </c>
      <c r="I35" s="520">
        <v>1</v>
      </c>
      <c r="J35" s="520">
        <v>1</v>
      </c>
      <c r="K35" s="520">
        <v>1</v>
      </c>
      <c r="L35" s="520">
        <v>1</v>
      </c>
      <c r="M35" s="520">
        <v>1</v>
      </c>
      <c r="N35" s="520">
        <v>1</v>
      </c>
      <c r="O35" s="520">
        <v>0.5</v>
      </c>
      <c r="P35" s="520">
        <v>0.5</v>
      </c>
      <c r="Q35" s="520">
        <v>0.5</v>
      </c>
      <c r="R35" s="521">
        <f>SUM(F35:Q35)</f>
        <v>12.5</v>
      </c>
      <c r="S35" s="514"/>
    </row>
    <row r="36" spans="1:19" ht="15" customHeight="1" x14ac:dyDescent="0.25">
      <c r="A36" s="515" t="s">
        <v>74</v>
      </c>
      <c r="B36" s="535" t="s">
        <v>73</v>
      </c>
      <c r="C36" s="536" t="s">
        <v>155</v>
      </c>
      <c r="D36" s="537">
        <v>1</v>
      </c>
      <c r="E36" s="538">
        <v>36</v>
      </c>
      <c r="F36" s="520">
        <v>0.5</v>
      </c>
      <c r="G36" s="520">
        <v>0.5</v>
      </c>
      <c r="H36" s="520">
        <v>0.5</v>
      </c>
      <c r="I36" s="520">
        <v>0.5</v>
      </c>
      <c r="J36" s="520">
        <v>1.5</v>
      </c>
      <c r="K36" s="520">
        <v>0.5</v>
      </c>
      <c r="L36" s="520">
        <v>0.5</v>
      </c>
      <c r="M36" s="520">
        <v>0.5</v>
      </c>
      <c r="N36" s="520">
        <v>0.5</v>
      </c>
      <c r="O36" s="520">
        <v>0.5</v>
      </c>
      <c r="P36" s="520">
        <v>0.5</v>
      </c>
      <c r="Q36" s="520">
        <v>0.5</v>
      </c>
      <c r="R36" s="521">
        <f>SUM(F36:Q36)</f>
        <v>7</v>
      </c>
      <c r="S36" s="531" t="s">
        <v>84</v>
      </c>
    </row>
    <row r="37" spans="1:19" ht="15" customHeight="1" x14ac:dyDescent="0.25">
      <c r="A37" s="507" t="s">
        <v>76</v>
      </c>
      <c r="B37" s="508" t="s">
        <v>75</v>
      </c>
      <c r="C37" s="509" t="s">
        <v>150</v>
      </c>
      <c r="D37" s="510">
        <v>1</v>
      </c>
      <c r="E37" s="511">
        <v>36</v>
      </c>
      <c r="F37" s="512">
        <f t="shared" ref="F37:R37" si="8">SUM(F38:F40)</f>
        <v>16</v>
      </c>
      <c r="G37" s="512">
        <f t="shared" si="8"/>
        <v>0</v>
      </c>
      <c r="H37" s="512">
        <f t="shared" si="8"/>
        <v>0</v>
      </c>
      <c r="I37" s="512">
        <f t="shared" si="8"/>
        <v>0</v>
      </c>
      <c r="J37" s="512">
        <f t="shared" si="8"/>
        <v>0</v>
      </c>
      <c r="K37" s="512">
        <f t="shared" si="8"/>
        <v>0</v>
      </c>
      <c r="L37" s="512">
        <f t="shared" si="8"/>
        <v>0</v>
      </c>
      <c r="M37" s="512">
        <f t="shared" si="8"/>
        <v>0</v>
      </c>
      <c r="N37" s="512">
        <f t="shared" si="8"/>
        <v>0</v>
      </c>
      <c r="O37" s="512">
        <f t="shared" si="8"/>
        <v>0</v>
      </c>
      <c r="P37" s="512">
        <f t="shared" si="8"/>
        <v>0</v>
      </c>
      <c r="Q37" s="512">
        <f t="shared" si="8"/>
        <v>0</v>
      </c>
      <c r="R37" s="513">
        <f t="shared" si="8"/>
        <v>16</v>
      </c>
      <c r="S37" s="505">
        <f>R37/ R$41</f>
        <v>7.1910112359550568E-2</v>
      </c>
    </row>
    <row r="38" spans="1:19" ht="15" customHeight="1" x14ac:dyDescent="0.25">
      <c r="A38" s="515" t="s">
        <v>78</v>
      </c>
      <c r="B38" s="535" t="s">
        <v>77</v>
      </c>
      <c r="C38" s="536" t="s">
        <v>150</v>
      </c>
      <c r="D38" s="537">
        <v>1</v>
      </c>
      <c r="E38" s="538">
        <v>36</v>
      </c>
      <c r="F38" s="520">
        <v>11</v>
      </c>
      <c r="G38" s="520">
        <v>0</v>
      </c>
      <c r="H38" s="520">
        <v>0</v>
      </c>
      <c r="I38" s="520">
        <v>0</v>
      </c>
      <c r="J38" s="520">
        <v>0</v>
      </c>
      <c r="K38" s="520">
        <v>0</v>
      </c>
      <c r="L38" s="520">
        <v>0</v>
      </c>
      <c r="M38" s="520">
        <v>0</v>
      </c>
      <c r="N38" s="520">
        <v>0</v>
      </c>
      <c r="O38" s="520">
        <v>0</v>
      </c>
      <c r="P38" s="520">
        <v>0</v>
      </c>
      <c r="Q38" s="520">
        <v>0</v>
      </c>
      <c r="R38" s="521">
        <f>SUM(F38:Q38)</f>
        <v>11</v>
      </c>
      <c r="S38" s="514" t="s">
        <v>84</v>
      </c>
    </row>
    <row r="39" spans="1:19" ht="15" customHeight="1" x14ac:dyDescent="0.25">
      <c r="A39" s="515" t="s">
        <v>80</v>
      </c>
      <c r="B39" s="535" t="s">
        <v>79</v>
      </c>
      <c r="C39" s="536" t="s">
        <v>150</v>
      </c>
      <c r="D39" s="537">
        <v>1</v>
      </c>
      <c r="E39" s="538">
        <v>36</v>
      </c>
      <c r="F39" s="520">
        <v>3.5</v>
      </c>
      <c r="G39" s="520">
        <v>0</v>
      </c>
      <c r="H39" s="520">
        <v>0</v>
      </c>
      <c r="I39" s="520">
        <v>0</v>
      </c>
      <c r="J39" s="520">
        <v>0</v>
      </c>
      <c r="K39" s="520">
        <v>0</v>
      </c>
      <c r="L39" s="520">
        <v>0</v>
      </c>
      <c r="M39" s="520">
        <v>0</v>
      </c>
      <c r="N39" s="520">
        <v>0</v>
      </c>
      <c r="O39" s="520">
        <v>0</v>
      </c>
      <c r="P39" s="520">
        <v>0</v>
      </c>
      <c r="Q39" s="520">
        <v>0</v>
      </c>
      <c r="R39" s="521">
        <f>SUM(F39:Q39)</f>
        <v>3.5</v>
      </c>
      <c r="S39" s="514" t="s">
        <v>84</v>
      </c>
    </row>
    <row r="40" spans="1:19" ht="15" customHeight="1" thickBot="1" x14ac:dyDescent="0.3">
      <c r="A40" s="515" t="s">
        <v>82</v>
      </c>
      <c r="B40" s="540" t="s">
        <v>81</v>
      </c>
      <c r="C40" s="536" t="s">
        <v>150</v>
      </c>
      <c r="D40" s="537">
        <v>1</v>
      </c>
      <c r="E40" s="538">
        <v>36</v>
      </c>
      <c r="F40" s="520">
        <v>1.5</v>
      </c>
      <c r="G40" s="520">
        <v>0</v>
      </c>
      <c r="H40" s="520">
        <v>0</v>
      </c>
      <c r="I40" s="520">
        <v>0</v>
      </c>
      <c r="J40" s="520">
        <v>0</v>
      </c>
      <c r="K40" s="520">
        <v>0</v>
      </c>
      <c r="L40" s="520">
        <v>0</v>
      </c>
      <c r="M40" s="520">
        <v>0</v>
      </c>
      <c r="N40" s="520">
        <v>0</v>
      </c>
      <c r="O40" s="520">
        <v>0</v>
      </c>
      <c r="P40" s="520">
        <v>0</v>
      </c>
      <c r="Q40" s="520">
        <v>0</v>
      </c>
      <c r="R40" s="521">
        <f>SUM(F40:Q40)</f>
        <v>1.5</v>
      </c>
      <c r="S40" s="514" t="s">
        <v>84</v>
      </c>
    </row>
    <row r="41" spans="1:19" ht="15.75" thickBot="1" x14ac:dyDescent="0.3">
      <c r="A41" s="541" t="s">
        <v>84</v>
      </c>
      <c r="B41" s="542"/>
      <c r="C41" s="543" t="s">
        <v>414</v>
      </c>
      <c r="D41" s="544" t="s">
        <v>415</v>
      </c>
      <c r="E41" s="545" t="s">
        <v>416</v>
      </c>
      <c r="F41" s="546">
        <f>F3+F7+F12+F19+F29+F33+F37</f>
        <v>33.25</v>
      </c>
      <c r="G41" s="546">
        <f t="shared" ref="G41:Q41" si="9">G3+G7+G12+G19+G29+G33+G37</f>
        <v>24</v>
      </c>
      <c r="H41" s="546">
        <f t="shared" si="9"/>
        <v>18</v>
      </c>
      <c r="I41" s="546">
        <f t="shared" si="9"/>
        <v>17</v>
      </c>
      <c r="J41" s="546">
        <f t="shared" si="9"/>
        <v>19</v>
      </c>
      <c r="K41" s="546">
        <f t="shared" si="9"/>
        <v>19</v>
      </c>
      <c r="L41" s="546">
        <f t="shared" si="9"/>
        <v>10.25</v>
      </c>
      <c r="M41" s="546">
        <f t="shared" si="9"/>
        <v>18</v>
      </c>
      <c r="N41" s="546">
        <f t="shared" si="9"/>
        <v>13.25</v>
      </c>
      <c r="O41" s="546">
        <f t="shared" si="9"/>
        <v>12</v>
      </c>
      <c r="P41" s="546">
        <f t="shared" si="9"/>
        <v>25.75</v>
      </c>
      <c r="Q41" s="546">
        <f t="shared" si="9"/>
        <v>13</v>
      </c>
      <c r="R41" s="547">
        <f>SUM(F41:Q41)</f>
        <v>222.5</v>
      </c>
      <c r="S41" s="617"/>
    </row>
    <row r="42" spans="1:19" ht="15.75" thickTop="1" x14ac:dyDescent="0.25">
      <c r="A42" s="548"/>
      <c r="B42" s="375"/>
      <c r="C42" s="613"/>
      <c r="D42" s="613"/>
      <c r="E42" s="613"/>
      <c r="F42" s="520"/>
      <c r="G42" s="520"/>
      <c r="H42" s="549"/>
      <c r="I42" s="520"/>
      <c r="J42" s="550"/>
      <c r="K42" s="550"/>
      <c r="L42" s="550"/>
      <c r="M42" s="550"/>
      <c r="N42" s="550"/>
      <c r="O42" s="550"/>
      <c r="P42" s="550"/>
      <c r="Q42" s="550"/>
      <c r="R42" s="550"/>
      <c r="S42" s="550"/>
    </row>
    <row r="43" spans="1:19" x14ac:dyDescent="0.25">
      <c r="A43" s="548"/>
      <c r="B43" s="375"/>
      <c r="C43" s="520"/>
      <c r="D43" s="549"/>
      <c r="E43" s="551" t="s">
        <v>412</v>
      </c>
      <c r="F43" s="551" t="str">
        <f>F$1</f>
        <v>B1</v>
      </c>
      <c r="G43" s="551" t="str">
        <f t="shared" ref="G43:Q43" si="10">G$1</f>
        <v>B2</v>
      </c>
      <c r="H43" s="551" t="str">
        <f t="shared" si="10"/>
        <v>B3</v>
      </c>
      <c r="I43" s="551" t="str">
        <f t="shared" si="10"/>
        <v>B4</v>
      </c>
      <c r="J43" s="551" t="str">
        <f t="shared" si="10"/>
        <v>B5</v>
      </c>
      <c r="K43" s="551" t="str">
        <f t="shared" si="10"/>
        <v>B6</v>
      </c>
      <c r="L43" s="551" t="str">
        <f t="shared" si="10"/>
        <v>B7</v>
      </c>
      <c r="M43" s="551" t="str">
        <f t="shared" si="10"/>
        <v>B8</v>
      </c>
      <c r="N43" s="551" t="str">
        <f t="shared" si="10"/>
        <v>B9</v>
      </c>
      <c r="O43" s="551" t="str">
        <f t="shared" si="10"/>
        <v>B10</v>
      </c>
      <c r="P43" s="551" t="str">
        <f t="shared" si="10"/>
        <v>B11</v>
      </c>
      <c r="Q43" s="551" t="str">
        <f t="shared" si="10"/>
        <v>B12</v>
      </c>
      <c r="R43" s="617"/>
      <c r="S43" s="552" t="s">
        <v>84</v>
      </c>
    </row>
    <row r="44" spans="1:19" x14ac:dyDescent="0.25">
      <c r="A44" s="548"/>
      <c r="B44" s="375"/>
      <c r="C44" s="520"/>
      <c r="D44" s="549"/>
      <c r="E44" s="551" t="s">
        <v>184</v>
      </c>
      <c r="F44" s="553" t="str">
        <f t="shared" ref="F44:Q44" si="11">F$2</f>
        <v>MNU</v>
      </c>
      <c r="G44" s="553" t="str">
        <f t="shared" si="11"/>
        <v>FOC</v>
      </c>
      <c r="H44" s="553" t="str">
        <f t="shared" si="11"/>
        <v>CTLV</v>
      </c>
      <c r="I44" s="553" t="str">
        <f t="shared" si="11"/>
        <v>CKR</v>
      </c>
      <c r="J44" s="553" t="str">
        <f t="shared" si="11"/>
        <v>MAI</v>
      </c>
      <c r="K44" s="553" t="str">
        <f t="shared" si="11"/>
        <v>BIN</v>
      </c>
      <c r="L44" s="553" t="str">
        <f t="shared" si="11"/>
        <v>IOC</v>
      </c>
      <c r="M44" s="553" t="str">
        <f t="shared" si="11"/>
        <v>HIE</v>
      </c>
      <c r="N44" s="553" t="str">
        <f t="shared" si="11"/>
        <v>MCN</v>
      </c>
      <c r="O44" s="553" t="str">
        <f t="shared" si="11"/>
        <v>MEERI</v>
      </c>
      <c r="P44" s="553" t="str">
        <f t="shared" si="11"/>
        <v>SCA</v>
      </c>
      <c r="Q44" s="553" t="str">
        <f t="shared" si="11"/>
        <v>BAL</v>
      </c>
      <c r="R44" s="554" t="s">
        <v>83</v>
      </c>
      <c r="S44" s="552" t="s">
        <v>84</v>
      </c>
    </row>
    <row r="45" spans="1:19" x14ac:dyDescent="0.25">
      <c r="A45" s="548"/>
      <c r="B45" s="375"/>
      <c r="C45" s="520"/>
      <c r="D45" s="549" t="s">
        <v>84</v>
      </c>
      <c r="E45" s="555" t="str">
        <f>A3</f>
        <v>WP1</v>
      </c>
      <c r="F45" s="556">
        <f t="shared" ref="F45:R45" si="12">F3</f>
        <v>1.5</v>
      </c>
      <c r="G45" s="556">
        <f t="shared" si="12"/>
        <v>2.25</v>
      </c>
      <c r="H45" s="556">
        <f t="shared" si="12"/>
        <v>2.25</v>
      </c>
      <c r="I45" s="556">
        <f t="shared" si="12"/>
        <v>3.25</v>
      </c>
      <c r="J45" s="556">
        <f t="shared" si="12"/>
        <v>3.25</v>
      </c>
      <c r="K45" s="556">
        <f t="shared" si="12"/>
        <v>3.25</v>
      </c>
      <c r="L45" s="556">
        <f t="shared" si="12"/>
        <v>1.5</v>
      </c>
      <c r="M45" s="556">
        <f t="shared" si="12"/>
        <v>2.25</v>
      </c>
      <c r="N45" s="556">
        <f t="shared" si="12"/>
        <v>1.5</v>
      </c>
      <c r="O45" s="556">
        <f t="shared" si="12"/>
        <v>3.75</v>
      </c>
      <c r="P45" s="556">
        <f t="shared" si="12"/>
        <v>1</v>
      </c>
      <c r="Q45" s="557">
        <f t="shared" si="12"/>
        <v>1</v>
      </c>
      <c r="R45" s="558">
        <f t="shared" si="12"/>
        <v>26.75</v>
      </c>
      <c r="S45" s="559">
        <f t="shared" ref="S45:S51" si="13">R45/ R$52</f>
        <v>0.12022471910112359</v>
      </c>
    </row>
    <row r="46" spans="1:19" x14ac:dyDescent="0.25">
      <c r="A46" s="548"/>
      <c r="B46" s="375"/>
      <c r="C46" s="520"/>
      <c r="D46" s="549" t="s">
        <v>84</v>
      </c>
      <c r="E46" s="555" t="str">
        <f>A7</f>
        <v>WP2</v>
      </c>
      <c r="F46" s="556">
        <f t="shared" ref="F46:R46" si="14">F7</f>
        <v>0.5</v>
      </c>
      <c r="G46" s="556">
        <f t="shared" si="14"/>
        <v>2.5</v>
      </c>
      <c r="H46" s="556">
        <f t="shared" si="14"/>
        <v>2.5</v>
      </c>
      <c r="I46" s="556">
        <f t="shared" si="14"/>
        <v>2</v>
      </c>
      <c r="J46" s="556">
        <f t="shared" si="14"/>
        <v>0.5</v>
      </c>
      <c r="K46" s="556">
        <f t="shared" si="14"/>
        <v>0.5</v>
      </c>
      <c r="L46" s="556">
        <f t="shared" si="14"/>
        <v>0.5</v>
      </c>
      <c r="M46" s="556">
        <f t="shared" si="14"/>
        <v>3.5</v>
      </c>
      <c r="N46" s="556">
        <f t="shared" si="14"/>
        <v>0.5</v>
      </c>
      <c r="O46" s="556">
        <f t="shared" si="14"/>
        <v>0.5</v>
      </c>
      <c r="P46" s="556">
        <f t="shared" si="14"/>
        <v>0.5</v>
      </c>
      <c r="Q46" s="557">
        <f t="shared" si="14"/>
        <v>3.75</v>
      </c>
      <c r="R46" s="558">
        <f t="shared" si="14"/>
        <v>17.75</v>
      </c>
      <c r="S46" s="559">
        <f t="shared" si="13"/>
        <v>7.9775280898876408E-2</v>
      </c>
    </row>
    <row r="47" spans="1:19" x14ac:dyDescent="0.25">
      <c r="A47" s="548"/>
      <c r="B47" s="375"/>
      <c r="C47" s="520"/>
      <c r="D47" s="549" t="s">
        <v>84</v>
      </c>
      <c r="E47" s="555" t="str">
        <f>A12</f>
        <v>WP3</v>
      </c>
      <c r="F47" s="556">
        <f t="shared" ref="F47:R47" si="15">F12</f>
        <v>7</v>
      </c>
      <c r="G47" s="556">
        <f t="shared" si="15"/>
        <v>2.5</v>
      </c>
      <c r="H47" s="556">
        <f t="shared" si="15"/>
        <v>3.5</v>
      </c>
      <c r="I47" s="556">
        <f t="shared" si="15"/>
        <v>6</v>
      </c>
      <c r="J47" s="556">
        <f t="shared" si="15"/>
        <v>3.5</v>
      </c>
      <c r="K47" s="556">
        <f t="shared" si="15"/>
        <v>3.5</v>
      </c>
      <c r="L47" s="556">
        <f t="shared" si="15"/>
        <v>2.5</v>
      </c>
      <c r="M47" s="556">
        <f t="shared" si="15"/>
        <v>2.5</v>
      </c>
      <c r="N47" s="556">
        <f t="shared" si="15"/>
        <v>2.5</v>
      </c>
      <c r="O47" s="556">
        <f t="shared" si="15"/>
        <v>3.5</v>
      </c>
      <c r="P47" s="556">
        <f t="shared" si="15"/>
        <v>4.5</v>
      </c>
      <c r="Q47" s="557">
        <f t="shared" si="15"/>
        <v>4</v>
      </c>
      <c r="R47" s="558">
        <f t="shared" si="15"/>
        <v>45.5</v>
      </c>
      <c r="S47" s="559">
        <f t="shared" si="13"/>
        <v>0.20449438202247192</v>
      </c>
    </row>
    <row r="48" spans="1:19" x14ac:dyDescent="0.25">
      <c r="A48" s="548"/>
      <c r="B48" s="375"/>
      <c r="C48" s="520"/>
      <c r="D48" s="549" t="s">
        <v>84</v>
      </c>
      <c r="E48" s="555" t="str">
        <f>A19</f>
        <v>WP4</v>
      </c>
      <c r="F48" s="556">
        <f t="shared" ref="F48:R48" si="16">F19</f>
        <v>5.5</v>
      </c>
      <c r="G48" s="556">
        <f t="shared" si="16"/>
        <v>8.5</v>
      </c>
      <c r="H48" s="556">
        <f t="shared" si="16"/>
        <v>7</v>
      </c>
      <c r="I48" s="556">
        <f t="shared" si="16"/>
        <v>3</v>
      </c>
      <c r="J48" s="556">
        <f t="shared" si="16"/>
        <v>8</v>
      </c>
      <c r="K48" s="556">
        <f t="shared" si="16"/>
        <v>9</v>
      </c>
      <c r="L48" s="556">
        <f t="shared" si="16"/>
        <v>3</v>
      </c>
      <c r="M48" s="556">
        <f t="shared" si="16"/>
        <v>7</v>
      </c>
      <c r="N48" s="556">
        <f t="shared" si="16"/>
        <v>6</v>
      </c>
      <c r="O48" s="556">
        <f t="shared" si="16"/>
        <v>2.5</v>
      </c>
      <c r="P48" s="556">
        <f t="shared" si="16"/>
        <v>12.75</v>
      </c>
      <c r="Q48" s="557">
        <f t="shared" si="16"/>
        <v>2.5</v>
      </c>
      <c r="R48" s="558">
        <f t="shared" si="16"/>
        <v>74.75</v>
      </c>
      <c r="S48" s="559">
        <f t="shared" si="13"/>
        <v>0.33595505617977528</v>
      </c>
    </row>
    <row r="49" spans="1:19" x14ac:dyDescent="0.25">
      <c r="A49" s="548"/>
      <c r="B49" s="375" t="s">
        <v>84</v>
      </c>
      <c r="C49" s="520"/>
      <c r="D49" s="549" t="s">
        <v>84</v>
      </c>
      <c r="E49" s="555" t="str">
        <f>A29</f>
        <v>WP5</v>
      </c>
      <c r="F49" s="556">
        <f t="shared" ref="F49:R49" si="17">F29</f>
        <v>0.75</v>
      </c>
      <c r="G49" s="556">
        <f t="shared" si="17"/>
        <v>0.75</v>
      </c>
      <c r="H49" s="556">
        <f t="shared" si="17"/>
        <v>0.75</v>
      </c>
      <c r="I49" s="556">
        <f t="shared" si="17"/>
        <v>0.75</v>
      </c>
      <c r="J49" s="556">
        <f t="shared" si="17"/>
        <v>0.75</v>
      </c>
      <c r="K49" s="556">
        <f t="shared" si="17"/>
        <v>0.75</v>
      </c>
      <c r="L49" s="556">
        <f t="shared" si="17"/>
        <v>0.75</v>
      </c>
      <c r="M49" s="556">
        <f t="shared" si="17"/>
        <v>0.75</v>
      </c>
      <c r="N49" s="556">
        <f t="shared" si="17"/>
        <v>0.75</v>
      </c>
      <c r="O49" s="556">
        <f t="shared" si="17"/>
        <v>0.75</v>
      </c>
      <c r="P49" s="556">
        <f t="shared" si="17"/>
        <v>6</v>
      </c>
      <c r="Q49" s="557">
        <f t="shared" si="17"/>
        <v>0.75</v>
      </c>
      <c r="R49" s="558">
        <f t="shared" si="17"/>
        <v>14.25</v>
      </c>
      <c r="S49" s="559">
        <f t="shared" si="13"/>
        <v>6.4044943820224715E-2</v>
      </c>
    </row>
    <row r="50" spans="1:19" x14ac:dyDescent="0.25">
      <c r="A50" s="548"/>
      <c r="B50" s="375"/>
      <c r="C50" s="520"/>
      <c r="D50" s="549" t="s">
        <v>84</v>
      </c>
      <c r="E50" s="555" t="str">
        <f>A33</f>
        <v>WP6</v>
      </c>
      <c r="F50" s="556">
        <f t="shared" ref="F50:R50" si="18">F33</f>
        <v>2</v>
      </c>
      <c r="G50" s="556">
        <f t="shared" si="18"/>
        <v>7.5</v>
      </c>
      <c r="H50" s="556">
        <f t="shared" si="18"/>
        <v>2</v>
      </c>
      <c r="I50" s="556">
        <f t="shared" si="18"/>
        <v>2</v>
      </c>
      <c r="J50" s="556">
        <f t="shared" si="18"/>
        <v>3</v>
      </c>
      <c r="K50" s="556">
        <f t="shared" si="18"/>
        <v>2</v>
      </c>
      <c r="L50" s="556">
        <f t="shared" si="18"/>
        <v>2</v>
      </c>
      <c r="M50" s="556">
        <f t="shared" si="18"/>
        <v>2</v>
      </c>
      <c r="N50" s="556">
        <f t="shared" si="18"/>
        <v>2</v>
      </c>
      <c r="O50" s="556">
        <f t="shared" si="18"/>
        <v>1</v>
      </c>
      <c r="P50" s="556">
        <f t="shared" si="18"/>
        <v>1</v>
      </c>
      <c r="Q50" s="557">
        <f t="shared" si="18"/>
        <v>1</v>
      </c>
      <c r="R50" s="558">
        <f t="shared" si="18"/>
        <v>27.5</v>
      </c>
      <c r="S50" s="559">
        <f t="shared" si="13"/>
        <v>0.12359550561797752</v>
      </c>
    </row>
    <row r="51" spans="1:19" x14ac:dyDescent="0.25">
      <c r="A51" s="548"/>
      <c r="B51" s="375"/>
      <c r="C51" s="520"/>
      <c r="D51" s="549" t="s">
        <v>84</v>
      </c>
      <c r="E51" s="555" t="str">
        <f>A37</f>
        <v>WP7</v>
      </c>
      <c r="F51" s="556">
        <f t="shared" ref="F51:R51" si="19">F37</f>
        <v>16</v>
      </c>
      <c r="G51" s="556">
        <f t="shared" si="19"/>
        <v>0</v>
      </c>
      <c r="H51" s="556">
        <f t="shared" si="19"/>
        <v>0</v>
      </c>
      <c r="I51" s="556">
        <f t="shared" si="19"/>
        <v>0</v>
      </c>
      <c r="J51" s="556">
        <f t="shared" si="19"/>
        <v>0</v>
      </c>
      <c r="K51" s="556">
        <f t="shared" si="19"/>
        <v>0</v>
      </c>
      <c r="L51" s="556">
        <f t="shared" si="19"/>
        <v>0</v>
      </c>
      <c r="M51" s="556">
        <f t="shared" si="19"/>
        <v>0</v>
      </c>
      <c r="N51" s="556">
        <f t="shared" si="19"/>
        <v>0</v>
      </c>
      <c r="O51" s="556">
        <f t="shared" si="19"/>
        <v>0</v>
      </c>
      <c r="P51" s="556">
        <f t="shared" si="19"/>
        <v>0</v>
      </c>
      <c r="Q51" s="557">
        <f t="shared" si="19"/>
        <v>0</v>
      </c>
      <c r="R51" s="558">
        <f t="shared" si="19"/>
        <v>16</v>
      </c>
      <c r="S51" s="559">
        <f t="shared" si="13"/>
        <v>7.1910112359550568E-2</v>
      </c>
    </row>
    <row r="52" spans="1:19" x14ac:dyDescent="0.25">
      <c r="A52" s="548"/>
      <c r="B52" s="375"/>
      <c r="C52" s="520"/>
      <c r="D52" s="549"/>
      <c r="E52" s="558" t="s">
        <v>421</v>
      </c>
      <c r="F52" s="558">
        <f t="shared" ref="F52:R52" si="20">F41</f>
        <v>33.25</v>
      </c>
      <c r="G52" s="558">
        <f t="shared" si="20"/>
        <v>24</v>
      </c>
      <c r="H52" s="558">
        <f t="shared" si="20"/>
        <v>18</v>
      </c>
      <c r="I52" s="558">
        <f t="shared" si="20"/>
        <v>17</v>
      </c>
      <c r="J52" s="558">
        <f t="shared" si="20"/>
        <v>19</v>
      </c>
      <c r="K52" s="558">
        <f t="shared" si="20"/>
        <v>19</v>
      </c>
      <c r="L52" s="558">
        <f t="shared" si="20"/>
        <v>10.25</v>
      </c>
      <c r="M52" s="558">
        <f t="shared" si="20"/>
        <v>18</v>
      </c>
      <c r="N52" s="558">
        <f t="shared" si="20"/>
        <v>13.25</v>
      </c>
      <c r="O52" s="558">
        <f t="shared" si="20"/>
        <v>12</v>
      </c>
      <c r="P52" s="558">
        <f t="shared" si="20"/>
        <v>25.75</v>
      </c>
      <c r="Q52" s="558">
        <f t="shared" si="20"/>
        <v>13</v>
      </c>
      <c r="R52" s="560">
        <f t="shared" si="20"/>
        <v>222.5</v>
      </c>
      <c r="S52" s="559">
        <f>SUM(S45:S51)</f>
        <v>1</v>
      </c>
    </row>
    <row r="53" spans="1:19" x14ac:dyDescent="0.25">
      <c r="A53" s="548"/>
      <c r="B53" s="375"/>
      <c r="C53" s="520"/>
      <c r="D53" s="549"/>
      <c r="E53" s="520"/>
      <c r="F53" s="550"/>
      <c r="G53" s="550" t="s">
        <v>84</v>
      </c>
      <c r="H53" s="550"/>
      <c r="I53" s="550"/>
      <c r="J53" s="550"/>
      <c r="K53" s="550"/>
      <c r="L53" s="550"/>
      <c r="M53" s="550"/>
      <c r="N53" s="550" t="s">
        <v>84</v>
      </c>
      <c r="O53" s="550" t="s">
        <v>84</v>
      </c>
      <c r="P53" s="550"/>
      <c r="Q53" s="550"/>
      <c r="R53" s="550"/>
      <c r="S53" s="552" t="s">
        <v>84</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061B2-8D1C-4605-B913-591BAEB6117F}">
  <dimension ref="A2:Z74"/>
  <sheetViews>
    <sheetView topLeftCell="A5" workbookViewId="0">
      <selection activeCell="A2" sqref="A2"/>
    </sheetView>
  </sheetViews>
  <sheetFormatPr baseColWidth="10" defaultColWidth="9.140625" defaultRowHeight="15" x14ac:dyDescent="0.25"/>
  <cols>
    <col min="1" max="1" width="91.7109375" style="314" customWidth="1"/>
    <col min="2" max="2" width="24" style="314" customWidth="1"/>
    <col min="3" max="7" width="25" style="314" hidden="1" customWidth="1"/>
    <col min="8" max="9" width="25" style="314" customWidth="1"/>
    <col min="10" max="10" width="14.85546875" style="111" customWidth="1"/>
    <col min="11" max="11" width="19" style="314" customWidth="1"/>
    <col min="12" max="12" width="22.7109375" style="111" customWidth="1"/>
    <col min="13" max="13" width="47.7109375" style="314" customWidth="1"/>
    <col min="14" max="14" width="71.7109375" style="314" customWidth="1"/>
    <col min="15" max="15" width="44.7109375" style="314" customWidth="1"/>
    <col min="16" max="16" width="28.28515625" style="314" customWidth="1"/>
    <col min="17" max="16384" width="9.140625" style="314"/>
  </cols>
  <sheetData>
    <row r="2" spans="1:16" s="366" customFormat="1" ht="21" x14ac:dyDescent="0.35">
      <c r="A2" s="313" t="s">
        <v>283</v>
      </c>
      <c r="B2" s="313"/>
      <c r="C2" s="313"/>
      <c r="D2" s="313"/>
      <c r="E2" s="313"/>
      <c r="F2" s="313"/>
      <c r="G2" s="313"/>
      <c r="H2" s="313"/>
      <c r="I2" s="313"/>
      <c r="J2" s="365"/>
      <c r="L2" s="365"/>
    </row>
    <row r="3" spans="1:16" s="366" customFormat="1" ht="15.6" customHeight="1" x14ac:dyDescent="0.35">
      <c r="A3" s="314" t="s">
        <v>284</v>
      </c>
      <c r="J3" s="365"/>
      <c r="L3" s="365"/>
    </row>
    <row r="4" spans="1:16" s="366" customFormat="1" ht="21" x14ac:dyDescent="0.35">
      <c r="A4" s="367" t="s">
        <v>285</v>
      </c>
      <c r="B4" s="367"/>
      <c r="C4" s="367"/>
      <c r="D4" s="367"/>
      <c r="E4" s="367"/>
      <c r="F4" s="367"/>
      <c r="G4" s="367"/>
      <c r="H4" s="367" t="s">
        <v>84</v>
      </c>
      <c r="I4" s="367"/>
      <c r="J4" s="365"/>
      <c r="L4" s="365"/>
      <c r="N4" s="366" t="s">
        <v>84</v>
      </c>
    </row>
    <row r="5" spans="1:16" s="366" customFormat="1" ht="21" x14ac:dyDescent="0.35">
      <c r="A5" s="368" t="s">
        <v>286</v>
      </c>
      <c r="B5" s="369" t="s">
        <v>287</v>
      </c>
      <c r="C5" s="367"/>
      <c r="D5" s="367"/>
      <c r="E5" s="367"/>
      <c r="F5" s="367"/>
      <c r="G5" s="367"/>
      <c r="H5" s="367"/>
      <c r="I5" s="367"/>
      <c r="J5" s="365"/>
      <c r="L5" s="365"/>
    </row>
    <row r="6" spans="1:16" x14ac:dyDescent="0.25">
      <c r="L6" s="111" t="s">
        <v>84</v>
      </c>
    </row>
    <row r="7" spans="1:16" ht="15.75" x14ac:dyDescent="0.25">
      <c r="A7" s="370" t="s">
        <v>288</v>
      </c>
      <c r="B7" s="371"/>
      <c r="C7" s="372"/>
      <c r="D7" s="372"/>
      <c r="E7" s="372"/>
      <c r="F7" s="372"/>
      <c r="G7" s="372"/>
      <c r="H7" s="371"/>
      <c r="I7" s="368"/>
      <c r="J7" s="373" t="s">
        <v>289</v>
      </c>
      <c r="K7" s="374"/>
    </row>
    <row r="8" spans="1:16" x14ac:dyDescent="0.25">
      <c r="P8" s="375"/>
    </row>
    <row r="9" spans="1:16" s="380" customFormat="1" ht="75" customHeight="1" x14ac:dyDescent="0.25">
      <c r="A9" s="376" t="s">
        <v>290</v>
      </c>
      <c r="B9" s="377" t="s">
        <v>291</v>
      </c>
      <c r="C9" s="377" t="s">
        <v>292</v>
      </c>
      <c r="D9" s="377" t="s">
        <v>293</v>
      </c>
      <c r="E9" s="377" t="s">
        <v>294</v>
      </c>
      <c r="F9" s="377" t="s">
        <v>295</v>
      </c>
      <c r="G9" s="377" t="s">
        <v>296</v>
      </c>
      <c r="H9" s="377" t="s">
        <v>297</v>
      </c>
      <c r="I9" s="377" t="s">
        <v>298</v>
      </c>
      <c r="J9" s="378" t="s">
        <v>299</v>
      </c>
      <c r="K9" s="377" t="s">
        <v>300</v>
      </c>
      <c r="L9" s="378" t="s">
        <v>301</v>
      </c>
      <c r="M9" s="379" t="s">
        <v>302</v>
      </c>
      <c r="N9" s="379" t="s">
        <v>303</v>
      </c>
      <c r="O9" s="379" t="s">
        <v>304</v>
      </c>
      <c r="P9" s="314"/>
    </row>
    <row r="10" spans="1:16" s="386" customFormat="1" x14ac:dyDescent="0.25">
      <c r="A10" s="381" t="s">
        <v>305</v>
      </c>
      <c r="B10" s="382" t="s">
        <v>306</v>
      </c>
      <c r="C10" s="383"/>
      <c r="D10" s="383"/>
      <c r="E10" s="383"/>
      <c r="F10" s="383"/>
      <c r="G10" s="383"/>
      <c r="H10" s="382" t="s">
        <v>306</v>
      </c>
      <c r="I10" s="382" t="s">
        <v>306</v>
      </c>
      <c r="J10" s="384" t="s">
        <v>306</v>
      </c>
      <c r="K10" s="382" t="s">
        <v>306</v>
      </c>
      <c r="L10" s="384" t="s">
        <v>306</v>
      </c>
      <c r="M10" s="385" t="s">
        <v>306</v>
      </c>
      <c r="N10" s="385" t="s">
        <v>306</v>
      </c>
      <c r="O10" s="385" t="s">
        <v>306</v>
      </c>
      <c r="P10" s="317"/>
    </row>
    <row r="11" spans="1:16" x14ac:dyDescent="0.25">
      <c r="A11" s="387" t="s">
        <v>307</v>
      </c>
      <c r="B11" s="382" t="s">
        <v>308</v>
      </c>
      <c r="C11" s="383"/>
      <c r="D11" s="383"/>
      <c r="E11" s="383"/>
      <c r="F11" s="383"/>
      <c r="G11" s="383"/>
      <c r="H11" s="388">
        <v>0</v>
      </c>
      <c r="I11" s="382">
        <v>50</v>
      </c>
      <c r="J11" s="389">
        <v>5000</v>
      </c>
      <c r="K11" s="390">
        <v>0</v>
      </c>
      <c r="L11" s="389">
        <f>I11*J11</f>
        <v>250000</v>
      </c>
      <c r="M11" s="391" t="s">
        <v>309</v>
      </c>
      <c r="N11" s="392" t="s">
        <v>150</v>
      </c>
      <c r="O11" s="392" t="s">
        <v>310</v>
      </c>
    </row>
    <row r="12" spans="1:16" x14ac:dyDescent="0.25">
      <c r="A12" s="393" t="s">
        <v>311</v>
      </c>
      <c r="B12" s="382" t="s">
        <v>308</v>
      </c>
      <c r="C12" s="394"/>
      <c r="D12" s="394"/>
      <c r="E12" s="394"/>
      <c r="F12" s="394"/>
      <c r="G12" s="394"/>
      <c r="H12" s="395">
        <v>0</v>
      </c>
      <c r="I12" s="396">
        <v>25</v>
      </c>
      <c r="J12" s="397">
        <v>45000</v>
      </c>
      <c r="K12" s="390">
        <v>0</v>
      </c>
      <c r="L12" s="389">
        <f t="shared" ref="L12:L13" si="0">I12*J12</f>
        <v>1125000</v>
      </c>
      <c r="M12" s="391" t="s">
        <v>312</v>
      </c>
      <c r="N12" s="392" t="s">
        <v>150</v>
      </c>
      <c r="O12" s="392" t="s">
        <v>310</v>
      </c>
      <c r="P12" s="314" t="s">
        <v>84</v>
      </c>
    </row>
    <row r="13" spans="1:16" x14ac:dyDescent="0.25">
      <c r="A13" s="398" t="s">
        <v>313</v>
      </c>
      <c r="B13" s="382" t="s">
        <v>308</v>
      </c>
      <c r="C13" s="169"/>
      <c r="D13" s="169"/>
      <c r="E13" s="169"/>
      <c r="F13" s="169"/>
      <c r="G13" s="169"/>
      <c r="H13" s="395">
        <v>0</v>
      </c>
      <c r="I13" s="396">
        <v>12</v>
      </c>
      <c r="J13" s="397">
        <v>10000</v>
      </c>
      <c r="K13" s="390">
        <v>0</v>
      </c>
      <c r="L13" s="389">
        <f t="shared" si="0"/>
        <v>120000</v>
      </c>
      <c r="M13" s="391" t="s">
        <v>314</v>
      </c>
      <c r="N13" s="392" t="s">
        <v>150</v>
      </c>
      <c r="O13" s="392" t="s">
        <v>310</v>
      </c>
    </row>
    <row r="14" spans="1:16" x14ac:dyDescent="0.25">
      <c r="A14" s="381" t="s">
        <v>315</v>
      </c>
      <c r="B14" s="382" t="s">
        <v>306</v>
      </c>
      <c r="C14" s="169"/>
      <c r="D14" s="169"/>
      <c r="E14" s="169"/>
      <c r="F14" s="169"/>
      <c r="G14" s="169"/>
      <c r="H14" s="382" t="s">
        <v>306</v>
      </c>
      <c r="I14" s="382" t="s">
        <v>306</v>
      </c>
      <c r="J14" s="384" t="s">
        <v>306</v>
      </c>
      <c r="K14" s="382" t="s">
        <v>306</v>
      </c>
      <c r="L14" s="384" t="s">
        <v>306</v>
      </c>
      <c r="M14" s="382" t="s">
        <v>306</v>
      </c>
      <c r="N14" s="385" t="s">
        <v>306</v>
      </c>
      <c r="O14" s="385" t="s">
        <v>306</v>
      </c>
    </row>
    <row r="15" spans="1:16" x14ac:dyDescent="0.25">
      <c r="A15" s="387" t="s">
        <v>307</v>
      </c>
      <c r="B15" s="382" t="s">
        <v>308</v>
      </c>
      <c r="C15" s="383"/>
      <c r="D15" s="383"/>
      <c r="E15" s="383"/>
      <c r="F15" s="383"/>
      <c r="G15" s="383"/>
      <c r="H15" s="388">
        <v>0</v>
      </c>
      <c r="I15" s="382">
        <v>50</v>
      </c>
      <c r="J15" s="399">
        <v>5000</v>
      </c>
      <c r="K15" s="390">
        <v>0</v>
      </c>
      <c r="L15" s="399">
        <f>I15*J15</f>
        <v>250000</v>
      </c>
      <c r="M15" s="391" t="s">
        <v>316</v>
      </c>
      <c r="N15" s="398" t="s">
        <v>150</v>
      </c>
      <c r="O15" s="392" t="s">
        <v>310</v>
      </c>
      <c r="P15" s="314" t="s">
        <v>84</v>
      </c>
    </row>
    <row r="16" spans="1:16" x14ac:dyDescent="0.25">
      <c r="A16" s="393" t="s">
        <v>311</v>
      </c>
      <c r="B16" s="382" t="s">
        <v>308</v>
      </c>
      <c r="C16" s="394"/>
      <c r="D16" s="394"/>
      <c r="E16" s="394"/>
      <c r="F16" s="394"/>
      <c r="G16" s="394"/>
      <c r="H16" s="395">
        <v>0</v>
      </c>
      <c r="I16" s="396">
        <v>25</v>
      </c>
      <c r="J16" s="400">
        <v>45000</v>
      </c>
      <c r="K16" s="390">
        <v>0</v>
      </c>
      <c r="L16" s="399">
        <f t="shared" ref="L16:L17" si="1">I16*J16</f>
        <v>1125000</v>
      </c>
      <c r="M16" s="391" t="s">
        <v>317</v>
      </c>
      <c r="N16" s="398" t="s">
        <v>150</v>
      </c>
      <c r="O16" s="392" t="s">
        <v>310</v>
      </c>
    </row>
    <row r="17" spans="1:16" x14ac:dyDescent="0.25">
      <c r="A17" s="398" t="s">
        <v>313</v>
      </c>
      <c r="B17" s="382" t="s">
        <v>308</v>
      </c>
      <c r="C17" s="169"/>
      <c r="D17" s="169"/>
      <c r="E17" s="169"/>
      <c r="F17" s="169"/>
      <c r="G17" s="169"/>
      <c r="H17" s="395">
        <v>0</v>
      </c>
      <c r="I17" s="396">
        <v>13</v>
      </c>
      <c r="J17" s="400">
        <v>10000</v>
      </c>
      <c r="K17" s="390">
        <v>0</v>
      </c>
      <c r="L17" s="399">
        <f t="shared" si="1"/>
        <v>130000</v>
      </c>
      <c r="M17" s="391" t="s">
        <v>318</v>
      </c>
      <c r="N17" s="398" t="s">
        <v>150</v>
      </c>
      <c r="O17" s="392" t="s">
        <v>310</v>
      </c>
    </row>
    <row r="18" spans="1:16" x14ac:dyDescent="0.25">
      <c r="A18" s="401" t="s">
        <v>319</v>
      </c>
      <c r="B18" s="402"/>
      <c r="C18" s="402"/>
      <c r="D18" s="402"/>
      <c r="E18" s="402"/>
      <c r="F18" s="402"/>
      <c r="G18" s="402"/>
      <c r="H18" s="403">
        <f>SUM(H10:H17)</f>
        <v>0</v>
      </c>
      <c r="I18" s="403">
        <f>I11+I15</f>
        <v>100</v>
      </c>
      <c r="J18" s="404"/>
      <c r="K18" s="403">
        <f>SUM(K10:K17)</f>
        <v>0</v>
      </c>
      <c r="L18" s="405">
        <f>SUM(L10:L17)</f>
        <v>3000000</v>
      </c>
      <c r="M18" s="406"/>
      <c r="N18" s="169"/>
      <c r="O18" s="169"/>
    </row>
    <row r="19" spans="1:16" ht="15.75" thickBot="1" x14ac:dyDescent="0.3">
      <c r="A19" s="407"/>
      <c r="B19" s="408"/>
      <c r="C19" s="408"/>
      <c r="D19" s="408"/>
      <c r="E19" s="408"/>
      <c r="F19" s="408"/>
      <c r="G19" s="408"/>
      <c r="H19" s="409"/>
      <c r="I19" s="409"/>
      <c r="J19" s="410"/>
      <c r="K19" s="409"/>
      <c r="L19" s="411"/>
      <c r="M19" s="412"/>
      <c r="N19" s="413"/>
      <c r="O19" s="413"/>
    </row>
    <row r="20" spans="1:16" ht="16.5" thickTop="1" thickBot="1" x14ac:dyDescent="0.3">
      <c r="A20" s="414" t="s">
        <v>320</v>
      </c>
      <c r="B20" s="415"/>
      <c r="C20" s="415"/>
      <c r="D20" s="415"/>
      <c r="E20" s="415"/>
      <c r="F20" s="415"/>
      <c r="G20" s="415"/>
      <c r="H20" s="415">
        <f>H11+H15</f>
        <v>0</v>
      </c>
      <c r="I20" s="415">
        <f>I11+I15</f>
        <v>100</v>
      </c>
      <c r="J20" s="416"/>
      <c r="K20" s="415"/>
      <c r="L20" s="416"/>
      <c r="M20" s="417" t="s">
        <v>321</v>
      </c>
      <c r="N20" s="418"/>
      <c r="O20" s="418"/>
    </row>
    <row r="21" spans="1:16" ht="15.75" thickTop="1" x14ac:dyDescent="0.25">
      <c r="A21" s="401"/>
      <c r="B21" s="402"/>
      <c r="C21" s="402"/>
      <c r="D21" s="402"/>
      <c r="E21" s="402"/>
      <c r="F21" s="402"/>
      <c r="G21" s="402"/>
      <c r="H21" s="419"/>
      <c r="I21" s="419"/>
      <c r="J21" s="404"/>
      <c r="K21" s="419"/>
      <c r="L21" s="420"/>
      <c r="M21" s="406"/>
      <c r="N21" s="169"/>
      <c r="O21" s="169"/>
    </row>
    <row r="22" spans="1:16" ht="56.45" customHeight="1" x14ac:dyDescent="0.25">
      <c r="A22" s="421" t="s">
        <v>322</v>
      </c>
      <c r="B22" s="422" t="s">
        <v>291</v>
      </c>
      <c r="C22" s="422" t="s">
        <v>323</v>
      </c>
      <c r="D22" s="422" t="s">
        <v>324</v>
      </c>
      <c r="E22" s="422" t="s">
        <v>325</v>
      </c>
      <c r="F22" s="422" t="s">
        <v>326</v>
      </c>
      <c r="G22" s="422" t="s">
        <v>327</v>
      </c>
      <c r="H22" s="422" t="s">
        <v>297</v>
      </c>
      <c r="I22" s="422" t="s">
        <v>298</v>
      </c>
      <c r="J22" s="423" t="s">
        <v>299</v>
      </c>
      <c r="K22" s="422" t="s">
        <v>300</v>
      </c>
      <c r="L22" s="423" t="s">
        <v>301</v>
      </c>
      <c r="M22" s="424" t="s">
        <v>302</v>
      </c>
      <c r="N22" s="424" t="s">
        <v>303</v>
      </c>
      <c r="O22" s="424" t="s">
        <v>304</v>
      </c>
    </row>
    <row r="23" spans="1:16" s="317" customFormat="1" x14ac:dyDescent="0.25">
      <c r="A23" s="425" t="s">
        <v>328</v>
      </c>
      <c r="B23" s="382" t="s">
        <v>306</v>
      </c>
      <c r="C23" s="382"/>
      <c r="D23" s="382"/>
      <c r="E23" s="382"/>
      <c r="F23" s="382"/>
      <c r="G23" s="382"/>
      <c r="H23" s="382" t="s">
        <v>306</v>
      </c>
      <c r="I23" s="382" t="s">
        <v>306</v>
      </c>
      <c r="J23" s="384" t="s">
        <v>306</v>
      </c>
      <c r="K23" s="382" t="s">
        <v>306</v>
      </c>
      <c r="L23" s="384" t="s">
        <v>306</v>
      </c>
      <c r="M23" s="385" t="s">
        <v>306</v>
      </c>
      <c r="N23" s="385" t="s">
        <v>306</v>
      </c>
      <c r="O23" s="385" t="s">
        <v>306</v>
      </c>
    </row>
    <row r="24" spans="1:16" s="317" customFormat="1" x14ac:dyDescent="0.25">
      <c r="A24" s="398" t="s">
        <v>329</v>
      </c>
      <c r="B24" s="382" t="s">
        <v>44</v>
      </c>
      <c r="C24" s="383"/>
      <c r="D24" s="383"/>
      <c r="E24" s="383"/>
      <c r="F24" s="383"/>
      <c r="G24" s="383"/>
      <c r="H24" s="383">
        <v>0</v>
      </c>
      <c r="I24" s="382">
        <v>100</v>
      </c>
      <c r="J24" s="426" t="s">
        <v>84</v>
      </c>
      <c r="K24" s="383">
        <v>0</v>
      </c>
      <c r="L24" s="426">
        <v>104189</v>
      </c>
      <c r="M24" s="427" t="s">
        <v>321</v>
      </c>
      <c r="N24" s="428" t="s">
        <v>330</v>
      </c>
      <c r="O24" s="428" t="s">
        <v>331</v>
      </c>
    </row>
    <row r="25" spans="1:16" s="317" customFormat="1" x14ac:dyDescent="0.25">
      <c r="A25" s="398" t="s">
        <v>332</v>
      </c>
      <c r="B25" s="382" t="s">
        <v>46</v>
      </c>
      <c r="C25" s="383"/>
      <c r="D25" s="383"/>
      <c r="E25" s="383"/>
      <c r="F25" s="383"/>
      <c r="G25" s="383"/>
      <c r="H25" s="383">
        <v>0</v>
      </c>
      <c r="I25" s="382">
        <v>100</v>
      </c>
      <c r="J25" s="426" t="s">
        <v>84</v>
      </c>
      <c r="K25" s="383">
        <v>0</v>
      </c>
      <c r="L25" s="426">
        <v>81036</v>
      </c>
      <c r="M25" s="427" t="s">
        <v>321</v>
      </c>
      <c r="N25" s="428" t="s">
        <v>333</v>
      </c>
      <c r="O25" s="428" t="s">
        <v>331</v>
      </c>
    </row>
    <row r="26" spans="1:16" s="317" customFormat="1" x14ac:dyDescent="0.25">
      <c r="A26" s="398" t="s">
        <v>334</v>
      </c>
      <c r="B26" s="382" t="s">
        <v>48</v>
      </c>
      <c r="C26" s="383"/>
      <c r="D26" s="383"/>
      <c r="E26" s="383"/>
      <c r="F26" s="383"/>
      <c r="G26" s="383"/>
      <c r="H26" s="383">
        <v>0</v>
      </c>
      <c r="I26" s="382">
        <v>100</v>
      </c>
      <c r="J26" s="426" t="s">
        <v>84</v>
      </c>
      <c r="K26" s="383">
        <v>0</v>
      </c>
      <c r="L26" s="426">
        <v>43412</v>
      </c>
      <c r="M26" s="427" t="s">
        <v>321</v>
      </c>
      <c r="N26" s="428" t="s">
        <v>335</v>
      </c>
      <c r="O26" s="428" t="s">
        <v>331</v>
      </c>
      <c r="P26" s="317" t="s">
        <v>84</v>
      </c>
    </row>
    <row r="27" spans="1:16" s="317" customFormat="1" x14ac:dyDescent="0.25">
      <c r="A27" s="398" t="s">
        <v>336</v>
      </c>
      <c r="B27" s="382" t="s">
        <v>50</v>
      </c>
      <c r="C27" s="383"/>
      <c r="D27" s="383"/>
      <c r="E27" s="383"/>
      <c r="F27" s="383"/>
      <c r="G27" s="383"/>
      <c r="H27" s="383">
        <v>0</v>
      </c>
      <c r="I27" s="382">
        <v>50</v>
      </c>
      <c r="J27" s="426" t="s">
        <v>84</v>
      </c>
      <c r="K27" s="383">
        <v>0</v>
      </c>
      <c r="L27" s="426">
        <v>59330</v>
      </c>
      <c r="M27" s="427" t="s">
        <v>337</v>
      </c>
      <c r="N27" s="428" t="s">
        <v>338</v>
      </c>
      <c r="O27" s="428" t="s">
        <v>331</v>
      </c>
    </row>
    <row r="28" spans="1:16" s="317" customFormat="1" x14ac:dyDescent="0.25">
      <c r="A28" s="398" t="s">
        <v>339</v>
      </c>
      <c r="B28" s="382" t="s">
        <v>52</v>
      </c>
      <c r="C28" s="383"/>
      <c r="D28" s="383"/>
      <c r="E28" s="383"/>
      <c r="F28" s="383"/>
      <c r="G28" s="383"/>
      <c r="H28" s="383">
        <v>0</v>
      </c>
      <c r="I28" s="382">
        <v>50</v>
      </c>
      <c r="J28" s="426" t="s">
        <v>84</v>
      </c>
      <c r="K28" s="383">
        <v>0</v>
      </c>
      <c r="L28" s="426">
        <v>14471</v>
      </c>
      <c r="M28" s="427" t="s">
        <v>337</v>
      </c>
      <c r="N28" s="428" t="s">
        <v>340</v>
      </c>
      <c r="O28" s="428" t="s">
        <v>331</v>
      </c>
      <c r="P28" s="317" t="s">
        <v>84</v>
      </c>
    </row>
    <row r="29" spans="1:16" s="317" customFormat="1" x14ac:dyDescent="0.25">
      <c r="A29" s="398" t="s">
        <v>341</v>
      </c>
      <c r="B29" s="382" t="s">
        <v>54</v>
      </c>
      <c r="C29" s="383"/>
      <c r="D29" s="383"/>
      <c r="E29" s="383"/>
      <c r="F29" s="383"/>
      <c r="G29" s="383"/>
      <c r="H29" s="383">
        <v>0</v>
      </c>
      <c r="I29" s="382">
        <v>50</v>
      </c>
      <c r="J29" s="426" t="s">
        <v>84</v>
      </c>
      <c r="K29" s="383">
        <v>0</v>
      </c>
      <c r="L29" s="426">
        <v>34730</v>
      </c>
      <c r="M29" s="427" t="s">
        <v>337</v>
      </c>
      <c r="N29" s="428" t="s">
        <v>342</v>
      </c>
      <c r="O29" s="428" t="s">
        <v>331</v>
      </c>
      <c r="P29" s="317" t="s">
        <v>84</v>
      </c>
    </row>
    <row r="30" spans="1:16" s="317" customFormat="1" x14ac:dyDescent="0.25">
      <c r="A30" s="398" t="s">
        <v>343</v>
      </c>
      <c r="B30" s="382" t="s">
        <v>56</v>
      </c>
      <c r="C30" s="383"/>
      <c r="D30" s="383"/>
      <c r="E30" s="383"/>
      <c r="F30" s="383"/>
      <c r="G30" s="383"/>
      <c r="H30" s="383">
        <v>0</v>
      </c>
      <c r="I30" s="382">
        <v>50</v>
      </c>
      <c r="J30" s="426" t="s">
        <v>84</v>
      </c>
      <c r="K30" s="383">
        <v>0</v>
      </c>
      <c r="L30" s="426">
        <v>40518</v>
      </c>
      <c r="M30" s="427" t="s">
        <v>337</v>
      </c>
      <c r="N30" s="428" t="s">
        <v>344</v>
      </c>
      <c r="O30" s="428" t="s">
        <v>331</v>
      </c>
    </row>
    <row r="31" spans="1:16" x14ac:dyDescent="0.25">
      <c r="A31" s="398" t="s">
        <v>345</v>
      </c>
      <c r="B31" s="429" t="s">
        <v>58</v>
      </c>
      <c r="C31" s="169"/>
      <c r="D31" s="169"/>
      <c r="E31" s="169"/>
      <c r="F31" s="169"/>
      <c r="G31" s="169"/>
      <c r="H31" s="430">
        <v>0</v>
      </c>
      <c r="I31" s="429">
        <v>50</v>
      </c>
      <c r="J31" s="389" t="s">
        <v>84</v>
      </c>
      <c r="K31" s="430">
        <v>0</v>
      </c>
      <c r="L31" s="389">
        <v>54989</v>
      </c>
      <c r="M31" s="427" t="s">
        <v>337</v>
      </c>
      <c r="N31" s="392" t="s">
        <v>346</v>
      </c>
      <c r="O31" s="428" t="s">
        <v>331</v>
      </c>
    </row>
    <row r="32" spans="1:16" x14ac:dyDescent="0.25">
      <c r="A32" s="401" t="s">
        <v>347</v>
      </c>
      <c r="B32" s="402"/>
      <c r="C32" s="402"/>
      <c r="D32" s="402"/>
      <c r="E32" s="402"/>
      <c r="F32" s="402"/>
      <c r="G32" s="402"/>
      <c r="H32" s="431">
        <f>SUM(H23:H31)</f>
        <v>0</v>
      </c>
      <c r="I32" s="431">
        <f>I24</f>
        <v>100</v>
      </c>
      <c r="J32" s="404"/>
      <c r="K32" s="431">
        <f>SUM(K23:K31)</f>
        <v>0</v>
      </c>
      <c r="L32" s="432">
        <f>SUM(L23:L31)</f>
        <v>432675</v>
      </c>
      <c r="M32" s="406"/>
      <c r="N32" s="169"/>
      <c r="O32" s="169"/>
    </row>
    <row r="33" spans="1:26" ht="15.75" thickBot="1" x14ac:dyDescent="0.3">
      <c r="A33" s="433"/>
      <c r="B33" s="434"/>
      <c r="C33" s="434"/>
      <c r="D33" s="434"/>
      <c r="E33" s="434"/>
      <c r="F33" s="434"/>
      <c r="G33" s="434"/>
      <c r="H33" s="435"/>
      <c r="I33" s="434"/>
      <c r="J33" s="436"/>
      <c r="K33" s="435"/>
      <c r="L33" s="437"/>
      <c r="M33" s="438"/>
      <c r="N33" s="439"/>
      <c r="O33" s="439"/>
    </row>
    <row r="34" spans="1:26" ht="16.5" thickTop="1" thickBot="1" x14ac:dyDescent="0.3">
      <c r="A34" s="414" t="s">
        <v>348</v>
      </c>
      <c r="B34" s="415"/>
      <c r="C34" s="415"/>
      <c r="D34" s="415"/>
      <c r="E34" s="415"/>
      <c r="F34" s="415"/>
      <c r="G34" s="415"/>
      <c r="H34" s="415">
        <f>H24</f>
        <v>0</v>
      </c>
      <c r="I34" s="415">
        <f>I24</f>
        <v>100</v>
      </c>
      <c r="J34" s="416"/>
      <c r="K34" s="415"/>
      <c r="L34" s="416"/>
      <c r="M34" s="417" t="s">
        <v>321</v>
      </c>
      <c r="N34" s="418"/>
      <c r="O34" s="418"/>
    </row>
    <row r="35" spans="1:26" ht="16.5" thickTop="1" thickBot="1" x14ac:dyDescent="0.3">
      <c r="A35" s="440"/>
      <c r="B35" s="441"/>
      <c r="C35" s="441"/>
      <c r="D35" s="441"/>
      <c r="E35" s="441"/>
      <c r="F35" s="441"/>
      <c r="G35" s="441"/>
      <c r="H35" s="442"/>
      <c r="I35" s="441"/>
      <c r="J35" s="443"/>
      <c r="K35" s="442"/>
      <c r="L35" s="444"/>
      <c r="M35" s="445"/>
      <c r="N35" s="446"/>
      <c r="O35" s="446"/>
    </row>
    <row r="36" spans="1:26" ht="16.5" thickTop="1" thickBot="1" x14ac:dyDescent="0.3">
      <c r="A36" s="447" t="s">
        <v>349</v>
      </c>
      <c r="B36" s="415"/>
      <c r="C36" s="415"/>
      <c r="D36" s="415"/>
      <c r="E36" s="415"/>
      <c r="F36" s="415"/>
      <c r="G36" s="415"/>
      <c r="H36" s="415">
        <f>H20</f>
        <v>0</v>
      </c>
      <c r="I36" s="415">
        <f>I20</f>
        <v>100</v>
      </c>
      <c r="J36" s="416"/>
      <c r="K36" s="415"/>
      <c r="L36" s="416"/>
      <c r="M36" s="417" t="s">
        <v>321</v>
      </c>
      <c r="N36" s="418"/>
      <c r="O36" s="418"/>
    </row>
    <row r="37" spans="1:26" s="317" customFormat="1" ht="15.75" thickTop="1" x14ac:dyDescent="0.25">
      <c r="A37" s="401"/>
      <c r="B37" s="402"/>
      <c r="C37" s="402"/>
      <c r="D37" s="402"/>
      <c r="E37" s="402"/>
      <c r="F37" s="402"/>
      <c r="G37" s="402"/>
      <c r="H37" s="419"/>
      <c r="I37" s="402"/>
      <c r="J37" s="404"/>
      <c r="K37" s="419"/>
      <c r="L37" s="420"/>
      <c r="M37" s="406"/>
      <c r="N37" s="394"/>
      <c r="O37" s="394"/>
    </row>
    <row r="38" spans="1:26" s="317" customFormat="1" ht="49.9" customHeight="1" x14ac:dyDescent="0.25">
      <c r="A38" s="421" t="s">
        <v>350</v>
      </c>
      <c r="B38" s="422" t="s">
        <v>291</v>
      </c>
      <c r="C38" s="448"/>
      <c r="D38" s="448"/>
      <c r="E38" s="448"/>
      <c r="F38" s="448"/>
      <c r="G38" s="448"/>
      <c r="H38" s="422" t="s">
        <v>351</v>
      </c>
      <c r="I38" s="422" t="s">
        <v>352</v>
      </c>
      <c r="J38" s="449"/>
      <c r="K38" s="422" t="s">
        <v>353</v>
      </c>
      <c r="L38" s="423" t="s">
        <v>354</v>
      </c>
      <c r="M38" s="450" t="s">
        <v>355</v>
      </c>
      <c r="N38" s="424" t="s">
        <v>303</v>
      </c>
      <c r="O38" s="424" t="s">
        <v>304</v>
      </c>
      <c r="P38" s="314"/>
      <c r="Q38" s="314"/>
      <c r="R38" s="314"/>
      <c r="S38" s="314"/>
      <c r="T38" s="314"/>
      <c r="U38" s="314"/>
      <c r="V38" s="314"/>
      <c r="W38" s="314"/>
      <c r="X38" s="314"/>
      <c r="Y38" s="314"/>
      <c r="Z38" s="314"/>
    </row>
    <row r="39" spans="1:26" s="317" customFormat="1" x14ac:dyDescent="0.25">
      <c r="A39" s="387" t="s">
        <v>356</v>
      </c>
      <c r="B39" s="382" t="s">
        <v>72</v>
      </c>
      <c r="C39" s="382"/>
      <c r="D39" s="382"/>
      <c r="E39" s="382"/>
      <c r="F39" s="382"/>
      <c r="G39" s="382"/>
      <c r="H39" s="388">
        <v>0</v>
      </c>
      <c r="I39" s="382">
        <v>100</v>
      </c>
      <c r="J39" s="384" t="s">
        <v>306</v>
      </c>
      <c r="K39" s="388">
        <v>0</v>
      </c>
      <c r="L39" s="384">
        <v>0</v>
      </c>
      <c r="M39" s="451" t="s">
        <v>357</v>
      </c>
      <c r="N39" s="428" t="s">
        <v>358</v>
      </c>
      <c r="O39" s="385" t="s">
        <v>306</v>
      </c>
    </row>
    <row r="40" spans="1:26" s="317" customFormat="1" x14ac:dyDescent="0.25">
      <c r="A40" s="452" t="s">
        <v>306</v>
      </c>
      <c r="B40" s="382" t="s">
        <v>306</v>
      </c>
      <c r="C40" s="382"/>
      <c r="D40" s="382"/>
      <c r="E40" s="382"/>
      <c r="F40" s="382"/>
      <c r="G40" s="382"/>
      <c r="H40" s="382" t="s">
        <v>306</v>
      </c>
      <c r="I40" s="382" t="s">
        <v>306</v>
      </c>
      <c r="J40" s="384" t="s">
        <v>306</v>
      </c>
      <c r="K40" s="382" t="s">
        <v>306</v>
      </c>
      <c r="L40" s="384" t="s">
        <v>306</v>
      </c>
      <c r="M40" s="382" t="s">
        <v>306</v>
      </c>
      <c r="N40" s="385" t="s">
        <v>306</v>
      </c>
      <c r="O40" s="385" t="s">
        <v>306</v>
      </c>
    </row>
    <row r="41" spans="1:26" s="317" customFormat="1" x14ac:dyDescent="0.25">
      <c r="A41" s="452" t="s">
        <v>306</v>
      </c>
      <c r="B41" s="382" t="s">
        <v>306</v>
      </c>
      <c r="C41" s="382"/>
      <c r="D41" s="382"/>
      <c r="E41" s="382"/>
      <c r="F41" s="382"/>
      <c r="G41" s="382"/>
      <c r="H41" s="382" t="s">
        <v>306</v>
      </c>
      <c r="I41" s="382" t="s">
        <v>306</v>
      </c>
      <c r="J41" s="384" t="s">
        <v>306</v>
      </c>
      <c r="K41" s="382" t="s">
        <v>306</v>
      </c>
      <c r="L41" s="384" t="s">
        <v>306</v>
      </c>
      <c r="M41" s="382" t="s">
        <v>306</v>
      </c>
      <c r="N41" s="385" t="s">
        <v>306</v>
      </c>
      <c r="O41" s="385" t="s">
        <v>306</v>
      </c>
    </row>
    <row r="42" spans="1:26" s="317" customFormat="1" hidden="1" x14ac:dyDescent="0.25">
      <c r="A42" s="453"/>
      <c r="B42" s="169"/>
      <c r="C42" s="402"/>
      <c r="D42" s="402"/>
      <c r="E42" s="402"/>
      <c r="F42" s="402"/>
      <c r="G42" s="402"/>
      <c r="H42" s="394"/>
      <c r="I42" s="169"/>
      <c r="J42" s="404"/>
      <c r="K42" s="394"/>
      <c r="L42" s="454"/>
      <c r="M42" s="406"/>
      <c r="N42" s="394"/>
      <c r="O42" s="394"/>
    </row>
    <row r="43" spans="1:26" s="317" customFormat="1" x14ac:dyDescent="0.25">
      <c r="A43" s="401" t="s">
        <v>359</v>
      </c>
      <c r="B43" s="402"/>
      <c r="C43" s="402"/>
      <c r="D43" s="402"/>
      <c r="E43" s="402"/>
      <c r="F43" s="402"/>
      <c r="G43" s="402"/>
      <c r="H43" s="431">
        <f>SUM(H37:H42)</f>
        <v>0</v>
      </c>
      <c r="I43" s="431">
        <f>SUM(I37:I42)</f>
        <v>100</v>
      </c>
      <c r="J43" s="404"/>
      <c r="K43" s="431">
        <f>SUM(K37:K42)</f>
        <v>0</v>
      </c>
      <c r="L43" s="432">
        <f>SUM(L37:L42)</f>
        <v>0</v>
      </c>
      <c r="M43" s="406"/>
      <c r="N43" s="394"/>
      <c r="O43" s="394"/>
    </row>
    <row r="44" spans="1:26" s="317" customFormat="1" x14ac:dyDescent="0.25">
      <c r="A44" s="401"/>
      <c r="B44" s="402"/>
      <c r="C44" s="402"/>
      <c r="D44" s="402"/>
      <c r="E44" s="402"/>
      <c r="F44" s="402"/>
      <c r="G44" s="402"/>
      <c r="H44" s="419"/>
      <c r="I44" s="402"/>
      <c r="J44" s="404"/>
      <c r="K44" s="419"/>
      <c r="L44" s="420"/>
      <c r="M44" s="406"/>
      <c r="N44" s="394"/>
      <c r="O44" s="394"/>
    </row>
    <row r="45" spans="1:26" s="317" customFormat="1" ht="25.5" x14ac:dyDescent="0.25">
      <c r="A45" s="455" t="s">
        <v>360</v>
      </c>
      <c r="B45" s="422" t="s">
        <v>291</v>
      </c>
      <c r="C45" s="448"/>
      <c r="D45" s="448"/>
      <c r="E45" s="448"/>
      <c r="F45" s="448"/>
      <c r="G45" s="448"/>
      <c r="H45" s="422" t="s">
        <v>306</v>
      </c>
      <c r="I45" s="422" t="s">
        <v>306</v>
      </c>
      <c r="J45" s="422" t="s">
        <v>306</v>
      </c>
      <c r="K45" s="422" t="s">
        <v>353</v>
      </c>
      <c r="L45" s="423" t="s">
        <v>354</v>
      </c>
      <c r="M45" s="422" t="s">
        <v>306</v>
      </c>
      <c r="N45" s="424" t="s">
        <v>303</v>
      </c>
      <c r="O45" s="450" t="s">
        <v>304</v>
      </c>
    </row>
    <row r="46" spans="1:26" s="317" customFormat="1" x14ac:dyDescent="0.25">
      <c r="A46" s="381" t="s">
        <v>361</v>
      </c>
      <c r="B46" s="385" t="s">
        <v>306</v>
      </c>
      <c r="C46" s="382"/>
      <c r="D46" s="382"/>
      <c r="E46" s="382"/>
      <c r="F46" s="382"/>
      <c r="G46" s="382"/>
      <c r="H46" s="382" t="s">
        <v>306</v>
      </c>
      <c r="I46" s="382" t="s">
        <v>306</v>
      </c>
      <c r="J46" s="382" t="s">
        <v>306</v>
      </c>
      <c r="K46" s="382" t="s">
        <v>306</v>
      </c>
      <c r="L46" s="384" t="s">
        <v>306</v>
      </c>
      <c r="M46" s="382" t="s">
        <v>306</v>
      </c>
      <c r="N46" s="385" t="s">
        <v>306</v>
      </c>
      <c r="O46" s="385" t="s">
        <v>306</v>
      </c>
    </row>
    <row r="47" spans="1:26" s="317" customFormat="1" x14ac:dyDescent="0.25">
      <c r="A47" s="398" t="s">
        <v>362</v>
      </c>
      <c r="B47" s="385" t="s">
        <v>363</v>
      </c>
      <c r="C47" s="394"/>
      <c r="D47" s="394"/>
      <c r="E47" s="394"/>
      <c r="F47" s="394"/>
      <c r="G47" s="394"/>
      <c r="H47" s="382" t="s">
        <v>306</v>
      </c>
      <c r="I47" s="382" t="s">
        <v>306</v>
      </c>
      <c r="J47" s="382" t="s">
        <v>306</v>
      </c>
      <c r="K47" s="383">
        <v>110616</v>
      </c>
      <c r="L47" s="426">
        <v>213716</v>
      </c>
      <c r="M47" s="382" t="s">
        <v>306</v>
      </c>
      <c r="N47" s="428" t="s">
        <v>364</v>
      </c>
      <c r="O47" s="428" t="s">
        <v>331</v>
      </c>
    </row>
    <row r="48" spans="1:26" s="317" customFormat="1" ht="45" x14ac:dyDescent="0.25">
      <c r="A48" s="456" t="s">
        <v>365</v>
      </c>
      <c r="B48" s="385" t="s">
        <v>366</v>
      </c>
      <c r="C48" s="394"/>
      <c r="D48" s="394"/>
      <c r="E48" s="394"/>
      <c r="F48" s="394"/>
      <c r="G48" s="394"/>
      <c r="H48" s="382" t="s">
        <v>306</v>
      </c>
      <c r="I48" s="382" t="s">
        <v>306</v>
      </c>
      <c r="J48" s="382" t="s">
        <v>306</v>
      </c>
      <c r="K48" s="383">
        <v>67975</v>
      </c>
      <c r="L48" s="426">
        <v>145038</v>
      </c>
      <c r="M48" s="382" t="s">
        <v>306</v>
      </c>
      <c r="N48" s="428" t="s">
        <v>367</v>
      </c>
      <c r="O48" s="428" t="s">
        <v>331</v>
      </c>
    </row>
    <row r="49" spans="1:16" s="317" customFormat="1" ht="30" x14ac:dyDescent="0.25">
      <c r="A49" s="398" t="s">
        <v>368</v>
      </c>
      <c r="B49" s="385" t="s">
        <v>369</v>
      </c>
      <c r="C49" s="394"/>
      <c r="D49" s="394"/>
      <c r="E49" s="394"/>
      <c r="F49" s="394"/>
      <c r="G49" s="394"/>
      <c r="H49" s="382" t="s">
        <v>306</v>
      </c>
      <c r="I49" s="382" t="s">
        <v>306</v>
      </c>
      <c r="J49" s="382" t="s">
        <v>306</v>
      </c>
      <c r="K49" s="383">
        <v>87880</v>
      </c>
      <c r="L49" s="426">
        <v>423719</v>
      </c>
      <c r="M49" s="382" t="s">
        <v>306</v>
      </c>
      <c r="N49" s="457" t="s">
        <v>370</v>
      </c>
      <c r="O49" s="428" t="s">
        <v>331</v>
      </c>
      <c r="P49" s="317" t="s">
        <v>84</v>
      </c>
    </row>
    <row r="50" spans="1:16" s="317" customFormat="1" ht="30" x14ac:dyDescent="0.25">
      <c r="A50" s="398" t="s">
        <v>371</v>
      </c>
      <c r="B50" s="385" t="s">
        <v>372</v>
      </c>
      <c r="C50" s="394"/>
      <c r="D50" s="394"/>
      <c r="E50" s="394"/>
      <c r="F50" s="394"/>
      <c r="G50" s="394"/>
      <c r="H50" s="382" t="s">
        <v>306</v>
      </c>
      <c r="I50" s="382" t="s">
        <v>306</v>
      </c>
      <c r="J50" s="382" t="s">
        <v>306</v>
      </c>
      <c r="K50" s="383">
        <v>21953</v>
      </c>
      <c r="L50" s="426">
        <v>332827</v>
      </c>
      <c r="M50" s="382" t="s">
        <v>306</v>
      </c>
      <c r="N50" s="385" t="s">
        <v>373</v>
      </c>
      <c r="O50" s="428" t="s">
        <v>331</v>
      </c>
    </row>
    <row r="51" spans="1:16" s="317" customFormat="1" x14ac:dyDescent="0.25">
      <c r="A51" s="458" t="s">
        <v>374</v>
      </c>
      <c r="B51" s="398" t="s">
        <v>375</v>
      </c>
      <c r="C51" s="402"/>
      <c r="D51" s="402"/>
      <c r="E51" s="402"/>
      <c r="F51" s="402"/>
      <c r="G51" s="402"/>
      <c r="H51" s="382" t="s">
        <v>306</v>
      </c>
      <c r="I51" s="382" t="s">
        <v>306</v>
      </c>
      <c r="J51" s="382" t="s">
        <v>306</v>
      </c>
      <c r="K51" s="430">
        <v>42546</v>
      </c>
      <c r="L51" s="389">
        <v>136613</v>
      </c>
      <c r="M51" s="382" t="s">
        <v>306</v>
      </c>
      <c r="N51" s="428" t="s">
        <v>376</v>
      </c>
      <c r="O51" s="428" t="s">
        <v>331</v>
      </c>
    </row>
    <row r="52" spans="1:16" s="317" customFormat="1" hidden="1" x14ac:dyDescent="0.25">
      <c r="A52" s="453"/>
      <c r="B52" s="169"/>
      <c r="C52" s="402"/>
      <c r="D52" s="402"/>
      <c r="E52" s="402"/>
      <c r="F52" s="402"/>
      <c r="G52" s="402"/>
      <c r="H52" s="419"/>
      <c r="I52" s="402"/>
      <c r="J52" s="404"/>
      <c r="K52" s="394"/>
      <c r="L52" s="454"/>
      <c r="M52" s="459"/>
      <c r="N52" s="394"/>
      <c r="O52" s="394"/>
    </row>
    <row r="53" spans="1:16" s="317" customFormat="1" hidden="1" x14ac:dyDescent="0.25">
      <c r="A53" s="453"/>
      <c r="B53" s="169"/>
      <c r="C53" s="402"/>
      <c r="D53" s="402"/>
      <c r="E53" s="402"/>
      <c r="F53" s="402"/>
      <c r="G53" s="402"/>
      <c r="H53" s="419"/>
      <c r="I53" s="402"/>
      <c r="J53" s="404"/>
      <c r="K53" s="394"/>
      <c r="L53" s="454"/>
      <c r="M53" s="459"/>
      <c r="N53" s="394"/>
      <c r="O53" s="394"/>
    </row>
    <row r="54" spans="1:16" s="317" customFormat="1" hidden="1" x14ac:dyDescent="0.25">
      <c r="A54" s="453"/>
      <c r="B54" s="169"/>
      <c r="C54" s="402"/>
      <c r="D54" s="402"/>
      <c r="E54" s="402"/>
      <c r="F54" s="402"/>
      <c r="G54" s="402"/>
      <c r="H54" s="419"/>
      <c r="I54" s="402"/>
      <c r="J54" s="404"/>
      <c r="K54" s="394"/>
      <c r="L54" s="454"/>
      <c r="M54" s="459"/>
      <c r="N54" s="394"/>
      <c r="O54" s="394"/>
    </row>
    <row r="55" spans="1:16" s="317" customFormat="1" hidden="1" x14ac:dyDescent="0.25">
      <c r="A55" s="460"/>
      <c r="B55" s="394"/>
      <c r="C55" s="394"/>
      <c r="D55" s="394"/>
      <c r="E55" s="394"/>
      <c r="F55" s="394"/>
      <c r="G55" s="394"/>
      <c r="H55" s="394"/>
      <c r="I55" s="394"/>
      <c r="J55" s="454"/>
      <c r="K55" s="394"/>
      <c r="L55" s="454"/>
      <c r="M55" s="461"/>
      <c r="N55" s="394"/>
      <c r="O55" s="394"/>
    </row>
    <row r="56" spans="1:16" x14ac:dyDescent="0.25">
      <c r="A56" s="401" t="s">
        <v>377</v>
      </c>
      <c r="B56" s="402"/>
      <c r="C56" s="402"/>
      <c r="D56" s="402"/>
      <c r="E56" s="402"/>
      <c r="F56" s="402"/>
      <c r="G56" s="402"/>
      <c r="H56" s="419"/>
      <c r="I56" s="402"/>
      <c r="J56" s="404"/>
      <c r="K56" s="431">
        <f>SUM(K46:K55)</f>
        <v>330970</v>
      </c>
      <c r="L56" s="432">
        <f>SUM(L46:L55)</f>
        <v>1251913</v>
      </c>
      <c r="M56" s="459"/>
      <c r="N56" s="169"/>
      <c r="O56" s="169"/>
    </row>
    <row r="57" spans="1:16" x14ac:dyDescent="0.25">
      <c r="A57" s="401"/>
      <c r="B57" s="402"/>
      <c r="C57" s="402"/>
      <c r="D57" s="402"/>
      <c r="E57" s="402"/>
      <c r="F57" s="402"/>
      <c r="G57" s="402"/>
      <c r="H57" s="419"/>
      <c r="I57" s="402"/>
      <c r="J57" s="462"/>
      <c r="K57" s="419"/>
      <c r="L57" s="420"/>
      <c r="M57" s="169"/>
      <c r="N57" s="169"/>
    </row>
    <row r="58" spans="1:16" ht="25.5" x14ac:dyDescent="0.25">
      <c r="A58" s="455" t="s">
        <v>378</v>
      </c>
      <c r="B58" s="422" t="s">
        <v>291</v>
      </c>
      <c r="C58" s="448"/>
      <c r="D58" s="448"/>
      <c r="E58" s="448"/>
      <c r="F58" s="448"/>
      <c r="G58" s="448"/>
      <c r="H58" s="422" t="s">
        <v>306</v>
      </c>
      <c r="I58" s="422" t="s">
        <v>306</v>
      </c>
      <c r="J58" s="422" t="s">
        <v>306</v>
      </c>
      <c r="K58" s="422" t="s">
        <v>353</v>
      </c>
      <c r="L58" s="423" t="s">
        <v>354</v>
      </c>
      <c r="M58" s="422" t="s">
        <v>306</v>
      </c>
      <c r="N58" s="424" t="s">
        <v>303</v>
      </c>
      <c r="O58" s="450" t="s">
        <v>304</v>
      </c>
    </row>
    <row r="59" spans="1:16" s="317" customFormat="1" x14ac:dyDescent="0.25">
      <c r="A59" s="463" t="s">
        <v>379</v>
      </c>
      <c r="B59" s="385" t="s">
        <v>70</v>
      </c>
      <c r="C59" s="382"/>
      <c r="D59" s="382"/>
      <c r="E59" s="382"/>
      <c r="F59" s="382"/>
      <c r="G59" s="382"/>
      <c r="H59" s="382" t="s">
        <v>306</v>
      </c>
      <c r="I59" s="382" t="s">
        <v>306</v>
      </c>
      <c r="J59" s="382" t="s">
        <v>306</v>
      </c>
      <c r="K59" s="388">
        <v>4821</v>
      </c>
      <c r="L59" s="384">
        <v>4685</v>
      </c>
      <c r="M59" s="382" t="s">
        <v>380</v>
      </c>
      <c r="N59" s="385" t="s">
        <v>381</v>
      </c>
      <c r="O59" s="385"/>
    </row>
    <row r="60" spans="1:16" s="317" customFormat="1" ht="45" x14ac:dyDescent="0.25">
      <c r="A60" s="463" t="s">
        <v>382</v>
      </c>
      <c r="B60" s="385" t="s">
        <v>383</v>
      </c>
      <c r="C60" s="382"/>
      <c r="D60" s="382"/>
      <c r="E60" s="382"/>
      <c r="F60" s="382"/>
      <c r="G60" s="382"/>
      <c r="H60" s="382" t="s">
        <v>306</v>
      </c>
      <c r="I60" s="382" t="s">
        <v>306</v>
      </c>
      <c r="J60" s="382" t="s">
        <v>306</v>
      </c>
      <c r="K60" s="388">
        <v>6548</v>
      </c>
      <c r="L60" s="384">
        <v>0</v>
      </c>
      <c r="M60" s="382" t="s">
        <v>380</v>
      </c>
      <c r="N60" s="385" t="s">
        <v>384</v>
      </c>
      <c r="O60" s="385" t="s">
        <v>385</v>
      </c>
    </row>
    <row r="61" spans="1:16" s="317" customFormat="1" x14ac:dyDescent="0.25">
      <c r="A61" s="463" t="s">
        <v>386</v>
      </c>
      <c r="B61" s="385" t="s">
        <v>306</v>
      </c>
      <c r="C61" s="382"/>
      <c r="D61" s="382"/>
      <c r="E61" s="382"/>
      <c r="F61" s="382"/>
      <c r="G61" s="382"/>
      <c r="H61" s="382" t="s">
        <v>306</v>
      </c>
      <c r="I61" s="382" t="s">
        <v>306</v>
      </c>
      <c r="J61" s="382" t="s">
        <v>306</v>
      </c>
      <c r="K61" s="388">
        <v>0</v>
      </c>
      <c r="L61" s="384">
        <v>0</v>
      </c>
      <c r="M61" s="382" t="s">
        <v>306</v>
      </c>
      <c r="N61" s="385" t="s">
        <v>306</v>
      </c>
      <c r="O61" s="385" t="s">
        <v>306</v>
      </c>
    </row>
    <row r="62" spans="1:16" s="317" customFormat="1" hidden="1" x14ac:dyDescent="0.25">
      <c r="A62" s="460"/>
      <c r="B62" s="394"/>
      <c r="C62" s="394"/>
      <c r="D62" s="394"/>
      <c r="E62" s="394"/>
      <c r="F62" s="394"/>
      <c r="G62" s="394"/>
      <c r="H62" s="394"/>
      <c r="I62" s="394"/>
      <c r="J62" s="454"/>
      <c r="K62" s="394"/>
      <c r="L62" s="454"/>
      <c r="M62" s="461"/>
      <c r="N62" s="394"/>
      <c r="O62" s="394"/>
    </row>
    <row r="63" spans="1:16" s="317" customFormat="1" hidden="1" x14ac:dyDescent="0.25">
      <c r="A63" s="460" t="s">
        <v>84</v>
      </c>
      <c r="B63" s="394"/>
      <c r="C63" s="394"/>
      <c r="D63" s="394"/>
      <c r="E63" s="394"/>
      <c r="F63" s="394"/>
      <c r="G63" s="394"/>
      <c r="H63" s="394"/>
      <c r="I63" s="394"/>
      <c r="J63" s="454"/>
      <c r="K63" s="394"/>
      <c r="L63" s="454"/>
      <c r="M63" s="461"/>
      <c r="N63" s="394"/>
      <c r="O63" s="394"/>
    </row>
    <row r="64" spans="1:16" s="317" customFormat="1" x14ac:dyDescent="0.25">
      <c r="A64" s="401" t="s">
        <v>387</v>
      </c>
      <c r="B64" s="402"/>
      <c r="C64" s="402"/>
      <c r="D64" s="402"/>
      <c r="E64" s="402"/>
      <c r="F64" s="402"/>
      <c r="G64" s="402"/>
      <c r="H64" s="419"/>
      <c r="I64" s="419"/>
      <c r="J64" s="404"/>
      <c r="K64" s="431">
        <f>SUM(K58:K63)</f>
        <v>11369</v>
      </c>
      <c r="L64" s="432">
        <f>SUM(L58:L63)</f>
        <v>4685</v>
      </c>
      <c r="M64" s="406"/>
      <c r="N64" s="394"/>
      <c r="O64" s="394"/>
    </row>
    <row r="65" spans="1:15" x14ac:dyDescent="0.25">
      <c r="A65" s="464"/>
      <c r="B65" s="464"/>
      <c r="C65" s="464"/>
      <c r="D65" s="464"/>
      <c r="E65" s="464"/>
      <c r="F65" s="464"/>
      <c r="G65" s="464"/>
      <c r="H65" s="464"/>
      <c r="I65" s="464"/>
      <c r="J65" s="465"/>
      <c r="K65" s="464"/>
      <c r="L65" s="466"/>
      <c r="M65" s="394"/>
      <c r="N65" s="169"/>
    </row>
    <row r="66" spans="1:15" ht="38.25" x14ac:dyDescent="0.25">
      <c r="A66" s="467" t="s">
        <v>388</v>
      </c>
      <c r="B66" s="468"/>
      <c r="C66" s="469"/>
      <c r="D66" s="469"/>
      <c r="E66" s="469"/>
      <c r="F66" s="469"/>
      <c r="G66" s="469"/>
      <c r="H66" s="468"/>
      <c r="I66" s="468"/>
      <c r="J66" s="470"/>
      <c r="K66" s="468" t="s">
        <v>389</v>
      </c>
      <c r="L66" s="471" t="s">
        <v>390</v>
      </c>
      <c r="M66" s="472"/>
      <c r="N66" s="473"/>
      <c r="O66" s="472" t="s">
        <v>304</v>
      </c>
    </row>
    <row r="67" spans="1:15" ht="31.9" customHeight="1" x14ac:dyDescent="0.25">
      <c r="A67" s="419" t="s">
        <v>391</v>
      </c>
      <c r="B67" s="419"/>
      <c r="C67" s="419"/>
      <c r="D67" s="419"/>
      <c r="E67" s="419"/>
      <c r="F67" s="419"/>
      <c r="G67" s="419"/>
      <c r="H67" s="419"/>
      <c r="I67" s="419"/>
      <c r="J67" s="474"/>
      <c r="K67" s="431">
        <f>K64+K56+K43+K32+K18</f>
        <v>342339</v>
      </c>
      <c r="L67" s="475">
        <f>L64+L56+L43+L32+L18</f>
        <v>4689273</v>
      </c>
      <c r="M67" s="394"/>
      <c r="N67" s="169"/>
      <c r="O67" s="169"/>
    </row>
    <row r="68" spans="1:15" x14ac:dyDescent="0.25">
      <c r="A68" s="25"/>
      <c r="B68" s="25"/>
      <c r="C68" s="25"/>
      <c r="D68" s="25"/>
      <c r="E68" s="25"/>
      <c r="F68" s="25"/>
      <c r="G68" s="25"/>
      <c r="H68" s="25"/>
      <c r="I68" s="25"/>
      <c r="J68" s="476"/>
      <c r="K68" s="317"/>
      <c r="L68" s="477"/>
      <c r="M68" s="317"/>
      <c r="N68" s="317"/>
    </row>
    <row r="69" spans="1:15" ht="15.75" thickBot="1" x14ac:dyDescent="0.3">
      <c r="A69" s="25"/>
      <c r="B69" s="25"/>
      <c r="C69" s="25"/>
      <c r="D69" s="25"/>
      <c r="E69" s="25"/>
      <c r="F69" s="25"/>
      <c r="G69" s="25"/>
      <c r="H69" s="25"/>
      <c r="I69" s="25"/>
      <c r="J69" s="476"/>
      <c r="K69" s="317"/>
      <c r="L69" s="477"/>
      <c r="M69" s="317"/>
      <c r="N69" s="317"/>
    </row>
    <row r="70" spans="1:15" ht="31.5" thickTop="1" thickBot="1" x14ac:dyDescent="0.3">
      <c r="A70" s="478" t="s">
        <v>392</v>
      </c>
      <c r="B70" s="479">
        <v>5253231.25</v>
      </c>
      <c r="C70" s="480"/>
      <c r="D70" s="481"/>
      <c r="E70" s="481"/>
      <c r="F70" s="481"/>
      <c r="G70" s="482"/>
      <c r="H70" s="25"/>
      <c r="I70" s="25"/>
      <c r="J70" s="476"/>
      <c r="K70" s="317"/>
      <c r="L70" s="477"/>
      <c r="M70" s="317"/>
      <c r="N70" s="317"/>
    </row>
    <row r="71" spans="1:15" ht="31.5" thickTop="1" thickBot="1" x14ac:dyDescent="0.3">
      <c r="A71" s="483" t="s">
        <v>393</v>
      </c>
      <c r="B71" s="484">
        <f>L67</f>
        <v>4689273</v>
      </c>
      <c r="C71" s="485"/>
      <c r="D71" s="486" t="s">
        <v>394</v>
      </c>
      <c r="E71" s="486"/>
      <c r="F71" s="486"/>
      <c r="G71" s="487"/>
      <c r="H71" s="68" t="s">
        <v>395</v>
      </c>
      <c r="I71" s="91"/>
    </row>
    <row r="72" spans="1:15" ht="31.5" thickTop="1" thickBot="1" x14ac:dyDescent="0.3">
      <c r="A72" s="478" t="s">
        <v>396</v>
      </c>
      <c r="B72" s="488">
        <f>B71/B70</f>
        <v>0.89264545511869475</v>
      </c>
      <c r="C72" s="485"/>
      <c r="D72" s="489" t="e">
        <f>D71/#REF!</f>
        <v>#VALUE!</v>
      </c>
      <c r="E72" s="169"/>
      <c r="F72" s="169"/>
      <c r="G72" s="459"/>
      <c r="H72" s="314" t="s">
        <v>397</v>
      </c>
    </row>
    <row r="73" spans="1:15" ht="31.5" thickTop="1" thickBot="1" x14ac:dyDescent="0.3">
      <c r="A73" s="478" t="s">
        <v>398</v>
      </c>
      <c r="B73" s="488">
        <f>K67/B70</f>
        <v>6.516731963779436E-2</v>
      </c>
      <c r="C73" s="490"/>
      <c r="D73" s="169"/>
      <c r="E73" s="169"/>
      <c r="F73" s="169"/>
      <c r="G73" s="459"/>
      <c r="H73" s="491" t="s">
        <v>399</v>
      </c>
    </row>
    <row r="74" spans="1:15" ht="15.75" thickTop="1" x14ac:dyDescent="0.25">
      <c r="D74" s="314" t="e">
        <f>K65/#REF!</f>
        <v>#REF!</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121A-80A9-4DCE-80FE-24C9268D31A7}">
  <dimension ref="A1:BC59"/>
  <sheetViews>
    <sheetView topLeftCell="A28" workbookViewId="0">
      <selection activeCell="A51" sqref="A51"/>
    </sheetView>
  </sheetViews>
  <sheetFormatPr baseColWidth="10" defaultColWidth="10" defaultRowHeight="15" x14ac:dyDescent="0.25"/>
  <cols>
    <col min="1" max="1" width="68.7109375" customWidth="1"/>
    <col min="2" max="2" width="7.7109375" style="211" customWidth="1"/>
    <col min="3" max="3" width="10" style="24" customWidth="1"/>
    <col min="4" max="4" width="11.7109375" style="24" hidden="1" customWidth="1"/>
    <col min="5" max="5" width="9.5703125" style="24" customWidth="1"/>
    <col min="6" max="6" width="8.42578125" customWidth="1"/>
    <col min="7" max="7" width="10" style="41"/>
    <col min="8" max="8" width="12.85546875" style="41" hidden="1" customWidth="1"/>
    <col min="9" max="9" width="10" style="111"/>
    <col min="10" max="10" width="7.85546875" customWidth="1"/>
    <col min="12" max="12" width="0" hidden="1" customWidth="1"/>
    <col min="14" max="14" width="8.85546875" customWidth="1"/>
    <col min="16" max="16" width="0" hidden="1" customWidth="1"/>
    <col min="18" max="18" width="8.140625" customWidth="1"/>
    <col min="20" max="20" width="0" hidden="1" customWidth="1"/>
    <col min="22" max="22" width="8" customWidth="1"/>
    <col min="23" max="23" width="10" customWidth="1"/>
    <col min="24" max="24" width="0" hidden="1" customWidth="1"/>
    <col min="27" max="27" width="7.7109375" customWidth="1"/>
    <col min="29" max="29" width="0" hidden="1" customWidth="1"/>
    <col min="31" max="31" width="8" customWidth="1"/>
    <col min="33" max="33" width="0" hidden="1" customWidth="1"/>
    <col min="35" max="35" width="7.85546875" customWidth="1"/>
    <col min="37" max="37" width="0" hidden="1" customWidth="1"/>
    <col min="39" max="39" width="8.28515625" customWidth="1"/>
    <col min="41" max="41" width="0" hidden="1" customWidth="1"/>
    <col min="45" max="45" width="0" hidden="1" customWidth="1"/>
    <col min="49" max="49" width="0" hidden="1" customWidth="1"/>
    <col min="53" max="53" width="0" hidden="1" customWidth="1"/>
  </cols>
  <sheetData>
    <row r="1" spans="1:55" ht="21" x14ac:dyDescent="0.35">
      <c r="A1" s="2"/>
      <c r="B1" s="199"/>
      <c r="C1" s="252"/>
      <c r="D1" s="252"/>
      <c r="E1" s="252"/>
      <c r="F1" s="113"/>
      <c r="G1" s="253"/>
      <c r="H1" s="253"/>
      <c r="I1" s="253"/>
      <c r="J1" s="113"/>
      <c r="K1" s="253"/>
      <c r="L1" s="253"/>
      <c r="M1" s="253"/>
      <c r="N1" s="253"/>
      <c r="O1" s="253"/>
      <c r="P1" s="113"/>
      <c r="Q1" s="253"/>
      <c r="R1" s="253"/>
      <c r="S1" s="253"/>
      <c r="T1" s="253"/>
      <c r="U1" s="253"/>
      <c r="V1" s="113"/>
      <c r="W1" s="253"/>
      <c r="X1" s="253"/>
      <c r="Y1" s="253"/>
      <c r="Z1" s="253"/>
      <c r="AA1" s="113"/>
      <c r="AB1" s="253"/>
      <c r="AC1" s="253"/>
      <c r="AD1" s="253"/>
      <c r="AE1" s="113"/>
      <c r="AF1" s="253"/>
      <c r="AG1" s="253"/>
      <c r="AH1" s="253"/>
      <c r="AI1" s="113"/>
      <c r="AJ1" s="253"/>
      <c r="AK1" s="253"/>
      <c r="AL1" s="253"/>
      <c r="AM1" s="113"/>
      <c r="AN1" s="253"/>
      <c r="AO1" s="253"/>
      <c r="AP1" s="253"/>
      <c r="AQ1" s="113"/>
      <c r="AR1" s="253"/>
      <c r="AS1" s="253"/>
      <c r="AT1" s="253"/>
      <c r="AU1" s="113"/>
      <c r="AV1" s="253"/>
      <c r="AW1" s="253"/>
      <c r="AX1" s="253"/>
      <c r="AY1" s="113"/>
      <c r="AZ1" s="253"/>
      <c r="BA1" s="253"/>
      <c r="BB1" s="253"/>
      <c r="BC1" s="113"/>
    </row>
    <row r="2" spans="1:55" ht="15.75" x14ac:dyDescent="0.25">
      <c r="A2" s="112" t="s">
        <v>134</v>
      </c>
      <c r="B2" s="199"/>
      <c r="C2" s="252"/>
      <c r="D2" s="252"/>
      <c r="E2" s="252"/>
      <c r="F2" s="92"/>
      <c r="G2" s="252"/>
      <c r="H2" s="252"/>
      <c r="I2" s="252"/>
      <c r="J2" s="92"/>
      <c r="K2" s="252"/>
      <c r="L2" s="252"/>
      <c r="M2" s="252"/>
      <c r="N2" s="252"/>
      <c r="O2" s="252"/>
      <c r="P2" s="92"/>
      <c r="Q2" s="252"/>
      <c r="R2" s="252"/>
      <c r="S2" s="252"/>
      <c r="T2" s="252"/>
      <c r="U2" s="252"/>
      <c r="V2" s="92"/>
      <c r="W2" s="252"/>
      <c r="X2" s="252"/>
      <c r="Y2" s="252"/>
      <c r="Z2" s="252"/>
      <c r="AA2" s="92">
        <v>7266</v>
      </c>
      <c r="AB2" s="252"/>
      <c r="AC2" s="252"/>
      <c r="AD2" s="252"/>
      <c r="AE2" s="92"/>
      <c r="AF2" s="252"/>
      <c r="AG2" s="252"/>
      <c r="AH2" s="252"/>
      <c r="AI2" s="92"/>
      <c r="AJ2" s="252"/>
      <c r="AK2" s="252"/>
      <c r="AL2" s="252"/>
      <c r="AM2" s="92"/>
      <c r="AN2" s="252"/>
      <c r="AO2" s="252"/>
      <c r="AP2" s="252"/>
      <c r="AQ2" s="92"/>
      <c r="AR2" s="252"/>
      <c r="AS2" s="252"/>
      <c r="AT2" s="252"/>
      <c r="AU2" s="92"/>
      <c r="AV2" s="252"/>
      <c r="AW2" s="252"/>
      <c r="AX2" s="252"/>
      <c r="AY2" s="92"/>
      <c r="AZ2" s="252"/>
      <c r="BA2" s="252"/>
      <c r="BB2" s="252"/>
      <c r="BC2" s="92"/>
    </row>
    <row r="3" spans="1:55" x14ac:dyDescent="0.25">
      <c r="A3" s="25" t="s">
        <v>138</v>
      </c>
      <c r="B3" s="199"/>
      <c r="C3" s="252"/>
      <c r="D3" s="252"/>
      <c r="E3" s="252"/>
      <c r="F3" s="92"/>
      <c r="G3" s="252"/>
      <c r="H3" s="252"/>
      <c r="I3" s="252"/>
      <c r="J3" s="92"/>
      <c r="K3" s="252"/>
      <c r="L3" s="252"/>
      <c r="M3" s="252"/>
      <c r="N3" s="252"/>
      <c r="O3" s="252"/>
      <c r="P3" s="92"/>
      <c r="Q3" s="252"/>
      <c r="R3" s="252"/>
      <c r="S3" s="252"/>
      <c r="T3" s="252"/>
      <c r="U3" s="252"/>
      <c r="V3" s="92"/>
      <c r="W3" s="252"/>
      <c r="X3" s="252"/>
      <c r="Y3" s="252"/>
      <c r="Z3" s="252"/>
      <c r="AA3" s="92"/>
      <c r="AB3" s="252"/>
      <c r="AC3" s="252"/>
      <c r="AD3" s="252"/>
      <c r="AE3" s="92"/>
      <c r="AF3" s="252"/>
      <c r="AG3" s="252"/>
      <c r="AH3" s="252"/>
      <c r="AI3" s="92"/>
      <c r="AJ3" s="252"/>
      <c r="AK3" s="252"/>
      <c r="AL3" s="252"/>
      <c r="AM3" s="92"/>
      <c r="AN3" s="252"/>
      <c r="AO3" s="252"/>
      <c r="AP3" s="252"/>
      <c r="AQ3" s="92"/>
      <c r="AR3" s="252"/>
      <c r="AS3" s="252"/>
      <c r="AT3" s="252"/>
      <c r="AU3" s="92"/>
      <c r="AV3" s="252"/>
      <c r="AW3" s="252"/>
      <c r="AX3" s="252"/>
      <c r="AY3" s="92"/>
      <c r="AZ3" s="252"/>
      <c r="BA3" s="252"/>
      <c r="BB3" s="252"/>
      <c r="BC3" s="142"/>
    </row>
    <row r="4" spans="1:55" ht="15.75" thickBot="1" x14ac:dyDescent="0.3">
      <c r="A4" s="91" t="s">
        <v>191</v>
      </c>
      <c r="B4" s="200"/>
      <c r="C4" s="252"/>
      <c r="D4" s="252"/>
      <c r="E4" s="252"/>
      <c r="F4" s="92"/>
      <c r="G4" s="252"/>
      <c r="H4" s="252"/>
      <c r="I4" s="252"/>
      <c r="J4" s="92"/>
      <c r="K4" s="252"/>
      <c r="L4" s="252"/>
      <c r="M4" s="252"/>
      <c r="N4" s="252"/>
      <c r="O4" s="252"/>
      <c r="P4" s="92"/>
      <c r="Q4" s="252"/>
      <c r="R4" s="252"/>
      <c r="S4" s="254"/>
      <c r="T4" s="254"/>
      <c r="U4" s="254"/>
      <c r="V4" s="197"/>
      <c r="W4" s="254"/>
      <c r="X4" s="254"/>
      <c r="Y4" s="254"/>
      <c r="Z4" s="254"/>
      <c r="AA4" s="197"/>
      <c r="AB4" s="254"/>
      <c r="AC4" s="254"/>
      <c r="AD4" s="254"/>
      <c r="AE4" s="197"/>
      <c r="AF4" s="254"/>
      <c r="AG4" s="254"/>
      <c r="AH4" s="254"/>
      <c r="AI4" s="197"/>
      <c r="AJ4" s="254"/>
      <c r="AK4" s="254"/>
      <c r="AL4" s="254"/>
      <c r="AM4" s="197"/>
      <c r="AN4" s="254"/>
      <c r="AO4" s="254"/>
      <c r="AP4" s="254"/>
      <c r="AQ4" s="197"/>
      <c r="AR4" s="254"/>
      <c r="AS4" s="254"/>
      <c r="AT4" s="254"/>
      <c r="AU4" s="197"/>
      <c r="AV4" s="254"/>
      <c r="AW4" s="254"/>
      <c r="AX4" s="254"/>
      <c r="AY4" s="197"/>
      <c r="AZ4" s="252"/>
      <c r="BA4" s="252"/>
      <c r="BB4" s="252"/>
      <c r="BC4" s="142"/>
    </row>
    <row r="5" spans="1:55" ht="46.5" thickTop="1" thickBot="1" x14ac:dyDescent="0.3">
      <c r="A5" s="25" t="s">
        <v>132</v>
      </c>
      <c r="B5" s="201" t="s">
        <v>139</v>
      </c>
      <c r="C5" s="194" t="s">
        <v>137</v>
      </c>
      <c r="D5" s="140" t="s">
        <v>136</v>
      </c>
      <c r="E5" s="195" t="s">
        <v>135</v>
      </c>
      <c r="F5" s="196" t="s">
        <v>6</v>
      </c>
      <c r="G5" s="194" t="s">
        <v>171</v>
      </c>
      <c r="H5" s="140" t="s">
        <v>136</v>
      </c>
      <c r="I5" s="198"/>
      <c r="J5" s="196" t="s">
        <v>6</v>
      </c>
      <c r="K5" s="194" t="s">
        <v>172</v>
      </c>
      <c r="L5" s="140" t="s">
        <v>136</v>
      </c>
      <c r="M5" s="195" t="s">
        <v>161</v>
      </c>
      <c r="N5" s="196" t="s">
        <v>6</v>
      </c>
      <c r="O5" s="194" t="s">
        <v>173</v>
      </c>
      <c r="P5" s="140" t="s">
        <v>136</v>
      </c>
      <c r="Q5" s="195" t="s">
        <v>162</v>
      </c>
      <c r="R5" s="196" t="s">
        <v>6</v>
      </c>
      <c r="S5" s="139" t="s">
        <v>174</v>
      </c>
      <c r="T5" s="139" t="s">
        <v>136</v>
      </c>
      <c r="U5" s="141" t="s">
        <v>163</v>
      </c>
      <c r="V5" s="196" t="s">
        <v>6</v>
      </c>
      <c r="W5" s="139" t="s">
        <v>175</v>
      </c>
      <c r="X5" s="139" t="s">
        <v>133</v>
      </c>
      <c r="Y5" s="141" t="s">
        <v>192</v>
      </c>
      <c r="Z5" s="141" t="s">
        <v>193</v>
      </c>
      <c r="AA5" s="196" t="s">
        <v>6</v>
      </c>
      <c r="AB5" s="139" t="s">
        <v>176</v>
      </c>
      <c r="AC5" s="139" t="s">
        <v>133</v>
      </c>
      <c r="AD5" s="141" t="s">
        <v>164</v>
      </c>
      <c r="AE5" s="196" t="s">
        <v>6</v>
      </c>
      <c r="AF5" s="139" t="s">
        <v>177</v>
      </c>
      <c r="AG5" s="139" t="s">
        <v>133</v>
      </c>
      <c r="AH5" s="141" t="s">
        <v>165</v>
      </c>
      <c r="AI5" s="196" t="s">
        <v>6</v>
      </c>
      <c r="AJ5" s="139" t="s">
        <v>178</v>
      </c>
      <c r="AK5" s="139" t="s">
        <v>133</v>
      </c>
      <c r="AL5" s="141" t="s">
        <v>166</v>
      </c>
      <c r="AM5" s="196" t="s">
        <v>6</v>
      </c>
      <c r="AN5" s="139" t="s">
        <v>179</v>
      </c>
      <c r="AO5" s="139" t="s">
        <v>133</v>
      </c>
      <c r="AP5" s="141" t="s">
        <v>167</v>
      </c>
      <c r="AQ5" s="196" t="s">
        <v>6</v>
      </c>
      <c r="AR5" s="139" t="s">
        <v>180</v>
      </c>
      <c r="AS5" s="139" t="s">
        <v>133</v>
      </c>
      <c r="AT5" s="141" t="s">
        <v>168</v>
      </c>
      <c r="AU5" s="196" t="s">
        <v>6</v>
      </c>
      <c r="AV5" s="139" t="s">
        <v>181</v>
      </c>
      <c r="AW5" s="139" t="s">
        <v>133</v>
      </c>
      <c r="AX5" s="141" t="s">
        <v>169</v>
      </c>
      <c r="AY5" s="196" t="s">
        <v>6</v>
      </c>
      <c r="AZ5" s="194" t="s">
        <v>182</v>
      </c>
      <c r="BA5" s="140" t="s">
        <v>133</v>
      </c>
      <c r="BB5" s="195" t="s">
        <v>170</v>
      </c>
      <c r="BC5" s="196" t="s">
        <v>6</v>
      </c>
    </row>
    <row r="6" spans="1:55" ht="16.5" thickTop="1" thickBot="1" x14ac:dyDescent="0.3">
      <c r="A6" s="138" t="s">
        <v>141</v>
      </c>
      <c r="B6" s="202" t="s">
        <v>140</v>
      </c>
      <c r="C6" s="121">
        <f>SUM(G6+K6+O6+S6+W6+AB6+AF6+AJ6+AN6+AR6+AV6+AZ6)</f>
        <v>5763.75</v>
      </c>
      <c r="D6" s="156"/>
      <c r="E6" s="154">
        <f>SUM(I6+M6+Q6+U6+Z6+AD6+AH6+AL6+AP6+AT6+AX6+BB6)</f>
        <v>343929</v>
      </c>
      <c r="F6" s="159">
        <f>100/E6*C6</f>
        <v>1.6758546095269664</v>
      </c>
      <c r="G6" s="162">
        <v>0</v>
      </c>
      <c r="H6" s="163"/>
      <c r="I6" s="154">
        <v>39500</v>
      </c>
      <c r="J6" s="161">
        <f>100/I6*G6</f>
        <v>0</v>
      </c>
      <c r="K6" s="162">
        <v>0</v>
      </c>
      <c r="L6" s="163"/>
      <c r="M6" s="154">
        <v>20750</v>
      </c>
      <c r="N6" s="161">
        <f>100/M6*K6</f>
        <v>0</v>
      </c>
      <c r="O6" s="160">
        <v>0</v>
      </c>
      <c r="P6" s="156"/>
      <c r="Q6" s="150">
        <v>42500</v>
      </c>
      <c r="R6" s="161">
        <f>100/Q6*O6</f>
        <v>0</v>
      </c>
      <c r="S6" s="158">
        <v>0</v>
      </c>
      <c r="T6" s="156"/>
      <c r="U6" s="150">
        <v>20750</v>
      </c>
      <c r="V6" s="161">
        <f>100/U6*S6</f>
        <v>0</v>
      </c>
      <c r="W6" s="160">
        <v>0</v>
      </c>
      <c r="X6" s="156"/>
      <c r="Y6" s="150">
        <v>20750</v>
      </c>
      <c r="Z6" s="150">
        <v>20750</v>
      </c>
      <c r="AA6" s="164">
        <f>100/Z6*W6</f>
        <v>0</v>
      </c>
      <c r="AB6" s="155">
        <v>0</v>
      </c>
      <c r="AC6" s="156"/>
      <c r="AD6" s="150">
        <v>56429</v>
      </c>
      <c r="AE6" s="157">
        <f>100/AD6*AB6</f>
        <v>0</v>
      </c>
      <c r="AF6" s="162">
        <f>SUM(IOC!K9)</f>
        <v>0</v>
      </c>
      <c r="AG6" s="156"/>
      <c r="AH6" s="154">
        <v>20750</v>
      </c>
      <c r="AI6" s="164">
        <f>100/AH6*AF6</f>
        <v>0</v>
      </c>
      <c r="AJ6" s="155">
        <f>SUM(HIE!L9)</f>
        <v>5763.75</v>
      </c>
      <c r="AK6" s="156"/>
      <c r="AL6" s="152">
        <v>20750</v>
      </c>
      <c r="AM6" s="157">
        <f>100/AL6*AJ6</f>
        <v>27.777108433734941</v>
      </c>
      <c r="AN6" s="155">
        <v>0</v>
      </c>
      <c r="AO6" s="156"/>
      <c r="AP6" s="152">
        <v>20750</v>
      </c>
      <c r="AQ6" s="157">
        <f>100/AP6*AN6</f>
        <v>0</v>
      </c>
      <c r="AR6" s="155">
        <v>0</v>
      </c>
      <c r="AS6" s="156"/>
      <c r="AT6" s="152">
        <f>SUM(MEERI!M1*MEERI!$O$1)</f>
        <v>20750</v>
      </c>
      <c r="AU6" s="157">
        <f>100/AT6*AR6</f>
        <v>0</v>
      </c>
      <c r="AV6" s="155">
        <v>0</v>
      </c>
      <c r="AW6" s="156"/>
      <c r="AX6" s="152">
        <f>SUM(MCN!V1*MCN!$T$1)</f>
        <v>39500</v>
      </c>
      <c r="AY6" s="157">
        <f>100/AX6*AV6</f>
        <v>0</v>
      </c>
      <c r="AZ6" s="120">
        <v>0</v>
      </c>
      <c r="BA6" s="139"/>
      <c r="BB6" s="124">
        <v>20750</v>
      </c>
      <c r="BC6" s="153">
        <f>100/BB6*AZ6</f>
        <v>0</v>
      </c>
    </row>
    <row r="7" spans="1:55" ht="15" customHeight="1" thickTop="1" x14ac:dyDescent="0.25">
      <c r="A7" s="137" t="s">
        <v>7</v>
      </c>
      <c r="B7" s="203" t="s">
        <v>8</v>
      </c>
      <c r="C7" s="121">
        <f>SUM(G7+K7+O7+S7+W7+AB7+AF7+AJ7+AN7+AR7+AV7+AZ7)</f>
        <v>104301.99252200076</v>
      </c>
      <c r="D7" s="104">
        <f>SUM(H7+L7+P7+T7+X7+AC7+AG7+AK7+AO7+AS7+AW7+BA7)</f>
        <v>31600</v>
      </c>
      <c r="E7" s="116">
        <f>SUM(I7+M7+Q7+U7+Z7+AD7+AH7+AH7+AL7+AP7+AT7+AX7+BB7)</f>
        <v>226991.17</v>
      </c>
      <c r="F7" s="159">
        <f>100/E7*C7</f>
        <v>45.94980171343262</v>
      </c>
      <c r="G7" s="121" cm="1">
        <f t="array" ref="G7:G45">MNU!C7:C45</f>
        <v>8024.875</v>
      </c>
      <c r="H7" s="121">
        <f>SUM(H8:H10)</f>
        <v>31600</v>
      </c>
      <c r="I7" s="116">
        <f>SUM(I8:I10)</f>
        <v>20062.5</v>
      </c>
      <c r="J7" s="159">
        <f>100/I7*G7</f>
        <v>39.999376947040503</v>
      </c>
      <c r="K7" s="104">
        <f>SUM(SCA!W12)</f>
        <v>13497.165096369987</v>
      </c>
      <c r="L7" s="121">
        <f>SUM(L8:L10)</f>
        <v>0</v>
      </c>
      <c r="M7" s="116">
        <f>SUM(M8:M10)</f>
        <v>11712.46</v>
      </c>
      <c r="N7" s="159">
        <f>100/M7*K7</f>
        <v>115.23766225344623</v>
      </c>
      <c r="O7" s="104" cm="1">
        <f t="array" ref="O7:O45">FOC!D8:D46</f>
        <v>1875.625</v>
      </c>
      <c r="P7" s="121">
        <f>SUM(P8:P10)</f>
        <v>0</v>
      </c>
      <c r="Q7" s="188">
        <f>SUM(Q8:Q10)</f>
        <v>7790.62</v>
      </c>
      <c r="R7" s="157">
        <f>100/Q7*O7</f>
        <v>24.075426602760757</v>
      </c>
      <c r="S7" s="128" cm="1">
        <f t="array" ref="S7:S45">CLTV!AQ8:AQ46</f>
        <v>6823.4177454545461</v>
      </c>
      <c r="T7" s="121">
        <f>SUM(T8:T10)</f>
        <v>0</v>
      </c>
      <c r="U7" s="150">
        <f>SUM(U8:U10)</f>
        <v>10546.880000000001</v>
      </c>
      <c r="V7" s="159">
        <f>100/U7*S7</f>
        <v>64.696078323205967</v>
      </c>
      <c r="W7" s="155">
        <f>SUM(MAI!X10)</f>
        <v>12627.3375</v>
      </c>
      <c r="X7" s="121">
        <f>SUM(X8:X10)</f>
        <v>0</v>
      </c>
      <c r="Y7" s="150">
        <f>SUM(Y8:Y10)</f>
        <v>31484.38</v>
      </c>
      <c r="Z7" s="150">
        <f>SUM(Z8:Z10)</f>
        <v>31484.38</v>
      </c>
      <c r="AA7" s="157">
        <f>100/Z7*W7</f>
        <v>40.106673531446383</v>
      </c>
      <c r="AB7" s="147" cm="1">
        <f t="array" ref="AB7:AB45">BIN!S8:S46</f>
        <v>13000.737499999999</v>
      </c>
      <c r="AC7" s="121">
        <f>SUM(AC8:AC10)</f>
        <v>0</v>
      </c>
      <c r="AD7" s="188">
        <f>SUM(AD8:AD10)</f>
        <v>36562.5</v>
      </c>
      <c r="AE7" s="165">
        <f>100/AD7*AB7</f>
        <v>35.557572649572649</v>
      </c>
      <c r="AF7" s="155">
        <f>SUM(IOC!K10)</f>
        <v>2402.53125</v>
      </c>
      <c r="AG7" s="121">
        <f>SUM(AG8:AG10)</f>
        <v>0</v>
      </c>
      <c r="AH7" s="116">
        <f>SUM(AH8:AH10)</f>
        <v>17306.54</v>
      </c>
      <c r="AI7" s="157">
        <f>100/AH7*AF7</f>
        <v>13.882215913752836</v>
      </c>
      <c r="AJ7" s="193">
        <f>SUM(HIE!L10)</f>
        <v>12255.245930176216</v>
      </c>
      <c r="AK7" s="121">
        <f>SUM(AK8:AK10)</f>
        <v>0</v>
      </c>
      <c r="AL7" s="188">
        <f>SUM(AL8:AL10)</f>
        <v>23906.25</v>
      </c>
      <c r="AM7" s="165">
        <f>100/AL7*AJ7</f>
        <v>51.263773825573715</v>
      </c>
      <c r="AN7" s="147" cm="1">
        <f t="array" ref="AN7:AN45">BAL!V9:V47</f>
        <v>13402.887500000001</v>
      </c>
      <c r="AO7" s="121">
        <f>SUM(AO8:AO10)</f>
        <v>0</v>
      </c>
      <c r="AP7" s="150">
        <f>SUM(AP8:AP10)</f>
        <v>12375</v>
      </c>
      <c r="AQ7" s="165">
        <f>100/AP7*AN7</f>
        <v>108.30616161616162</v>
      </c>
      <c r="AR7" s="147" cm="1">
        <f t="array" ref="AR7:AR45">MEERI!G10:G48</f>
        <v>8319.0499999999993</v>
      </c>
      <c r="AS7" s="121">
        <f>SUM(AS8:AS10)</f>
        <v>0</v>
      </c>
      <c r="AT7" s="150">
        <f>SUM(AT8:AT10)</f>
        <v>13406.25</v>
      </c>
      <c r="AU7" s="165">
        <f>100/AT7*AR7</f>
        <v>62.053519813519806</v>
      </c>
      <c r="AV7" s="147" cm="1">
        <f t="array" ref="AV7:AV45">MCN!C7:C45</f>
        <v>7696.99</v>
      </c>
      <c r="AW7" s="121">
        <f>SUM(AW8:AW10)</f>
        <v>0</v>
      </c>
      <c r="AX7" s="150">
        <f>SUM(AX8:AX10)</f>
        <v>10312.5</v>
      </c>
      <c r="AY7" s="165">
        <f>100/AX7*AV7</f>
        <v>74.637478787878791</v>
      </c>
      <c r="AZ7" s="147">
        <f>'CKR	'!C6</f>
        <v>4376.1299999999992</v>
      </c>
      <c r="BA7" s="121">
        <f>SUM(BA8:BA10)</f>
        <v>0</v>
      </c>
      <c r="BB7" s="149">
        <f>SUM(BB8:BB10)</f>
        <v>14218.75</v>
      </c>
      <c r="BC7" s="126">
        <f>100/BB7*AZ7</f>
        <v>30.777178021978017</v>
      </c>
    </row>
    <row r="8" spans="1:55" ht="15" customHeight="1" x14ac:dyDescent="0.25">
      <c r="A8" s="13" t="s">
        <v>9</v>
      </c>
      <c r="B8" s="204" t="s">
        <v>10</v>
      </c>
      <c r="C8" s="166">
        <f t="shared" ref="C8:C45" si="0">SUM(G8+K8+O8+S8+W8+AB8+AF8+AJ8+AN8+AR8+AV8+AZ8)</f>
        <v>41306.529978672996</v>
      </c>
      <c r="D8" s="106">
        <f t="shared" ref="D8:D45" si="1">SUM(H8+L8+P8+T8+X8+AC8+AG8+AK8+AO8+AS8+AW8+BA8)</f>
        <v>31600</v>
      </c>
      <c r="E8" s="190">
        <f>SUM(I8+M8+Q8+U8+Z8+AD8+AH8+AH8+AL8+AP8+AT8+AX8+BB8)</f>
        <v>88440.739999999991</v>
      </c>
      <c r="F8" s="127">
        <f t="shared" ref="F8:F11" si="2">100/E8*C8</f>
        <v>46.705319266520156</v>
      </c>
      <c r="G8" s="108">
        <v>3265.9375</v>
      </c>
      <c r="H8" s="108">
        <v>31600</v>
      </c>
      <c r="I8" s="189">
        <v>13375</v>
      </c>
      <c r="J8" s="127">
        <f t="shared" ref="J8:J45" si="3">100/I8*G8</f>
        <v>24.418224299065422</v>
      </c>
      <c r="K8" s="104">
        <f>SUM(SCA!W13)</f>
        <v>6648.4552106748306</v>
      </c>
      <c r="L8" s="108"/>
      <c r="M8" s="189">
        <v>5856.22</v>
      </c>
      <c r="N8" s="127">
        <f t="shared" ref="N8:N45" si="4">100/M8*K8</f>
        <v>113.52809851192119</v>
      </c>
      <c r="O8" s="108">
        <v>780.13</v>
      </c>
      <c r="P8" s="108"/>
      <c r="Q8" s="190">
        <v>3462.5</v>
      </c>
      <c r="R8" s="123">
        <f t="shared" ref="R8:R45" si="5">100/Q8*O8</f>
        <v>22.530830324909747</v>
      </c>
      <c r="S8" s="129">
        <v>508.68068181818188</v>
      </c>
      <c r="T8" s="108"/>
      <c r="U8" s="151">
        <v>4687.5</v>
      </c>
      <c r="V8" s="127">
        <f t="shared" ref="V8:V45" si="6">100/U8*S8</f>
        <v>10.851854545454547</v>
      </c>
      <c r="W8" s="670">
        <f>SUM(MAI!X11)</f>
        <v>0</v>
      </c>
      <c r="X8" s="108"/>
      <c r="Y8" s="151">
        <v>2421.88</v>
      </c>
      <c r="Z8" s="151">
        <v>2421.88</v>
      </c>
      <c r="AA8" s="127">
        <f t="shared" ref="AA8:AA45" si="7">100/Z8*W8</f>
        <v>0</v>
      </c>
      <c r="AB8" s="108">
        <v>2578.0949999999998</v>
      </c>
      <c r="AC8" s="108"/>
      <c r="AD8" s="189">
        <v>2812.5</v>
      </c>
      <c r="AE8" s="127">
        <f t="shared" ref="AE8:AE45" si="8">100/AD8*AB8</f>
        <v>91.665599999999998</v>
      </c>
      <c r="AF8" s="192">
        <f>SUM(IOC!K11)</f>
        <v>310.53125</v>
      </c>
      <c r="AG8" s="108"/>
      <c r="AH8" s="189">
        <v>11537.57</v>
      </c>
      <c r="AI8" s="127">
        <f t="shared" ref="AI8:AI11" si="9">100/AH8*AF8</f>
        <v>2.6914787949282215</v>
      </c>
      <c r="AJ8" s="192">
        <f>SUM(HIE!L11)</f>
        <v>11586.267836179984</v>
      </c>
      <c r="AK8" s="108"/>
      <c r="AL8" s="189">
        <v>18593.75</v>
      </c>
      <c r="AM8" s="127">
        <f t="shared" ref="AM8:AM41" si="10">100/AL8*AJ8</f>
        <v>62.312700967690674</v>
      </c>
      <c r="AN8" s="108">
        <v>7215.3875000000007</v>
      </c>
      <c r="AO8" s="108"/>
      <c r="AP8" s="151">
        <v>6187.5</v>
      </c>
      <c r="AQ8" s="127">
        <f t="shared" ref="AQ8:AQ45" si="11">100/AP8*AN8</f>
        <v>116.61232323232325</v>
      </c>
      <c r="AR8" s="108">
        <v>307.44</v>
      </c>
      <c r="AS8" s="108"/>
      <c r="AT8" s="151">
        <v>0</v>
      </c>
      <c r="AU8" s="127" t="e">
        <f t="shared" ref="AU8:AU45" si="12">100/AT8*AR8</f>
        <v>#DIV/0!</v>
      </c>
      <c r="AV8" s="108">
        <v>6508.7449999999999</v>
      </c>
      <c r="AW8" s="108"/>
      <c r="AX8" s="151">
        <v>6875</v>
      </c>
      <c r="AY8" s="123">
        <f t="shared" ref="AY8:AY45" si="13">100/AX8*AV8</f>
        <v>94.672654545454549</v>
      </c>
      <c r="AZ8" s="148">
        <f>'CKR	'!C7</f>
        <v>1596.86</v>
      </c>
      <c r="BA8" s="108"/>
      <c r="BB8" s="114">
        <v>1093.75</v>
      </c>
      <c r="BC8" s="127">
        <f t="shared" ref="BC8:BC45" si="14">100/BB8*AZ8</f>
        <v>145.99862857142855</v>
      </c>
    </row>
    <row r="9" spans="1:55" ht="15" customHeight="1" x14ac:dyDescent="0.25">
      <c r="A9" s="13" t="s">
        <v>11</v>
      </c>
      <c r="B9" s="205" t="s">
        <v>12</v>
      </c>
      <c r="C9" s="167">
        <f t="shared" si="0"/>
        <v>29037.41897924646</v>
      </c>
      <c r="D9" s="106">
        <f t="shared" si="1"/>
        <v>0</v>
      </c>
      <c r="E9" s="190">
        <f>SUM(I9+M9+Q9+U9+Z9+AD9+AH9+AH9+AL9+AP9+AT9+AX9+BB9)</f>
        <v>53116.01</v>
      </c>
      <c r="F9" s="127">
        <f t="shared" si="2"/>
        <v>54.66792211848454</v>
      </c>
      <c r="G9" s="108">
        <v>1399.6875</v>
      </c>
      <c r="H9" s="108"/>
      <c r="I9" s="189">
        <v>3343.75</v>
      </c>
      <c r="J9" s="127">
        <f t="shared" si="3"/>
        <v>41.859813084112155</v>
      </c>
      <c r="K9" s="104">
        <f>SUM(SCA!W14)</f>
        <v>3484.4313453536761</v>
      </c>
      <c r="L9" s="108"/>
      <c r="M9" s="189">
        <v>2928.12</v>
      </c>
      <c r="N9" s="127">
        <f t="shared" si="4"/>
        <v>118.99892577331791</v>
      </c>
      <c r="O9" s="108">
        <v>194.2</v>
      </c>
      <c r="P9" s="108"/>
      <c r="Q9" s="190">
        <v>865.62</v>
      </c>
      <c r="R9" s="123">
        <f t="shared" si="5"/>
        <v>22.434786626926364</v>
      </c>
      <c r="S9" s="129">
        <v>2541.4263068181817</v>
      </c>
      <c r="T9" s="108"/>
      <c r="U9" s="151">
        <v>1171.8800000000001</v>
      </c>
      <c r="V9" s="127">
        <f t="shared" si="6"/>
        <v>216.86745288068585</v>
      </c>
      <c r="W9" s="670">
        <f>SUM(MAI!X12)</f>
        <v>5070.8374999999996</v>
      </c>
      <c r="X9" s="108"/>
      <c r="Y9" s="151">
        <v>9687.5</v>
      </c>
      <c r="Z9" s="151">
        <v>9687.5</v>
      </c>
      <c r="AA9" s="127">
        <f t="shared" si="7"/>
        <v>52.34412903225806</v>
      </c>
      <c r="AB9" s="108">
        <v>5960.0199999999995</v>
      </c>
      <c r="AC9" s="108"/>
      <c r="AD9" s="189">
        <v>11250</v>
      </c>
      <c r="AE9" s="127">
        <f t="shared" si="8"/>
        <v>52.977955555555553</v>
      </c>
      <c r="AF9" s="192">
        <f>SUM(IOC!K12)</f>
        <v>1470.9375</v>
      </c>
      <c r="AG9" s="108"/>
      <c r="AH9" s="189">
        <v>2884.57</v>
      </c>
      <c r="AI9" s="127">
        <f t="shared" si="9"/>
        <v>50.993302294622765</v>
      </c>
      <c r="AJ9" s="192">
        <f>SUM(HIE!L12)</f>
        <v>411.67882707460467</v>
      </c>
      <c r="AK9" s="108"/>
      <c r="AL9" s="189">
        <v>2656.25</v>
      </c>
      <c r="AM9" s="127">
        <f t="shared" si="10"/>
        <v>15.498497019279233</v>
      </c>
      <c r="AN9" s="108">
        <v>3093.75</v>
      </c>
      <c r="AO9" s="108"/>
      <c r="AP9" s="151">
        <v>3093.75</v>
      </c>
      <c r="AQ9" s="127">
        <f t="shared" si="11"/>
        <v>100</v>
      </c>
      <c r="AR9" s="108">
        <v>4060.45</v>
      </c>
      <c r="AS9" s="108"/>
      <c r="AT9" s="151">
        <v>6256.25</v>
      </c>
      <c r="AU9" s="127">
        <f t="shared" si="12"/>
        <v>64.902297702297702</v>
      </c>
      <c r="AV9" s="108">
        <v>0</v>
      </c>
      <c r="AW9" s="108"/>
      <c r="AX9" s="151">
        <v>1718.75</v>
      </c>
      <c r="AY9" s="123">
        <f t="shared" si="13"/>
        <v>0</v>
      </c>
      <c r="AZ9" s="148">
        <f>'CKR	'!C8</f>
        <v>1350</v>
      </c>
      <c r="BA9" s="108"/>
      <c r="BB9" s="114">
        <v>4375</v>
      </c>
      <c r="BC9" s="127">
        <f t="shared" si="14"/>
        <v>30.857142857142858</v>
      </c>
    </row>
    <row r="10" spans="1:55" ht="15" customHeight="1" x14ac:dyDescent="0.25">
      <c r="A10" s="13" t="s">
        <v>13</v>
      </c>
      <c r="B10" s="205" t="s">
        <v>14</v>
      </c>
      <c r="C10" s="167">
        <f t="shared" si="0"/>
        <v>30982.771064081287</v>
      </c>
      <c r="D10" s="106">
        <f t="shared" si="1"/>
        <v>0</v>
      </c>
      <c r="E10" s="190">
        <f>SUM(I9+M10+Q10+U10+Z10+AD10+AH10+AH10+AL10+AP10+AT10+AX10+BB10)</f>
        <v>85434.42</v>
      </c>
      <c r="F10" s="127">
        <f t="shared" si="2"/>
        <v>36.264975011337683</v>
      </c>
      <c r="G10" s="108">
        <v>3359.25</v>
      </c>
      <c r="H10" s="108"/>
      <c r="I10" s="189">
        <v>3343.75</v>
      </c>
      <c r="J10" s="127">
        <f t="shared" si="3"/>
        <v>100.46355140186917</v>
      </c>
      <c r="K10" s="104">
        <f>SUM(SCA!W15)</f>
        <v>3364.2785403414805</v>
      </c>
      <c r="L10" s="108"/>
      <c r="M10" s="189">
        <v>2928.12</v>
      </c>
      <c r="N10" s="127">
        <f t="shared" si="4"/>
        <v>114.89551453975523</v>
      </c>
      <c r="O10" s="108">
        <v>526.16999999999996</v>
      </c>
      <c r="P10" s="108"/>
      <c r="Q10" s="190">
        <v>3462.5</v>
      </c>
      <c r="R10" s="123">
        <f t="shared" si="5"/>
        <v>15.196245487364621</v>
      </c>
      <c r="S10" s="129">
        <v>3773.3107568181822</v>
      </c>
      <c r="T10" s="108"/>
      <c r="U10" s="151">
        <v>4687.5</v>
      </c>
      <c r="V10" s="127">
        <f t="shared" si="6"/>
        <v>80.497296145454555</v>
      </c>
      <c r="W10" s="670">
        <f>SUM(MAI!X13)</f>
        <v>7556.5</v>
      </c>
      <c r="X10" s="108"/>
      <c r="Y10" s="151">
        <v>19375</v>
      </c>
      <c r="Z10" s="151">
        <v>19375</v>
      </c>
      <c r="AA10" s="127">
        <f t="shared" si="7"/>
        <v>39.001290322580644</v>
      </c>
      <c r="AB10" s="108">
        <v>1862.4749999999999</v>
      </c>
      <c r="AC10" s="108"/>
      <c r="AD10" s="189">
        <v>22500</v>
      </c>
      <c r="AE10" s="127">
        <f t="shared" si="8"/>
        <v>8.2776666666666667</v>
      </c>
      <c r="AF10" s="192">
        <f>SUM(IOC!K13)</f>
        <v>621.0625</v>
      </c>
      <c r="AG10" s="108"/>
      <c r="AH10" s="189">
        <v>2884.4</v>
      </c>
      <c r="AI10" s="127">
        <f t="shared" si="9"/>
        <v>21.531774372486478</v>
      </c>
      <c r="AJ10" s="192">
        <f>SUM(HIE!L13)</f>
        <v>257.29926692162786</v>
      </c>
      <c r="AK10" s="108"/>
      <c r="AL10" s="189">
        <v>2656.25</v>
      </c>
      <c r="AM10" s="127">
        <f t="shared" si="10"/>
        <v>9.686560637049519</v>
      </c>
      <c r="AN10" s="108">
        <v>3093.75</v>
      </c>
      <c r="AO10" s="108"/>
      <c r="AP10" s="151">
        <v>3093.75</v>
      </c>
      <c r="AQ10" s="127">
        <f t="shared" si="11"/>
        <v>100</v>
      </c>
      <c r="AR10" s="108">
        <v>3951.16</v>
      </c>
      <c r="AS10" s="108"/>
      <c r="AT10" s="151">
        <v>7150</v>
      </c>
      <c r="AU10" s="127">
        <f t="shared" si="12"/>
        <v>55.260979020979022</v>
      </c>
      <c r="AV10" s="108">
        <v>1188.2449999999999</v>
      </c>
      <c r="AW10" s="108"/>
      <c r="AX10" s="151">
        <v>1718.75</v>
      </c>
      <c r="AY10" s="123">
        <f t="shared" si="13"/>
        <v>69.134254545454539</v>
      </c>
      <c r="AZ10" s="148">
        <f>'CKR	'!C9</f>
        <v>1429.27</v>
      </c>
      <c r="BA10" s="108"/>
      <c r="BB10" s="114">
        <v>8750</v>
      </c>
      <c r="BC10" s="127">
        <f t="shared" si="14"/>
        <v>16.334514285714285</v>
      </c>
    </row>
    <row r="11" spans="1:55" ht="15" customHeight="1" x14ac:dyDescent="0.25">
      <c r="A11" s="9" t="s">
        <v>15</v>
      </c>
      <c r="B11" s="206" t="s">
        <v>16</v>
      </c>
      <c r="C11" s="121">
        <f t="shared" si="0"/>
        <v>67811.890929632689</v>
      </c>
      <c r="D11" s="104">
        <f t="shared" si="1"/>
        <v>0</v>
      </c>
      <c r="E11" s="116">
        <f t="shared" ref="E11:E44" si="15">SUM(I11+M11+Q11+U11+Z11+AD11+AH11+AH11+AL11+AP11+AT11+AX11+BB11)</f>
        <v>153493.81</v>
      </c>
      <c r="F11" s="126">
        <f t="shared" si="2"/>
        <v>44.178909188346225</v>
      </c>
      <c r="G11" s="109">
        <v>5346.8062500000005</v>
      </c>
      <c r="H11" s="109">
        <f>SUM(H12:H15)</f>
        <v>0</v>
      </c>
      <c r="I11" s="116">
        <f>SUM(I12:I15)</f>
        <v>6687.5</v>
      </c>
      <c r="J11" s="126">
        <f t="shared" si="3"/>
        <v>79.952242990654213</v>
      </c>
      <c r="K11" s="104">
        <f>SUM(SCA!W16)</f>
        <v>3123.9729303170884</v>
      </c>
      <c r="L11" s="109">
        <f>SUM(L12:L15)</f>
        <v>0</v>
      </c>
      <c r="M11" s="116">
        <f>SUM(M12:M15)</f>
        <v>5856.2199999999993</v>
      </c>
      <c r="N11" s="126">
        <f t="shared" si="4"/>
        <v>53.344528216444886</v>
      </c>
      <c r="O11" s="109">
        <v>174.28750000000002</v>
      </c>
      <c r="P11" s="109">
        <f>SUM(P12:P15)</f>
        <v>0</v>
      </c>
      <c r="Q11" s="116">
        <f>SUM(Q12:Q15)</f>
        <v>8656.24</v>
      </c>
      <c r="R11" s="122">
        <f t="shared" si="5"/>
        <v>2.0134319288744309</v>
      </c>
      <c r="S11" s="130">
        <v>3711.9304886363634</v>
      </c>
      <c r="T11" s="109">
        <f>SUM(T12:T15)</f>
        <v>0</v>
      </c>
      <c r="U11" s="152">
        <f>SUM(U12:U15)</f>
        <v>11718.760000000002</v>
      </c>
      <c r="V11" s="126">
        <f t="shared" si="6"/>
        <v>31.675113140267083</v>
      </c>
      <c r="W11" s="155">
        <f>SUM(MAI!X14)</f>
        <v>0</v>
      </c>
      <c r="X11" s="109">
        <f>SUM(X12:X15)</f>
        <v>0</v>
      </c>
      <c r="Y11" s="152">
        <f>SUM(Y12:Y15)</f>
        <v>4843.76</v>
      </c>
      <c r="Z11" s="152">
        <f>SUM(Z12:Z15)</f>
        <v>4843.76</v>
      </c>
      <c r="AA11" s="126">
        <f t="shared" si="7"/>
        <v>0</v>
      </c>
      <c r="AB11" s="109">
        <v>653.5</v>
      </c>
      <c r="AC11" s="109">
        <f>SUM(AC12:AC15)</f>
        <v>0</v>
      </c>
      <c r="AD11" s="116">
        <f>SUM(AD12:AD15)</f>
        <v>5625</v>
      </c>
      <c r="AE11" s="126">
        <f t="shared" si="8"/>
        <v>11.617777777777778</v>
      </c>
      <c r="AF11" s="155">
        <f>SUM(IOC!K14)</f>
        <v>555.6875</v>
      </c>
      <c r="AG11" s="109">
        <f>SUM(AG12:AG15)</f>
        <v>0</v>
      </c>
      <c r="AH11" s="116">
        <f>SUM(AH12:AH15)</f>
        <v>5768.79</v>
      </c>
      <c r="AI11" s="126">
        <f t="shared" si="9"/>
        <v>9.6326526013254075</v>
      </c>
      <c r="AJ11" s="155">
        <f>SUM(HIE!L14)</f>
        <v>15281.059048179235</v>
      </c>
      <c r="AK11" s="109">
        <f>SUM(AK12:AK15)</f>
        <v>0</v>
      </c>
      <c r="AL11" s="116">
        <f>SUM(AL12:AL15)</f>
        <v>37187.5</v>
      </c>
      <c r="AM11" s="126">
        <f t="shared" si="10"/>
        <v>41.091923490902147</v>
      </c>
      <c r="AN11" s="109">
        <v>30049.1875</v>
      </c>
      <c r="AO11" s="109">
        <f>SUM(AO12:AO15)</f>
        <v>0</v>
      </c>
      <c r="AP11" s="152">
        <f>SUM(AP12:AP15)</f>
        <v>47406.25</v>
      </c>
      <c r="AQ11" s="126">
        <f t="shared" si="11"/>
        <v>63.386552406064595</v>
      </c>
      <c r="AR11" s="109">
        <v>1776.6100000000001</v>
      </c>
      <c r="AS11" s="109">
        <f>SUM(AS12:AS15)</f>
        <v>0</v>
      </c>
      <c r="AT11" s="152">
        <f>SUM(AT12:AT15)</f>
        <v>1787.5</v>
      </c>
      <c r="AU11" s="126">
        <f t="shared" si="12"/>
        <v>99.390769230769237</v>
      </c>
      <c r="AV11" s="109">
        <v>565.24</v>
      </c>
      <c r="AW11" s="109">
        <f>SUM(AW12:AW15)</f>
        <v>0</v>
      </c>
      <c r="AX11" s="152">
        <f>SUM(AX12:AX15)</f>
        <v>3437.5</v>
      </c>
      <c r="AY11" s="122">
        <f t="shared" si="13"/>
        <v>16.443345454545454</v>
      </c>
      <c r="AZ11" s="125">
        <f>'CKR	'!C10</f>
        <v>6573.6097125000006</v>
      </c>
      <c r="BA11" s="109">
        <f>SUM(BA12:BA15)</f>
        <v>0</v>
      </c>
      <c r="BB11" s="115">
        <f>SUM(BB12:BB15)</f>
        <v>8750</v>
      </c>
      <c r="BC11" s="126">
        <f t="shared" si="14"/>
        <v>75.126968142857152</v>
      </c>
    </row>
    <row r="12" spans="1:55" ht="15" customHeight="1" x14ac:dyDescent="0.25">
      <c r="A12" s="13" t="s">
        <v>17</v>
      </c>
      <c r="B12" s="207" t="s">
        <v>18</v>
      </c>
      <c r="C12" s="166">
        <f t="shared" si="0"/>
        <v>19605.458747697416</v>
      </c>
      <c r="D12" s="106">
        <f t="shared" si="1"/>
        <v>0</v>
      </c>
      <c r="E12" s="190">
        <f t="shared" si="15"/>
        <v>67887.510000000009</v>
      </c>
      <c r="F12" s="127">
        <f>100/E12*C12</f>
        <v>28.879331039976886</v>
      </c>
      <c r="G12" s="108">
        <v>1306.3750000000002</v>
      </c>
      <c r="H12" s="108"/>
      <c r="I12" s="189">
        <v>3343.75</v>
      </c>
      <c r="J12" s="127">
        <f t="shared" si="3"/>
        <v>39.06915887850468</v>
      </c>
      <c r="K12" s="104">
        <f>SUM(SCA!W17)</f>
        <v>40.050935004065238</v>
      </c>
      <c r="L12" s="108"/>
      <c r="M12" s="189">
        <v>2928.1</v>
      </c>
      <c r="N12" s="127">
        <f t="shared" si="4"/>
        <v>1.3678130871235696</v>
      </c>
      <c r="O12" s="108">
        <v>0</v>
      </c>
      <c r="P12" s="108"/>
      <c r="Q12" s="190">
        <v>4328.12</v>
      </c>
      <c r="R12" s="123">
        <f t="shared" si="5"/>
        <v>0</v>
      </c>
      <c r="S12" s="129">
        <v>1816.2619318181819</v>
      </c>
      <c r="T12" s="108"/>
      <c r="U12" s="151">
        <v>5859.38</v>
      </c>
      <c r="V12" s="127">
        <f t="shared" si="6"/>
        <v>30.997510518487996</v>
      </c>
      <c r="W12" s="670">
        <f>SUM(MAI!X15)</f>
        <v>0</v>
      </c>
      <c r="X12" s="108"/>
      <c r="Y12" s="151">
        <v>2421.88</v>
      </c>
      <c r="Z12" s="151">
        <v>2421.88</v>
      </c>
      <c r="AA12" s="127">
        <f t="shared" si="7"/>
        <v>0</v>
      </c>
      <c r="AB12" s="108">
        <v>130.69999999999999</v>
      </c>
      <c r="AC12" s="108"/>
      <c r="AD12" s="189">
        <v>2812.5</v>
      </c>
      <c r="AE12" s="127">
        <f t="shared" si="8"/>
        <v>4.6471111111111103</v>
      </c>
      <c r="AF12" s="192">
        <f>SUM(IOC!K15)</f>
        <v>0</v>
      </c>
      <c r="AG12" s="108"/>
      <c r="AH12" s="189">
        <v>2884.39</v>
      </c>
      <c r="AI12" s="127">
        <f>100/AH12*AF13</f>
        <v>0</v>
      </c>
      <c r="AJ12" s="192">
        <f>SUM(HIE!L15)</f>
        <v>14637.810880875166</v>
      </c>
      <c r="AK12" s="108"/>
      <c r="AL12" s="189">
        <v>34531.25</v>
      </c>
      <c r="AM12" s="127">
        <f t="shared" si="10"/>
        <v>42.390040560000479</v>
      </c>
      <c r="AN12" s="108">
        <v>0</v>
      </c>
      <c r="AO12" s="108"/>
      <c r="AP12" s="151">
        <v>0</v>
      </c>
      <c r="AQ12" s="127" t="e">
        <f t="shared" si="11"/>
        <v>#DIV/0!</v>
      </c>
      <c r="AR12" s="108">
        <v>1115.02</v>
      </c>
      <c r="AS12" s="108"/>
      <c r="AT12" s="151">
        <v>893.75</v>
      </c>
      <c r="AU12" s="127">
        <f t="shared" si="12"/>
        <v>124.75748251748252</v>
      </c>
      <c r="AV12" s="108">
        <v>559.24</v>
      </c>
      <c r="AW12" s="108"/>
      <c r="AX12" s="151">
        <v>1718.75</v>
      </c>
      <c r="AY12" s="123">
        <f t="shared" si="13"/>
        <v>32.537599999999998</v>
      </c>
      <c r="AZ12" s="148">
        <f>'CKR	'!C11</f>
        <v>0</v>
      </c>
      <c r="BA12" s="108"/>
      <c r="BB12" s="114">
        <v>3281.25</v>
      </c>
      <c r="BC12" s="127">
        <f t="shared" si="14"/>
        <v>0</v>
      </c>
    </row>
    <row r="13" spans="1:55" ht="15" customHeight="1" x14ac:dyDescent="0.25">
      <c r="A13" s="13" t="s">
        <v>19</v>
      </c>
      <c r="B13" s="207" t="s">
        <v>20</v>
      </c>
      <c r="C13" s="166">
        <f t="shared" si="0"/>
        <v>5204.3415723569178</v>
      </c>
      <c r="D13" s="106">
        <f t="shared" si="1"/>
        <v>0</v>
      </c>
      <c r="E13" s="190">
        <f t="shared" si="15"/>
        <v>3343.75</v>
      </c>
      <c r="F13" s="127">
        <f>100/E13*C13</f>
        <v>155.64386010787044</v>
      </c>
      <c r="G13" s="108">
        <v>4040.4312500000005</v>
      </c>
      <c r="H13" s="108"/>
      <c r="I13" s="189">
        <v>3343.75</v>
      </c>
      <c r="J13" s="127">
        <f t="shared" si="3"/>
        <v>120.83532710280376</v>
      </c>
      <c r="K13" s="104">
        <f>SUM(SCA!W18)</f>
        <v>520.66215505284811</v>
      </c>
      <c r="L13" s="108"/>
      <c r="M13" s="189">
        <v>0</v>
      </c>
      <c r="N13" s="127" t="e">
        <f t="shared" si="4"/>
        <v>#DIV/0!</v>
      </c>
      <c r="O13" s="108">
        <v>0</v>
      </c>
      <c r="P13" s="108"/>
      <c r="Q13" s="190">
        <v>0</v>
      </c>
      <c r="R13" s="123" t="e">
        <f t="shared" si="5"/>
        <v>#DIV/0!</v>
      </c>
      <c r="S13" s="129">
        <v>0</v>
      </c>
      <c r="T13" s="108"/>
      <c r="U13" s="151">
        <v>0</v>
      </c>
      <c r="V13" s="127" t="e">
        <f t="shared" si="6"/>
        <v>#DIV/0!</v>
      </c>
      <c r="W13" s="670">
        <f>SUM(MAI!X16)</f>
        <v>0</v>
      </c>
      <c r="X13" s="108"/>
      <c r="Y13" s="151">
        <v>0</v>
      </c>
      <c r="Z13" s="151">
        <v>0</v>
      </c>
      <c r="AA13" s="127" t="e">
        <f t="shared" si="7"/>
        <v>#DIV/0!</v>
      </c>
      <c r="AB13" s="108">
        <v>0</v>
      </c>
      <c r="AC13" s="108"/>
      <c r="AD13" s="189">
        <v>0</v>
      </c>
      <c r="AE13" s="127" t="e">
        <f t="shared" si="8"/>
        <v>#DIV/0!</v>
      </c>
      <c r="AF13" s="192">
        <f>SUM(IOC!K16)</f>
        <v>0</v>
      </c>
      <c r="AG13" s="108"/>
      <c r="AH13" s="189">
        <v>0</v>
      </c>
      <c r="AI13" s="127" t="e">
        <f>100/AH13*#REF!</f>
        <v>#DIV/0!</v>
      </c>
      <c r="AJ13" s="192">
        <f>SUM(HIE!L16)</f>
        <v>643.24816730406974</v>
      </c>
      <c r="AK13" s="108"/>
      <c r="AL13" s="189">
        <v>0</v>
      </c>
      <c r="AM13" s="127" t="e">
        <f t="shared" si="10"/>
        <v>#DIV/0!</v>
      </c>
      <c r="AN13" s="108">
        <v>0</v>
      </c>
      <c r="AO13" s="108"/>
      <c r="AP13" s="151">
        <v>0</v>
      </c>
      <c r="AQ13" s="127" t="e">
        <f t="shared" si="11"/>
        <v>#DIV/0!</v>
      </c>
      <c r="AR13" s="108">
        <v>0</v>
      </c>
      <c r="AS13" s="108"/>
      <c r="AT13" s="151">
        <v>0</v>
      </c>
      <c r="AU13" s="127" t="e">
        <f t="shared" si="12"/>
        <v>#DIV/0!</v>
      </c>
      <c r="AV13" s="108">
        <v>0</v>
      </c>
      <c r="AW13" s="108"/>
      <c r="AX13" s="151">
        <v>0</v>
      </c>
      <c r="AY13" s="123" t="e">
        <f t="shared" si="13"/>
        <v>#DIV/0!</v>
      </c>
      <c r="AZ13" s="148">
        <f>'CKR	'!C12</f>
        <v>0</v>
      </c>
      <c r="BA13" s="108"/>
      <c r="BB13" s="114">
        <v>0</v>
      </c>
      <c r="BC13" s="127" t="e">
        <f t="shared" si="14"/>
        <v>#DIV/0!</v>
      </c>
    </row>
    <row r="14" spans="1:55" ht="15" customHeight="1" x14ac:dyDescent="0.25">
      <c r="A14" s="13" t="s">
        <v>21</v>
      </c>
      <c r="B14" s="207" t="s">
        <v>22</v>
      </c>
      <c r="C14" s="166">
        <f t="shared" si="0"/>
        <v>10794.029411952335</v>
      </c>
      <c r="D14" s="106">
        <f t="shared" si="1"/>
        <v>0</v>
      </c>
      <c r="E14" s="190">
        <f t="shared" si="15"/>
        <v>12525</v>
      </c>
      <c r="F14" s="127">
        <f t="shared" ref="F14:F45" si="16">100/E14*C14</f>
        <v>86.179875544529608</v>
      </c>
      <c r="G14" s="108">
        <v>0</v>
      </c>
      <c r="H14" s="108"/>
      <c r="I14" s="189">
        <v>0</v>
      </c>
      <c r="J14" s="127" t="e">
        <f t="shared" si="3"/>
        <v>#DIV/0!</v>
      </c>
      <c r="K14" s="104">
        <f>SUM(SCA!W19)</f>
        <v>1321.6808551341528</v>
      </c>
      <c r="L14" s="108"/>
      <c r="M14" s="189">
        <v>0</v>
      </c>
      <c r="N14" s="127" t="e">
        <f t="shared" si="4"/>
        <v>#DIV/0!</v>
      </c>
      <c r="O14" s="108">
        <v>139.43</v>
      </c>
      <c r="P14" s="108"/>
      <c r="Q14" s="190">
        <v>3462.5</v>
      </c>
      <c r="R14" s="123">
        <f t="shared" si="5"/>
        <v>4.0268592057761738</v>
      </c>
      <c r="S14" s="129">
        <v>1895.6685568181817</v>
      </c>
      <c r="T14" s="108"/>
      <c r="U14" s="151">
        <v>4687.5</v>
      </c>
      <c r="V14" s="127">
        <f t="shared" si="6"/>
        <v>40.440929212121212</v>
      </c>
      <c r="W14" s="670">
        <f>SUM(MAI!X17)</f>
        <v>0</v>
      </c>
      <c r="X14" s="108"/>
      <c r="Y14" s="151">
        <v>0</v>
      </c>
      <c r="Z14" s="151">
        <v>0</v>
      </c>
      <c r="AA14" s="127" t="e">
        <f t="shared" si="7"/>
        <v>#DIV/0!</v>
      </c>
      <c r="AB14" s="108">
        <v>196.04999999999998</v>
      </c>
      <c r="AC14" s="108"/>
      <c r="AD14" s="189">
        <v>0</v>
      </c>
      <c r="AE14" s="127" t="e">
        <f t="shared" si="8"/>
        <v>#DIV/0!</v>
      </c>
      <c r="AF14" s="192">
        <f>SUM(IOC!K17)</f>
        <v>0</v>
      </c>
      <c r="AG14" s="108"/>
      <c r="AH14" s="189">
        <v>0</v>
      </c>
      <c r="AI14" s="127" t="e">
        <f>100/AH14*AF14</f>
        <v>#DIV/0!</v>
      </c>
      <c r="AJ14" s="192">
        <f>SUM(HIE!L17)</f>
        <v>0</v>
      </c>
      <c r="AK14" s="108"/>
      <c r="AL14" s="189">
        <v>0</v>
      </c>
      <c r="AM14" s="127" t="e">
        <f t="shared" si="10"/>
        <v>#DIV/0!</v>
      </c>
      <c r="AN14" s="108">
        <v>0</v>
      </c>
      <c r="AO14" s="108"/>
      <c r="AP14" s="151">
        <v>0</v>
      </c>
      <c r="AQ14" s="127" t="e">
        <f t="shared" si="11"/>
        <v>#DIV/0!</v>
      </c>
      <c r="AR14" s="108">
        <v>661.59</v>
      </c>
      <c r="AS14" s="108"/>
      <c r="AT14" s="151">
        <v>0</v>
      </c>
      <c r="AU14" s="127" t="e">
        <f t="shared" si="12"/>
        <v>#DIV/0!</v>
      </c>
      <c r="AV14" s="108">
        <v>6</v>
      </c>
      <c r="AW14" s="108"/>
      <c r="AX14" s="151">
        <v>0</v>
      </c>
      <c r="AY14" s="123" t="e">
        <f t="shared" si="13"/>
        <v>#DIV/0!</v>
      </c>
      <c r="AZ14" s="148">
        <f>'CKR	'!C13</f>
        <v>6573.61</v>
      </c>
      <c r="BA14" s="108"/>
      <c r="BB14" s="114">
        <v>4375</v>
      </c>
      <c r="BC14" s="127">
        <f t="shared" si="14"/>
        <v>150.25394285714285</v>
      </c>
    </row>
    <row r="15" spans="1:55" ht="15" customHeight="1" x14ac:dyDescent="0.25">
      <c r="A15" s="13" t="s">
        <v>23</v>
      </c>
      <c r="B15" s="207" t="s">
        <v>24</v>
      </c>
      <c r="C15" s="166">
        <f t="shared" si="0"/>
        <v>32291.646666944205</v>
      </c>
      <c r="D15" s="106">
        <f t="shared" si="1"/>
        <v>0</v>
      </c>
      <c r="E15" s="190">
        <f t="shared" si="15"/>
        <v>69737.55</v>
      </c>
      <c r="F15" s="127">
        <f t="shared" si="16"/>
        <v>46.304532733002816</v>
      </c>
      <c r="G15" s="108">
        <v>0</v>
      </c>
      <c r="H15" s="108"/>
      <c r="I15" s="189">
        <v>0</v>
      </c>
      <c r="J15" s="127" t="e">
        <f t="shared" si="3"/>
        <v>#DIV/0!</v>
      </c>
      <c r="K15" s="104">
        <f>SUM(SCA!W20)</f>
        <v>1241.5789851260224</v>
      </c>
      <c r="L15" s="108"/>
      <c r="M15" s="189">
        <v>2928.12</v>
      </c>
      <c r="N15" s="127">
        <f t="shared" si="4"/>
        <v>42.401916080147757</v>
      </c>
      <c r="O15" s="108">
        <v>0</v>
      </c>
      <c r="P15" s="108"/>
      <c r="Q15" s="190">
        <v>865.62</v>
      </c>
      <c r="R15" s="123">
        <f t="shared" si="5"/>
        <v>0</v>
      </c>
      <c r="S15" s="129">
        <v>249.14268181818184</v>
      </c>
      <c r="T15" s="108"/>
      <c r="U15" s="151">
        <v>1171.8800000000001</v>
      </c>
      <c r="V15" s="127">
        <f t="shared" si="6"/>
        <v>21.260084805456344</v>
      </c>
      <c r="W15" s="670">
        <f>SUM(MAI!X18)</f>
        <v>0</v>
      </c>
      <c r="X15" s="108"/>
      <c r="Y15" s="151">
        <v>2421.88</v>
      </c>
      <c r="Z15" s="151">
        <v>2421.88</v>
      </c>
      <c r="AA15" s="127">
        <f t="shared" si="7"/>
        <v>0</v>
      </c>
      <c r="AB15" s="108">
        <v>196.04999999999998</v>
      </c>
      <c r="AC15" s="108"/>
      <c r="AD15" s="189">
        <v>2812.5</v>
      </c>
      <c r="AE15" s="127">
        <f t="shared" si="8"/>
        <v>6.9706666666666663</v>
      </c>
      <c r="AF15" s="192">
        <f>SUM(IOC!K18)</f>
        <v>555.6875</v>
      </c>
      <c r="AG15" s="108"/>
      <c r="AH15" s="189">
        <v>2884.4</v>
      </c>
      <c r="AI15" s="127">
        <f t="shared" ref="AI15:AI45" si="17">100/AH15*AF15</f>
        <v>19.265271806961586</v>
      </c>
      <c r="AJ15" s="192">
        <f>SUM(HIE!L18)</f>
        <v>0</v>
      </c>
      <c r="AK15" s="108"/>
      <c r="AL15" s="189">
        <v>2656.25</v>
      </c>
      <c r="AM15" s="127">
        <f t="shared" si="10"/>
        <v>0</v>
      </c>
      <c r="AN15" s="108">
        <v>30049.1875</v>
      </c>
      <c r="AO15" s="108"/>
      <c r="AP15" s="151">
        <v>47406.25</v>
      </c>
      <c r="AQ15" s="127">
        <f t="shared" si="11"/>
        <v>63.386552406064595</v>
      </c>
      <c r="AR15" s="108">
        <v>0</v>
      </c>
      <c r="AS15" s="108"/>
      <c r="AT15" s="151">
        <v>893.75</v>
      </c>
      <c r="AU15" s="127">
        <f t="shared" si="12"/>
        <v>0</v>
      </c>
      <c r="AV15" s="108">
        <v>0</v>
      </c>
      <c r="AW15" s="108"/>
      <c r="AX15" s="151">
        <v>1718.75</v>
      </c>
      <c r="AY15" s="123">
        <f t="shared" si="13"/>
        <v>0</v>
      </c>
      <c r="AZ15" s="148">
        <f>'CKR	'!C14</f>
        <v>0</v>
      </c>
      <c r="BA15" s="108"/>
      <c r="BB15" s="114">
        <v>1093.75</v>
      </c>
      <c r="BC15" s="127">
        <f t="shared" si="14"/>
        <v>0</v>
      </c>
    </row>
    <row r="16" spans="1:55" ht="15" customHeight="1" x14ac:dyDescent="0.25">
      <c r="A16" s="9" t="s">
        <v>25</v>
      </c>
      <c r="B16" s="206" t="s">
        <v>26</v>
      </c>
      <c r="C16" s="121">
        <f t="shared" si="0"/>
        <v>84177.461563493547</v>
      </c>
      <c r="D16" s="104">
        <f t="shared" si="1"/>
        <v>91428.57</v>
      </c>
      <c r="E16" s="116">
        <f t="shared" si="15"/>
        <v>3434125.1199999996</v>
      </c>
      <c r="F16" s="126">
        <f t="shared" si="16"/>
        <v>2.4512054343405389</v>
      </c>
      <c r="G16" s="109">
        <v>1306.375</v>
      </c>
      <c r="H16" s="109">
        <f>SUM(H17:H22)</f>
        <v>0</v>
      </c>
      <c r="I16" s="116">
        <f>SUM(I17:I22)</f>
        <v>3094375</v>
      </c>
      <c r="J16" s="126">
        <f t="shared" si="3"/>
        <v>4.2217733791153303E-2</v>
      </c>
      <c r="K16" s="104">
        <f>SUM(SCA!W21)</f>
        <v>11374.465541154526</v>
      </c>
      <c r="L16" s="109">
        <f>SUM(L17:L22)</f>
        <v>8000</v>
      </c>
      <c r="M16" s="116">
        <f>SUM(M17:M22)</f>
        <v>52706.11</v>
      </c>
      <c r="N16" s="126">
        <f t="shared" si="4"/>
        <v>21.580923997529936</v>
      </c>
      <c r="O16" s="109">
        <v>2002.375</v>
      </c>
      <c r="P16" s="109">
        <f>SUM(P17:P22)</f>
        <v>8000</v>
      </c>
      <c r="Q16" s="116">
        <f>SUM(Q17:Q22)</f>
        <v>8656.25</v>
      </c>
      <c r="R16" s="122">
        <f t="shared" si="5"/>
        <v>23.132129963898915</v>
      </c>
      <c r="S16" s="130">
        <v>962.41045681818173</v>
      </c>
      <c r="T16" s="109">
        <f>SUM(T17:T22)</f>
        <v>8000</v>
      </c>
      <c r="U16" s="152">
        <f>SUM(U17:U22)</f>
        <v>16406.25</v>
      </c>
      <c r="V16" s="126">
        <f t="shared" si="6"/>
        <v>5.8661208796536792</v>
      </c>
      <c r="W16" s="155">
        <f>SUM(MAI!X19)</f>
        <v>0</v>
      </c>
      <c r="X16" s="109">
        <f>SUM(X17:X22)</f>
        <v>8000</v>
      </c>
      <c r="Y16" s="152">
        <f>SUM(Y17:Y22)</f>
        <v>33906.25</v>
      </c>
      <c r="Z16" s="152">
        <f>SUM(Z17:Z22)</f>
        <v>33906.25</v>
      </c>
      <c r="AA16" s="126">
        <f t="shared" si="7"/>
        <v>0</v>
      </c>
      <c r="AB16" s="109">
        <v>1364.2124999999999</v>
      </c>
      <c r="AC16" s="109">
        <f>SUM(AC17:AC22)</f>
        <v>11428.57</v>
      </c>
      <c r="AD16" s="116">
        <f>SUM(AD17:AD22)</f>
        <v>39375</v>
      </c>
      <c r="AE16" s="126">
        <f t="shared" si="8"/>
        <v>3.4646666666666661</v>
      </c>
      <c r="AF16" s="155">
        <f>SUM(IOC!K19)</f>
        <v>1307.5</v>
      </c>
      <c r="AG16" s="109">
        <f>SUM(AG17:AG22)</f>
        <v>8000</v>
      </c>
      <c r="AH16" s="116">
        <f>SUM(AH17:AH22)</f>
        <v>28843.879999999997</v>
      </c>
      <c r="AI16" s="126">
        <f t="shared" si="17"/>
        <v>4.533023989837706</v>
      </c>
      <c r="AJ16" s="155">
        <f>SUM(HIE!L19)</f>
        <v>6539.2514280208397</v>
      </c>
      <c r="AK16" s="109">
        <f>SUM(AK17:AK22)</f>
        <v>8000</v>
      </c>
      <c r="AL16" s="116">
        <f>SUM(AL17:AL22)</f>
        <v>26562.5</v>
      </c>
      <c r="AM16" s="126">
        <f t="shared" si="10"/>
        <v>24.618358317254927</v>
      </c>
      <c r="AN16" s="109">
        <v>34570.487500000003</v>
      </c>
      <c r="AO16" s="109">
        <f>SUM(AO17:AO22)</f>
        <v>8000</v>
      </c>
      <c r="AP16" s="152">
        <f>SUM(AP17:AP22)</f>
        <v>48500</v>
      </c>
      <c r="AQ16" s="126">
        <f t="shared" si="11"/>
        <v>71.279355670103101</v>
      </c>
      <c r="AR16" s="109">
        <v>2131.5</v>
      </c>
      <c r="AS16" s="109">
        <f>SUM(AS17:AS22)</f>
        <v>8000</v>
      </c>
      <c r="AT16" s="152">
        <f>SUM(AT17:AT22)</f>
        <v>12512.5</v>
      </c>
      <c r="AU16" s="126">
        <f t="shared" si="12"/>
        <v>17.034965034965033</v>
      </c>
      <c r="AV16" s="109">
        <v>2898.0549999999998</v>
      </c>
      <c r="AW16" s="109">
        <f>SUM(AW17:AW22)</f>
        <v>8000</v>
      </c>
      <c r="AX16" s="152">
        <f>SUM(AX17:AX22)</f>
        <v>17187.5</v>
      </c>
      <c r="AY16" s="122">
        <f t="shared" si="13"/>
        <v>16.861410909090907</v>
      </c>
      <c r="AZ16" s="125">
        <f>'CKR	'!C15</f>
        <v>19720.829137500001</v>
      </c>
      <c r="BA16" s="109">
        <f>SUM(BA17:BA22)</f>
        <v>8000</v>
      </c>
      <c r="BB16" s="115">
        <f>SUM(BB17:BB22)</f>
        <v>26250</v>
      </c>
      <c r="BC16" s="126">
        <f t="shared" si="14"/>
        <v>75.126968142857152</v>
      </c>
    </row>
    <row r="17" spans="1:55" ht="15" customHeight="1" x14ac:dyDescent="0.25">
      <c r="A17" s="13" t="s">
        <v>27</v>
      </c>
      <c r="B17" s="207" t="s">
        <v>28</v>
      </c>
      <c r="C17" s="166">
        <f t="shared" si="0"/>
        <v>47109.119660916309</v>
      </c>
      <c r="D17" s="106">
        <f t="shared" si="1"/>
        <v>19000</v>
      </c>
      <c r="E17" s="190">
        <f t="shared" si="15"/>
        <v>68475.03</v>
      </c>
      <c r="F17" s="127">
        <f t="shared" si="16"/>
        <v>68.797515913342878</v>
      </c>
      <c r="G17" s="108">
        <v>559.875</v>
      </c>
      <c r="H17" s="108">
        <v>0</v>
      </c>
      <c r="I17" s="189">
        <v>6687.5</v>
      </c>
      <c r="J17" s="127">
        <f t="shared" si="3"/>
        <v>8.3719626168224295</v>
      </c>
      <c r="K17" s="104">
        <f>SUM(SCA!W22)</f>
        <v>10613.497776077287</v>
      </c>
      <c r="L17" s="108">
        <v>1000</v>
      </c>
      <c r="M17" s="189">
        <v>5856.22</v>
      </c>
      <c r="N17" s="127">
        <f t="shared" si="4"/>
        <v>181.23461509433196</v>
      </c>
      <c r="O17" s="108">
        <v>1601.9</v>
      </c>
      <c r="P17" s="108">
        <v>2000</v>
      </c>
      <c r="Q17" s="190">
        <v>1731.25</v>
      </c>
      <c r="R17" s="123">
        <f t="shared" si="5"/>
        <v>92.528519855595675</v>
      </c>
      <c r="S17" s="129">
        <v>962.41045681818173</v>
      </c>
      <c r="T17" s="108">
        <v>1000</v>
      </c>
      <c r="U17" s="151">
        <v>2343.75</v>
      </c>
      <c r="V17" s="127">
        <f t="shared" si="6"/>
        <v>41.062846157575756</v>
      </c>
      <c r="W17" s="670">
        <f>SUM(MAI!X20)</f>
        <v>0</v>
      </c>
      <c r="X17" s="108">
        <v>1000</v>
      </c>
      <c r="Y17" s="151">
        <v>4843.75</v>
      </c>
      <c r="Z17" s="151">
        <v>4843.75</v>
      </c>
      <c r="AA17" s="127">
        <f t="shared" si="7"/>
        <v>0</v>
      </c>
      <c r="AB17" s="108">
        <v>653.5</v>
      </c>
      <c r="AC17" s="108">
        <v>2000</v>
      </c>
      <c r="AD17" s="189">
        <v>5625</v>
      </c>
      <c r="AE17" s="127">
        <f t="shared" si="8"/>
        <v>11.617777777777778</v>
      </c>
      <c r="AF17" s="192">
        <f>SUM(IOC!K20)</f>
        <v>1046</v>
      </c>
      <c r="AG17" s="108">
        <v>2000</v>
      </c>
      <c r="AH17" s="189">
        <v>5768.78</v>
      </c>
      <c r="AI17" s="127">
        <f t="shared" si="17"/>
        <v>18.132083386781957</v>
      </c>
      <c r="AJ17" s="192">
        <f>SUM(HIE!L20)</f>
        <v>1628.0514280208395</v>
      </c>
      <c r="AK17" s="108">
        <v>2000</v>
      </c>
      <c r="AL17" s="189">
        <v>5312.5</v>
      </c>
      <c r="AM17" s="127">
        <f t="shared" si="10"/>
        <v>30.645673939215801</v>
      </c>
      <c r="AN17" s="108">
        <v>6187.5</v>
      </c>
      <c r="AO17" s="108">
        <v>1000</v>
      </c>
      <c r="AP17" s="151">
        <v>6187.5</v>
      </c>
      <c r="AQ17" s="127">
        <f t="shared" si="11"/>
        <v>100</v>
      </c>
      <c r="AR17" s="108">
        <v>2131.5</v>
      </c>
      <c r="AS17" s="108">
        <v>2000</v>
      </c>
      <c r="AT17" s="151">
        <v>1787.5</v>
      </c>
      <c r="AU17" s="127">
        <f t="shared" si="12"/>
        <v>119.24475524475524</v>
      </c>
      <c r="AV17" s="108">
        <v>2004.0549999999998</v>
      </c>
      <c r="AW17" s="108">
        <v>2000</v>
      </c>
      <c r="AX17" s="151">
        <v>3437.5</v>
      </c>
      <c r="AY17" s="123">
        <f t="shared" si="13"/>
        <v>58.299781818181813</v>
      </c>
      <c r="AZ17" s="148">
        <f>'CKR	'!C16</f>
        <v>19720.830000000002</v>
      </c>
      <c r="BA17" s="108">
        <v>3000</v>
      </c>
      <c r="BB17" s="114">
        <v>13125</v>
      </c>
      <c r="BC17" s="127">
        <f t="shared" si="14"/>
        <v>150.25394285714287</v>
      </c>
    </row>
    <row r="18" spans="1:55" ht="15" customHeight="1" x14ac:dyDescent="0.25">
      <c r="A18" s="13" t="s">
        <v>29</v>
      </c>
      <c r="B18" s="207" t="s">
        <v>30</v>
      </c>
      <c r="C18" s="166">
        <f t="shared" si="0"/>
        <v>14557.760265077239</v>
      </c>
      <c r="D18" s="106">
        <f t="shared" si="1"/>
        <v>2000</v>
      </c>
      <c r="E18" s="190">
        <f t="shared" si="15"/>
        <v>18562.5</v>
      </c>
      <c r="F18" s="127">
        <f t="shared" si="16"/>
        <v>78.425644525668631</v>
      </c>
      <c r="G18" s="108">
        <v>466.5625</v>
      </c>
      <c r="H18" s="108">
        <v>0</v>
      </c>
      <c r="I18" s="189">
        <v>6687.5</v>
      </c>
      <c r="J18" s="127">
        <f t="shared" si="3"/>
        <v>6.9766355140186915</v>
      </c>
      <c r="K18" s="104">
        <f>SUM(SCA!W23)</f>
        <v>760.96776507723951</v>
      </c>
      <c r="L18" s="108"/>
      <c r="M18" s="189">
        <v>0</v>
      </c>
      <c r="N18" s="127" t="e">
        <f t="shared" si="4"/>
        <v>#DIV/0!</v>
      </c>
      <c r="O18" s="108">
        <v>0</v>
      </c>
      <c r="P18" s="108"/>
      <c r="Q18" s="190">
        <v>0</v>
      </c>
      <c r="R18" s="123" t="e">
        <f t="shared" si="5"/>
        <v>#DIV/0!</v>
      </c>
      <c r="S18" s="129">
        <v>0</v>
      </c>
      <c r="T18" s="108"/>
      <c r="U18" s="151">
        <v>0</v>
      </c>
      <c r="V18" s="127" t="e">
        <f t="shared" si="6"/>
        <v>#DIV/0!</v>
      </c>
      <c r="W18" s="670">
        <f>SUM(MAI!X21)</f>
        <v>0</v>
      </c>
      <c r="X18" s="108"/>
      <c r="Y18" s="151">
        <v>0</v>
      </c>
      <c r="Z18" s="151">
        <v>0</v>
      </c>
      <c r="AA18" s="123" t="e">
        <f t="shared" si="7"/>
        <v>#DIV/0!</v>
      </c>
      <c r="AB18" s="129">
        <v>673.12999999999988</v>
      </c>
      <c r="AC18" s="108"/>
      <c r="AD18" s="189">
        <v>0</v>
      </c>
      <c r="AE18" s="127" t="e">
        <f t="shared" si="8"/>
        <v>#DIV/0!</v>
      </c>
      <c r="AF18" s="192">
        <f>SUM(IOC!K21)</f>
        <v>261.5</v>
      </c>
      <c r="AG18" s="108"/>
      <c r="AH18" s="189">
        <v>0</v>
      </c>
      <c r="AI18" s="127" t="e">
        <f t="shared" si="17"/>
        <v>#DIV/0!</v>
      </c>
      <c r="AJ18" s="192">
        <f>SUM(HIE!L21)</f>
        <v>4911.2</v>
      </c>
      <c r="AK18" s="108"/>
      <c r="AL18" s="189">
        <v>0</v>
      </c>
      <c r="AM18" s="127" t="e">
        <f t="shared" si="10"/>
        <v>#DIV/0!</v>
      </c>
      <c r="AN18" s="108">
        <v>7484.4000000000005</v>
      </c>
      <c r="AO18" s="108">
        <v>2000</v>
      </c>
      <c r="AP18" s="151">
        <v>11875</v>
      </c>
      <c r="AQ18" s="127">
        <f t="shared" si="11"/>
        <v>63.026526315789475</v>
      </c>
      <c r="AR18" s="108">
        <v>0</v>
      </c>
      <c r="AS18" s="108"/>
      <c r="AT18" s="151">
        <v>0</v>
      </c>
      <c r="AU18" s="127" t="e">
        <f t="shared" si="12"/>
        <v>#DIV/0!</v>
      </c>
      <c r="AV18" s="108">
        <v>0</v>
      </c>
      <c r="AW18" s="108"/>
      <c r="AX18" s="151">
        <v>0</v>
      </c>
      <c r="AY18" s="123" t="e">
        <f>100/AX18*AV18</f>
        <v>#DIV/0!</v>
      </c>
      <c r="AZ18" s="148">
        <f>'CKR	'!C17</f>
        <v>0</v>
      </c>
      <c r="BA18" s="108"/>
      <c r="BB18" s="114">
        <v>0</v>
      </c>
      <c r="BC18" s="127" t="e">
        <f t="shared" si="14"/>
        <v>#DIV/0!</v>
      </c>
    </row>
    <row r="19" spans="1:55" ht="15" customHeight="1" x14ac:dyDescent="0.25">
      <c r="A19" s="13" t="s">
        <v>31</v>
      </c>
      <c r="B19" s="207" t="s">
        <v>32</v>
      </c>
      <c r="C19" s="166">
        <f t="shared" si="0"/>
        <v>15885.025000000001</v>
      </c>
      <c r="D19" s="106">
        <f t="shared" si="1"/>
        <v>33000</v>
      </c>
      <c r="E19" s="190">
        <f t="shared" si="15"/>
        <v>121637.57</v>
      </c>
      <c r="F19" s="127">
        <f t="shared" si="16"/>
        <v>13.059308073977473</v>
      </c>
      <c r="G19" s="108">
        <v>279.9375</v>
      </c>
      <c r="H19" s="108">
        <v>0</v>
      </c>
      <c r="I19" s="189">
        <v>13750</v>
      </c>
      <c r="J19" s="127">
        <f t="shared" si="3"/>
        <v>2.0359090909090911</v>
      </c>
      <c r="K19" s="104">
        <f>SUM(SCA!W24)</f>
        <v>0</v>
      </c>
      <c r="L19" s="108">
        <v>2000</v>
      </c>
      <c r="M19" s="189">
        <v>11712.47</v>
      </c>
      <c r="N19" s="127">
        <f t="shared" si="4"/>
        <v>0</v>
      </c>
      <c r="O19" s="108">
        <v>0</v>
      </c>
      <c r="P19" s="108">
        <v>3000</v>
      </c>
      <c r="Q19" s="190">
        <v>3462.5</v>
      </c>
      <c r="R19" s="123">
        <f t="shared" si="5"/>
        <v>0</v>
      </c>
      <c r="S19" s="129">
        <v>0</v>
      </c>
      <c r="T19" s="108">
        <v>3000</v>
      </c>
      <c r="U19" s="151">
        <v>4687.5</v>
      </c>
      <c r="V19" s="127">
        <f t="shared" si="6"/>
        <v>0</v>
      </c>
      <c r="W19" s="670">
        <f>SUM(MAI!X22)</f>
        <v>0</v>
      </c>
      <c r="X19" s="108">
        <v>3000</v>
      </c>
      <c r="Y19" s="151">
        <v>9687.5</v>
      </c>
      <c r="Z19" s="151">
        <v>9687.5</v>
      </c>
      <c r="AA19" s="123">
        <f t="shared" si="7"/>
        <v>0</v>
      </c>
      <c r="AB19" s="129">
        <v>0</v>
      </c>
      <c r="AC19" s="108">
        <v>5000</v>
      </c>
      <c r="AD19" s="189">
        <v>11250</v>
      </c>
      <c r="AE19" s="127">
        <f t="shared" si="8"/>
        <v>0</v>
      </c>
      <c r="AF19" s="192">
        <f>SUM(IOC!K22)</f>
        <v>0</v>
      </c>
      <c r="AG19" s="108">
        <v>3000</v>
      </c>
      <c r="AH19" s="189">
        <v>11537.55</v>
      </c>
      <c r="AI19" s="127">
        <f t="shared" si="17"/>
        <v>0</v>
      </c>
      <c r="AJ19" s="192">
        <f>SUM(HIE!L22)</f>
        <v>0</v>
      </c>
      <c r="AK19" s="108">
        <v>3000</v>
      </c>
      <c r="AL19" s="189">
        <v>10625</v>
      </c>
      <c r="AM19" s="127">
        <f t="shared" si="10"/>
        <v>0</v>
      </c>
      <c r="AN19" s="108">
        <v>14711.087500000001</v>
      </c>
      <c r="AO19" s="108">
        <v>3000</v>
      </c>
      <c r="AP19" s="151">
        <v>18562.5</v>
      </c>
      <c r="AQ19" s="127">
        <f t="shared" si="11"/>
        <v>79.251649831649843</v>
      </c>
      <c r="AR19" s="108">
        <v>0</v>
      </c>
      <c r="AS19" s="108">
        <v>3000</v>
      </c>
      <c r="AT19" s="151">
        <v>3575</v>
      </c>
      <c r="AU19" s="127">
        <f t="shared" si="12"/>
        <v>0</v>
      </c>
      <c r="AV19" s="108">
        <v>894</v>
      </c>
      <c r="AW19" s="108">
        <v>3000</v>
      </c>
      <c r="AX19" s="151">
        <v>6875</v>
      </c>
      <c r="AY19" s="123">
        <f t="shared" si="13"/>
        <v>13.003636363636364</v>
      </c>
      <c r="AZ19" s="148">
        <f>'CKR	'!C18</f>
        <v>0</v>
      </c>
      <c r="BA19" s="108">
        <v>2000</v>
      </c>
      <c r="BB19" s="114">
        <v>4375</v>
      </c>
      <c r="BC19" s="127">
        <f t="shared" si="14"/>
        <v>0</v>
      </c>
    </row>
    <row r="20" spans="1:55" ht="15" customHeight="1" x14ac:dyDescent="0.25">
      <c r="A20" s="13" t="s">
        <v>33</v>
      </c>
      <c r="B20" s="207" t="s">
        <v>34</v>
      </c>
      <c r="C20" s="166">
        <f t="shared" si="0"/>
        <v>0</v>
      </c>
      <c r="D20" s="106">
        <f t="shared" si="1"/>
        <v>0</v>
      </c>
      <c r="E20" s="190">
        <f t="shared" si="15"/>
        <v>26750</v>
      </c>
      <c r="F20" s="127">
        <f t="shared" si="16"/>
        <v>0</v>
      </c>
      <c r="G20" s="108">
        <v>0</v>
      </c>
      <c r="H20" s="108">
        <v>0</v>
      </c>
      <c r="I20" s="189">
        <v>26750</v>
      </c>
      <c r="J20" s="127">
        <f t="shared" si="3"/>
        <v>0</v>
      </c>
      <c r="K20" s="104">
        <f>SUM(SCA!W25)</f>
        <v>0</v>
      </c>
      <c r="L20" s="108"/>
      <c r="M20" s="189">
        <v>0</v>
      </c>
      <c r="N20" s="127" t="e">
        <f t="shared" si="4"/>
        <v>#DIV/0!</v>
      </c>
      <c r="O20" s="108">
        <v>0</v>
      </c>
      <c r="P20" s="108"/>
      <c r="Q20" s="190">
        <v>0</v>
      </c>
      <c r="R20" s="123" t="e">
        <f t="shared" si="5"/>
        <v>#DIV/0!</v>
      </c>
      <c r="S20" s="129">
        <v>0</v>
      </c>
      <c r="T20" s="108"/>
      <c r="U20" s="151">
        <v>0</v>
      </c>
      <c r="V20" s="127" t="e">
        <f t="shared" si="6"/>
        <v>#DIV/0!</v>
      </c>
      <c r="W20" s="670">
        <f>SUM(MAI!X23)</f>
        <v>0</v>
      </c>
      <c r="X20" s="108"/>
      <c r="Y20" s="151">
        <v>0</v>
      </c>
      <c r="Z20" s="151">
        <v>0</v>
      </c>
      <c r="AA20" s="123" t="e">
        <f t="shared" si="7"/>
        <v>#DIV/0!</v>
      </c>
      <c r="AB20" s="129">
        <v>0</v>
      </c>
      <c r="AC20" s="108"/>
      <c r="AD20" s="189">
        <v>0</v>
      </c>
      <c r="AE20" s="127" t="e">
        <f t="shared" si="8"/>
        <v>#DIV/0!</v>
      </c>
      <c r="AF20" s="192">
        <f>SUM(IOC!K23)</f>
        <v>0</v>
      </c>
      <c r="AG20" s="108"/>
      <c r="AH20" s="189">
        <v>0</v>
      </c>
      <c r="AI20" s="127" t="e">
        <f t="shared" si="17"/>
        <v>#DIV/0!</v>
      </c>
      <c r="AJ20" s="192">
        <f>SUM(HIE!L23)</f>
        <v>0</v>
      </c>
      <c r="AK20" s="108"/>
      <c r="AL20" s="189">
        <v>0</v>
      </c>
      <c r="AM20" s="127" t="e">
        <f t="shared" si="10"/>
        <v>#DIV/0!</v>
      </c>
      <c r="AN20" s="108">
        <v>0</v>
      </c>
      <c r="AO20" s="108"/>
      <c r="AP20" s="151">
        <v>0</v>
      </c>
      <c r="AQ20" s="127" t="e">
        <f t="shared" si="11"/>
        <v>#DIV/0!</v>
      </c>
      <c r="AR20" s="108">
        <v>0</v>
      </c>
      <c r="AS20" s="108"/>
      <c r="AT20" s="151">
        <v>0</v>
      </c>
      <c r="AU20" s="127" t="e">
        <f t="shared" si="12"/>
        <v>#DIV/0!</v>
      </c>
      <c r="AV20" s="108">
        <v>0</v>
      </c>
      <c r="AW20" s="108"/>
      <c r="AX20" s="151">
        <v>0</v>
      </c>
      <c r="AY20" s="123" t="e">
        <f t="shared" si="13"/>
        <v>#DIV/0!</v>
      </c>
      <c r="AZ20" s="148">
        <f>'CKR	'!C19</f>
        <v>0</v>
      </c>
      <c r="BA20" s="108"/>
      <c r="BB20" s="114">
        <v>0</v>
      </c>
      <c r="BC20" s="127" t="e">
        <f t="shared" si="14"/>
        <v>#DIV/0!</v>
      </c>
    </row>
    <row r="21" spans="1:55" ht="15" customHeight="1" x14ac:dyDescent="0.25">
      <c r="A21" s="13" t="s">
        <v>35</v>
      </c>
      <c r="B21" s="207" t="s">
        <v>36</v>
      </c>
      <c r="C21" s="166">
        <f t="shared" si="0"/>
        <v>0</v>
      </c>
      <c r="D21" s="106">
        <f t="shared" si="1"/>
        <v>0</v>
      </c>
      <c r="E21" s="190">
        <f t="shared" si="15"/>
        <v>3026750</v>
      </c>
      <c r="F21" s="127">
        <f t="shared" si="16"/>
        <v>0</v>
      </c>
      <c r="G21" s="108">
        <v>0</v>
      </c>
      <c r="H21" s="108">
        <v>0</v>
      </c>
      <c r="I21" s="189">
        <v>3026750</v>
      </c>
      <c r="J21" s="127">
        <f t="shared" si="3"/>
        <v>0</v>
      </c>
      <c r="K21" s="104">
        <f>SUM(SCA!W26)</f>
        <v>0</v>
      </c>
      <c r="L21" s="108"/>
      <c r="M21" s="189">
        <v>0</v>
      </c>
      <c r="N21" s="127" t="e">
        <f t="shared" si="4"/>
        <v>#DIV/0!</v>
      </c>
      <c r="O21" s="108">
        <v>0</v>
      </c>
      <c r="P21" s="108"/>
      <c r="Q21" s="190">
        <v>0</v>
      </c>
      <c r="R21" s="123" t="e">
        <f t="shared" si="5"/>
        <v>#DIV/0!</v>
      </c>
      <c r="S21" s="129">
        <v>0</v>
      </c>
      <c r="T21" s="108"/>
      <c r="U21" s="151">
        <v>0</v>
      </c>
      <c r="V21" s="127" t="e">
        <f t="shared" si="6"/>
        <v>#DIV/0!</v>
      </c>
      <c r="W21" s="670">
        <f>SUM(MAI!X24)</f>
        <v>0</v>
      </c>
      <c r="X21" s="108"/>
      <c r="Y21" s="151">
        <v>0</v>
      </c>
      <c r="Z21" s="151">
        <v>0</v>
      </c>
      <c r="AA21" s="123" t="e">
        <f t="shared" si="7"/>
        <v>#DIV/0!</v>
      </c>
      <c r="AB21" s="129">
        <v>0</v>
      </c>
      <c r="AC21" s="108">
        <v>0</v>
      </c>
      <c r="AD21" s="189">
        <v>0</v>
      </c>
      <c r="AE21" s="127" t="e">
        <f t="shared" si="8"/>
        <v>#DIV/0!</v>
      </c>
      <c r="AF21" s="192">
        <f>SUM(IOC!K24)</f>
        <v>0</v>
      </c>
      <c r="AG21" s="108"/>
      <c r="AH21" s="189">
        <v>0</v>
      </c>
      <c r="AI21" s="127" t="e">
        <f t="shared" si="17"/>
        <v>#DIV/0!</v>
      </c>
      <c r="AJ21" s="192">
        <f>SUM(HIE!L24)</f>
        <v>0</v>
      </c>
      <c r="AK21" s="108"/>
      <c r="AL21" s="189">
        <v>0</v>
      </c>
      <c r="AM21" s="127" t="e">
        <f t="shared" si="10"/>
        <v>#DIV/0!</v>
      </c>
      <c r="AN21" s="108">
        <v>0</v>
      </c>
      <c r="AO21" s="108"/>
      <c r="AP21" s="151">
        <v>0</v>
      </c>
      <c r="AQ21" s="127" t="e">
        <f t="shared" si="11"/>
        <v>#DIV/0!</v>
      </c>
      <c r="AR21" s="108">
        <v>0</v>
      </c>
      <c r="AS21" s="108"/>
      <c r="AT21" s="151">
        <v>0</v>
      </c>
      <c r="AU21" s="127" t="e">
        <f t="shared" si="12"/>
        <v>#DIV/0!</v>
      </c>
      <c r="AV21" s="108">
        <v>0</v>
      </c>
      <c r="AW21" s="108"/>
      <c r="AX21" s="151">
        <v>0</v>
      </c>
      <c r="AY21" s="123" t="e">
        <f t="shared" si="13"/>
        <v>#DIV/0!</v>
      </c>
      <c r="AZ21" s="148">
        <f>'CKR	'!C20</f>
        <v>0</v>
      </c>
      <c r="BA21" s="108"/>
      <c r="BB21" s="114">
        <v>0</v>
      </c>
      <c r="BC21" s="127" t="e">
        <f t="shared" si="14"/>
        <v>#DIV/0!</v>
      </c>
    </row>
    <row r="22" spans="1:55" ht="15" customHeight="1" x14ac:dyDescent="0.25">
      <c r="A22" s="13" t="s">
        <v>37</v>
      </c>
      <c r="B22" s="207" t="s">
        <v>38</v>
      </c>
      <c r="C22" s="166">
        <f t="shared" si="0"/>
        <v>6187.5</v>
      </c>
      <c r="D22" s="106">
        <f t="shared" si="1"/>
        <v>37428.57</v>
      </c>
      <c r="E22" s="190">
        <f t="shared" si="15"/>
        <v>171950.02000000002</v>
      </c>
      <c r="F22" s="127">
        <f t="shared" si="16"/>
        <v>3.5984293575540143</v>
      </c>
      <c r="G22" s="108">
        <v>0</v>
      </c>
      <c r="H22" s="108">
        <v>0</v>
      </c>
      <c r="I22" s="189">
        <v>13750</v>
      </c>
      <c r="J22" s="127">
        <f t="shared" si="3"/>
        <v>0</v>
      </c>
      <c r="K22" s="104">
        <f>SUM(SCA!W27)</f>
        <v>0</v>
      </c>
      <c r="L22" s="108">
        <v>5000</v>
      </c>
      <c r="M22" s="189">
        <v>35137.42</v>
      </c>
      <c r="N22" s="127">
        <f t="shared" si="4"/>
        <v>0</v>
      </c>
      <c r="O22" s="108">
        <v>0</v>
      </c>
      <c r="P22" s="108">
        <v>3000</v>
      </c>
      <c r="Q22" s="190">
        <v>3462.5</v>
      </c>
      <c r="R22" s="123">
        <f t="shared" si="5"/>
        <v>0</v>
      </c>
      <c r="S22" s="129">
        <v>0</v>
      </c>
      <c r="T22" s="108">
        <v>4000</v>
      </c>
      <c r="U22" s="151">
        <v>9375</v>
      </c>
      <c r="V22" s="127">
        <f t="shared" si="6"/>
        <v>0</v>
      </c>
      <c r="W22" s="670">
        <f>SUM(MAI!X25)</f>
        <v>0</v>
      </c>
      <c r="X22" s="108">
        <v>4000</v>
      </c>
      <c r="Y22" s="151">
        <v>19375</v>
      </c>
      <c r="Z22" s="151">
        <v>19375</v>
      </c>
      <c r="AA22" s="123">
        <f t="shared" si="7"/>
        <v>0</v>
      </c>
      <c r="AB22" s="129">
        <v>0</v>
      </c>
      <c r="AC22" s="108">
        <v>4428.57</v>
      </c>
      <c r="AD22" s="189">
        <v>22500</v>
      </c>
      <c r="AE22" s="127">
        <f t="shared" si="8"/>
        <v>0</v>
      </c>
      <c r="AF22" s="192">
        <f>SUM(IOC!K25)</f>
        <v>0</v>
      </c>
      <c r="AG22" s="108">
        <v>3000</v>
      </c>
      <c r="AH22" s="189">
        <v>11537.55</v>
      </c>
      <c r="AI22" s="127">
        <f t="shared" si="17"/>
        <v>0</v>
      </c>
      <c r="AJ22" s="192">
        <f>SUM(HIE!L25)</f>
        <v>0</v>
      </c>
      <c r="AK22" s="108">
        <v>3000</v>
      </c>
      <c r="AL22" s="189">
        <v>10625</v>
      </c>
      <c r="AM22" s="127">
        <f t="shared" si="10"/>
        <v>0</v>
      </c>
      <c r="AN22" s="108">
        <v>6187.5</v>
      </c>
      <c r="AO22" s="108">
        <v>2000</v>
      </c>
      <c r="AP22" s="151">
        <v>11875</v>
      </c>
      <c r="AQ22" s="127">
        <f t="shared" si="11"/>
        <v>52.105263157894733</v>
      </c>
      <c r="AR22" s="108">
        <v>0</v>
      </c>
      <c r="AS22" s="108">
        <v>3000</v>
      </c>
      <c r="AT22" s="151">
        <v>7150</v>
      </c>
      <c r="AU22" s="127">
        <f t="shared" si="12"/>
        <v>0</v>
      </c>
      <c r="AV22" s="108">
        <v>0</v>
      </c>
      <c r="AW22" s="108">
        <v>3000</v>
      </c>
      <c r="AX22" s="151">
        <v>6875</v>
      </c>
      <c r="AY22" s="123">
        <f t="shared" si="13"/>
        <v>0</v>
      </c>
      <c r="AZ22" s="148">
        <f>'CKR	'!C21</f>
        <v>0</v>
      </c>
      <c r="BA22" s="108">
        <v>3000</v>
      </c>
      <c r="BB22" s="114">
        <v>8750</v>
      </c>
      <c r="BC22" s="127">
        <f t="shared" si="14"/>
        <v>0</v>
      </c>
    </row>
    <row r="23" spans="1:55" ht="15.75" customHeight="1" x14ac:dyDescent="0.25">
      <c r="A23" s="9" t="s">
        <v>39</v>
      </c>
      <c r="B23" s="206" t="s">
        <v>40</v>
      </c>
      <c r="C23" s="121">
        <f t="shared" si="0"/>
        <v>21789.228262094621</v>
      </c>
      <c r="D23" s="104">
        <f t="shared" si="1"/>
        <v>151514.29</v>
      </c>
      <c r="E23" s="116">
        <f t="shared" si="15"/>
        <v>701740.32</v>
      </c>
      <c r="F23" s="126">
        <f t="shared" si="16"/>
        <v>3.1050272645149737</v>
      </c>
      <c r="G23" s="109">
        <v>6681.1750000000011</v>
      </c>
      <c r="H23" s="109">
        <f>SUM(H24:H32)</f>
        <v>0</v>
      </c>
      <c r="I23" s="116">
        <f>SUM(I24:I32)</f>
        <v>73562.5</v>
      </c>
      <c r="J23" s="126">
        <f t="shared" si="3"/>
        <v>9.0823109600679697</v>
      </c>
      <c r="K23" s="104">
        <f>SUM(SCA!W28)</f>
        <v>2723.4635802764365</v>
      </c>
      <c r="L23" s="109">
        <f>SUM(L24:L32)</f>
        <v>8000</v>
      </c>
      <c r="M23" s="116">
        <f>SUM(M24:M32)</f>
        <v>149334.16999999998</v>
      </c>
      <c r="N23" s="126">
        <f t="shared" si="4"/>
        <v>1.8237377154046102</v>
      </c>
      <c r="O23" s="109">
        <v>58.099999999999994</v>
      </c>
      <c r="P23" s="109">
        <f>SUM(P24:P32)</f>
        <v>26000</v>
      </c>
      <c r="Q23" s="116">
        <f>SUM(Q24:Q32)</f>
        <v>29431.25</v>
      </c>
      <c r="R23" s="122">
        <f t="shared" si="5"/>
        <v>0.19740921639413886</v>
      </c>
      <c r="S23" s="130">
        <v>595.19468181818183</v>
      </c>
      <c r="T23" s="109">
        <f>SUM(T24:T32)</f>
        <v>8600</v>
      </c>
      <c r="U23" s="152">
        <f>SUM(U24:U32)</f>
        <v>32812.5</v>
      </c>
      <c r="V23" s="126">
        <f t="shared" si="6"/>
        <v>1.8139266493506494</v>
      </c>
      <c r="W23" s="155">
        <f>SUM(MAI!X26)</f>
        <v>4120.2875000000004</v>
      </c>
      <c r="X23" s="109">
        <f>SUM(X24:X32)</f>
        <v>8600</v>
      </c>
      <c r="Y23" s="152">
        <f>SUM(Y24:Y32)</f>
        <v>77500</v>
      </c>
      <c r="Z23" s="152">
        <f>SUM(Z24:Z32)</f>
        <v>77500</v>
      </c>
      <c r="AA23" s="122">
        <f t="shared" si="7"/>
        <v>5.3165000000000004</v>
      </c>
      <c r="AB23" s="130">
        <v>653.5</v>
      </c>
      <c r="AC23" s="109">
        <f>SUM(AC24:AC32)</f>
        <v>33714.29</v>
      </c>
      <c r="AD23" s="116">
        <f>SUM(AD24:AD32)</f>
        <v>101250</v>
      </c>
      <c r="AE23" s="126">
        <f t="shared" si="8"/>
        <v>0.64543209876543206</v>
      </c>
      <c r="AF23" s="155">
        <f>SUM(IOC!K26)</f>
        <v>0</v>
      </c>
      <c r="AG23" s="109">
        <f>SUM(AG24:AG32)</f>
        <v>8600</v>
      </c>
      <c r="AH23" s="116">
        <f>SUM(AH24:AH32)</f>
        <v>34612.699999999997</v>
      </c>
      <c r="AI23" s="126">
        <f t="shared" si="17"/>
        <v>0</v>
      </c>
      <c r="AJ23" s="155">
        <f>SUM(HIE!L26)</f>
        <v>0</v>
      </c>
      <c r="AK23" s="109">
        <f>SUM(AK24:AK32)</f>
        <v>8600</v>
      </c>
      <c r="AL23" s="116">
        <f>SUM(AL24:AL32)</f>
        <v>74374.5</v>
      </c>
      <c r="AM23" s="126">
        <f t="shared" si="10"/>
        <v>0</v>
      </c>
      <c r="AN23" s="109">
        <v>5126.7875000000004</v>
      </c>
      <c r="AO23" s="109">
        <f>SUM(AO24:AO32)</f>
        <v>8600</v>
      </c>
      <c r="AP23" s="152">
        <f>SUM(AP24:AP32)</f>
        <v>30937.5</v>
      </c>
      <c r="AQ23" s="126">
        <f t="shared" si="11"/>
        <v>16.571434343434344</v>
      </c>
      <c r="AR23" s="109">
        <v>661.59</v>
      </c>
      <c r="AS23" s="109">
        <f>SUM(AS24:AS32)</f>
        <v>8600</v>
      </c>
      <c r="AT23" s="152">
        <f>SUM(AT24:AT32)</f>
        <v>8937.5</v>
      </c>
      <c r="AU23" s="126">
        <f t="shared" si="12"/>
        <v>7.4024055944055949</v>
      </c>
      <c r="AV23" s="109">
        <v>1169.1299999999999</v>
      </c>
      <c r="AW23" s="109">
        <f>SUM(AW24:AW32)</f>
        <v>23600</v>
      </c>
      <c r="AX23" s="152">
        <f>SUM(AX24:AX32)</f>
        <v>41250</v>
      </c>
      <c r="AY23" s="122">
        <f t="shared" si="13"/>
        <v>2.8342545454545451</v>
      </c>
      <c r="AZ23" s="125">
        <f>'CKR	'!C22</f>
        <v>0</v>
      </c>
      <c r="BA23" s="109">
        <f>SUM(BA24:BA32)</f>
        <v>8600</v>
      </c>
      <c r="BB23" s="116">
        <f>SUM(BB24:BB32)</f>
        <v>13125</v>
      </c>
      <c r="BC23" s="126">
        <f t="shared" si="14"/>
        <v>0</v>
      </c>
    </row>
    <row r="24" spans="1:55" ht="15" customHeight="1" x14ac:dyDescent="0.25">
      <c r="A24" s="21" t="s">
        <v>185</v>
      </c>
      <c r="B24" s="207" t="s">
        <v>42</v>
      </c>
      <c r="C24" s="166">
        <f t="shared" si="0"/>
        <v>8330.8886002439158</v>
      </c>
      <c r="D24" s="106">
        <f t="shared" si="1"/>
        <v>1000</v>
      </c>
      <c r="E24" s="190">
        <f t="shared" si="15"/>
        <v>24218.75</v>
      </c>
      <c r="F24" s="127">
        <f t="shared" si="16"/>
        <v>34.39850776874907</v>
      </c>
      <c r="G24" s="108">
        <v>933.125</v>
      </c>
      <c r="H24" s="108">
        <v>0</v>
      </c>
      <c r="I24" s="189">
        <v>0</v>
      </c>
      <c r="J24" s="127" t="e">
        <f t="shared" si="3"/>
        <v>#DIV/0!</v>
      </c>
      <c r="K24" s="104">
        <f>SUM(SCA!W29)</f>
        <v>2403.0561002439144</v>
      </c>
      <c r="L24" s="108"/>
      <c r="M24" s="189">
        <v>0</v>
      </c>
      <c r="N24" s="127" t="e">
        <f t="shared" si="4"/>
        <v>#DIV/0!</v>
      </c>
      <c r="O24" s="108">
        <v>46.48</v>
      </c>
      <c r="P24" s="108"/>
      <c r="Q24" s="190">
        <v>0</v>
      </c>
      <c r="R24" s="123" t="e">
        <f t="shared" si="5"/>
        <v>#DIV/0!</v>
      </c>
      <c r="S24" s="129">
        <v>0</v>
      </c>
      <c r="T24" s="108"/>
      <c r="U24" s="151">
        <v>0</v>
      </c>
      <c r="V24" s="127" t="e">
        <f t="shared" si="6"/>
        <v>#DIV/0!</v>
      </c>
      <c r="W24" s="670">
        <f>SUM(MAI!X27)</f>
        <v>4120.2875000000004</v>
      </c>
      <c r="X24" s="108">
        <v>1000</v>
      </c>
      <c r="Y24" s="151">
        <v>24218.75</v>
      </c>
      <c r="Z24" s="151">
        <v>24218.75</v>
      </c>
      <c r="AA24" s="123">
        <f t="shared" si="7"/>
        <v>17.012800000000002</v>
      </c>
      <c r="AB24" s="129">
        <v>65.349999999999994</v>
      </c>
      <c r="AC24" s="108"/>
      <c r="AD24" s="189">
        <v>0</v>
      </c>
      <c r="AE24" s="127" t="e">
        <f t="shared" si="8"/>
        <v>#DIV/0!</v>
      </c>
      <c r="AF24" s="192">
        <f>SUM(IOC!K27)</f>
        <v>0</v>
      </c>
      <c r="AG24" s="108"/>
      <c r="AH24" s="189">
        <v>0</v>
      </c>
      <c r="AI24" s="127" t="e">
        <f t="shared" si="17"/>
        <v>#DIV/0!</v>
      </c>
      <c r="AJ24" s="192">
        <f>SUM(HIE!L27)</f>
        <v>0</v>
      </c>
      <c r="AK24" s="108"/>
      <c r="AL24" s="189">
        <v>0</v>
      </c>
      <c r="AM24" s="127" t="e">
        <f t="shared" si="10"/>
        <v>#DIV/0!</v>
      </c>
      <c r="AN24" s="108">
        <v>0</v>
      </c>
      <c r="AO24" s="108"/>
      <c r="AP24" s="151">
        <v>0</v>
      </c>
      <c r="AQ24" s="127" t="e">
        <f t="shared" si="11"/>
        <v>#DIV/0!</v>
      </c>
      <c r="AR24" s="108">
        <v>661.59</v>
      </c>
      <c r="AS24" s="108"/>
      <c r="AT24" s="151">
        <v>0</v>
      </c>
      <c r="AU24" s="127" t="e">
        <f t="shared" si="12"/>
        <v>#DIV/0!</v>
      </c>
      <c r="AV24" s="108">
        <v>101</v>
      </c>
      <c r="AW24" s="108"/>
      <c r="AX24" s="151">
        <v>0</v>
      </c>
      <c r="AY24" s="123" t="e">
        <f t="shared" si="13"/>
        <v>#DIV/0!</v>
      </c>
      <c r="AZ24" s="148">
        <f>'CKR	'!C23</f>
        <v>0</v>
      </c>
      <c r="BA24" s="108"/>
      <c r="BB24" s="114">
        <v>0</v>
      </c>
      <c r="BC24" s="127" t="e">
        <f t="shared" si="14"/>
        <v>#DIV/0!</v>
      </c>
    </row>
    <row r="25" spans="1:55" ht="15" customHeight="1" x14ac:dyDescent="0.25">
      <c r="A25" s="21" t="s">
        <v>43</v>
      </c>
      <c r="B25" s="207" t="s">
        <v>44</v>
      </c>
      <c r="C25" s="166">
        <f t="shared" si="0"/>
        <v>5322.8375000000005</v>
      </c>
      <c r="D25" s="106">
        <f t="shared" si="1"/>
        <v>44600</v>
      </c>
      <c r="E25" s="190">
        <f t="shared" si="15"/>
        <v>170550.08</v>
      </c>
      <c r="F25" s="127">
        <f t="shared" si="16"/>
        <v>3.1209821185659963</v>
      </c>
      <c r="G25" s="108">
        <v>0</v>
      </c>
      <c r="H25" s="108">
        <v>0</v>
      </c>
      <c r="I25" s="189">
        <v>13375</v>
      </c>
      <c r="J25" s="127">
        <f t="shared" si="3"/>
        <v>0</v>
      </c>
      <c r="K25" s="104">
        <f>SUM(SCA!W30)</f>
        <v>0</v>
      </c>
      <c r="L25" s="108">
        <v>1000</v>
      </c>
      <c r="M25" s="189">
        <v>11712.46</v>
      </c>
      <c r="N25" s="127">
        <f t="shared" si="4"/>
        <v>0</v>
      </c>
      <c r="O25" s="108">
        <v>0</v>
      </c>
      <c r="P25" s="108">
        <v>5000</v>
      </c>
      <c r="Q25" s="190">
        <v>3462.5</v>
      </c>
      <c r="R25" s="123">
        <f t="shared" si="5"/>
        <v>0</v>
      </c>
      <c r="S25" s="129">
        <v>0</v>
      </c>
      <c r="T25" s="108">
        <v>2000</v>
      </c>
      <c r="U25" s="151">
        <v>4687.5</v>
      </c>
      <c r="V25" s="127">
        <f t="shared" si="6"/>
        <v>0</v>
      </c>
      <c r="W25" s="670">
        <f>SUM(MAI!X28)</f>
        <v>0</v>
      </c>
      <c r="X25" s="108">
        <v>5000</v>
      </c>
      <c r="Y25" s="151">
        <v>29062.5</v>
      </c>
      <c r="Z25" s="151">
        <v>29062.5</v>
      </c>
      <c r="AA25" s="123">
        <f t="shared" si="7"/>
        <v>0</v>
      </c>
      <c r="AB25" s="129">
        <v>196.04999999999998</v>
      </c>
      <c r="AC25" s="108">
        <v>10000</v>
      </c>
      <c r="AD25" s="189">
        <v>39375</v>
      </c>
      <c r="AE25" s="127">
        <f t="shared" si="8"/>
        <v>0.49790476190476185</v>
      </c>
      <c r="AF25" s="192">
        <f>SUM(IOC!K28)</f>
        <v>0</v>
      </c>
      <c r="AG25" s="108">
        <v>3000</v>
      </c>
      <c r="AH25" s="189">
        <v>11537.56</v>
      </c>
      <c r="AI25" s="127">
        <f t="shared" si="17"/>
        <v>0</v>
      </c>
      <c r="AJ25" s="192">
        <f>SUM(HIE!L28)</f>
        <v>0</v>
      </c>
      <c r="AK25" s="108">
        <v>1000</v>
      </c>
      <c r="AL25" s="189">
        <v>10625</v>
      </c>
      <c r="AM25" s="127">
        <f t="shared" si="10"/>
        <v>0</v>
      </c>
      <c r="AN25" s="108">
        <v>5126.7875000000004</v>
      </c>
      <c r="AO25" s="108">
        <v>4600</v>
      </c>
      <c r="AP25" s="151">
        <v>18562.5</v>
      </c>
      <c r="AQ25" s="127">
        <f t="shared" si="11"/>
        <v>27.619057239057241</v>
      </c>
      <c r="AR25" s="108">
        <v>0</v>
      </c>
      <c r="AS25" s="108">
        <v>6000</v>
      </c>
      <c r="AT25" s="151">
        <v>5362.5</v>
      </c>
      <c r="AU25" s="127">
        <f t="shared" si="12"/>
        <v>0</v>
      </c>
      <c r="AV25" s="108">
        <v>0</v>
      </c>
      <c r="AW25" s="108">
        <v>5000</v>
      </c>
      <c r="AX25" s="151">
        <v>6875</v>
      </c>
      <c r="AY25" s="123">
        <f t="shared" si="13"/>
        <v>0</v>
      </c>
      <c r="AZ25" s="148">
        <f>'CKR	'!C24</f>
        <v>0</v>
      </c>
      <c r="BA25" s="108">
        <v>2000</v>
      </c>
      <c r="BB25" s="114">
        <v>4375</v>
      </c>
      <c r="BC25" s="127">
        <f t="shared" si="14"/>
        <v>0</v>
      </c>
    </row>
    <row r="26" spans="1:55" ht="15" customHeight="1" x14ac:dyDescent="0.25">
      <c r="A26" s="43" t="s">
        <v>45</v>
      </c>
      <c r="B26" s="208" t="s">
        <v>46</v>
      </c>
      <c r="C26" s="166">
        <f t="shared" si="0"/>
        <v>261.39999999999998</v>
      </c>
      <c r="D26" s="106">
        <f t="shared" si="1"/>
        <v>34100</v>
      </c>
      <c r="E26" s="190">
        <f t="shared" si="15"/>
        <v>113875.04999999999</v>
      </c>
      <c r="F26" s="127">
        <f t="shared" si="16"/>
        <v>0.22954984432498601</v>
      </c>
      <c r="G26" s="108">
        <v>0</v>
      </c>
      <c r="H26" s="108">
        <v>0</v>
      </c>
      <c r="I26" s="189">
        <v>6687.5</v>
      </c>
      <c r="J26" s="127">
        <f t="shared" si="3"/>
        <v>0</v>
      </c>
      <c r="K26" s="104">
        <f>SUM(SCA!W31)</f>
        <v>0</v>
      </c>
      <c r="L26" s="108">
        <v>1000</v>
      </c>
      <c r="M26" s="189">
        <v>5856.24</v>
      </c>
      <c r="N26" s="127">
        <f t="shared" si="4"/>
        <v>0</v>
      </c>
      <c r="O26" s="108">
        <v>0</v>
      </c>
      <c r="P26" s="108">
        <v>10000</v>
      </c>
      <c r="Q26" s="190">
        <v>13850</v>
      </c>
      <c r="R26" s="123">
        <f t="shared" si="5"/>
        <v>0</v>
      </c>
      <c r="S26" s="129">
        <v>0</v>
      </c>
      <c r="T26" s="108">
        <v>2000</v>
      </c>
      <c r="U26" s="151">
        <v>2343.75</v>
      </c>
      <c r="V26" s="127">
        <f t="shared" si="6"/>
        <v>0</v>
      </c>
      <c r="W26" s="670">
        <f>SUM(MAI!X29)</f>
        <v>0</v>
      </c>
      <c r="X26" s="108">
        <v>500</v>
      </c>
      <c r="Y26" s="151">
        <v>9687.5</v>
      </c>
      <c r="Z26" s="151">
        <v>9687.5</v>
      </c>
      <c r="AA26" s="123">
        <f t="shared" si="7"/>
        <v>0</v>
      </c>
      <c r="AB26" s="129">
        <v>261.39999999999998</v>
      </c>
      <c r="AC26" s="108">
        <v>10000</v>
      </c>
      <c r="AD26" s="189">
        <v>45000</v>
      </c>
      <c r="AE26" s="127">
        <f t="shared" si="8"/>
        <v>0.58088888888888879</v>
      </c>
      <c r="AF26" s="192">
        <f>SUM(IOC!K29)</f>
        <v>0</v>
      </c>
      <c r="AG26" s="108">
        <v>1500</v>
      </c>
      <c r="AH26" s="189">
        <v>5768.78</v>
      </c>
      <c r="AI26" s="127">
        <f>100/AH26*AF26</f>
        <v>0</v>
      </c>
      <c r="AJ26" s="192">
        <f>SUM(HIE!L29)</f>
        <v>0</v>
      </c>
      <c r="AK26" s="108">
        <v>1000</v>
      </c>
      <c r="AL26" s="189">
        <v>5312.5</v>
      </c>
      <c r="AM26" s="127">
        <f t="shared" si="10"/>
        <v>0</v>
      </c>
      <c r="AN26" s="108">
        <v>0</v>
      </c>
      <c r="AO26" s="108">
        <v>2000</v>
      </c>
      <c r="AP26" s="151">
        <v>6187.5</v>
      </c>
      <c r="AQ26" s="127">
        <f t="shared" si="11"/>
        <v>0</v>
      </c>
      <c r="AR26" s="108">
        <v>0</v>
      </c>
      <c r="AS26" s="108">
        <v>1600</v>
      </c>
      <c r="AT26" s="151">
        <v>1787.5</v>
      </c>
      <c r="AU26" s="127">
        <f t="shared" si="12"/>
        <v>0</v>
      </c>
      <c r="AV26" s="108">
        <v>0</v>
      </c>
      <c r="AW26" s="108">
        <v>2500</v>
      </c>
      <c r="AX26" s="151">
        <v>3437.5</v>
      </c>
      <c r="AY26" s="123">
        <f t="shared" si="13"/>
        <v>0</v>
      </c>
      <c r="AZ26" s="148">
        <f>'CKR	'!C25</f>
        <v>0</v>
      </c>
      <c r="BA26" s="108">
        <v>2000</v>
      </c>
      <c r="BB26" s="114">
        <v>2187.5</v>
      </c>
      <c r="BC26" s="127">
        <f t="shared" si="14"/>
        <v>0</v>
      </c>
    </row>
    <row r="27" spans="1:55" ht="15" customHeight="1" x14ac:dyDescent="0.25">
      <c r="A27" s="21" t="s">
        <v>47</v>
      </c>
      <c r="B27" s="207" t="s">
        <v>48</v>
      </c>
      <c r="C27" s="166">
        <f t="shared" si="0"/>
        <v>0</v>
      </c>
      <c r="D27" s="106">
        <f t="shared" si="1"/>
        <v>10700</v>
      </c>
      <c r="E27" s="190">
        <f t="shared" si="15"/>
        <v>70268.81</v>
      </c>
      <c r="F27" s="127">
        <f t="shared" si="16"/>
        <v>0</v>
      </c>
      <c r="G27" s="108">
        <v>0</v>
      </c>
      <c r="H27" s="108">
        <v>0</v>
      </c>
      <c r="I27" s="189">
        <v>6687.5</v>
      </c>
      <c r="J27" s="127">
        <f t="shared" si="3"/>
        <v>0</v>
      </c>
      <c r="K27" s="104">
        <f>SUM(SCA!W32)</f>
        <v>0</v>
      </c>
      <c r="L27" s="108"/>
      <c r="M27" s="189">
        <v>0</v>
      </c>
      <c r="N27" s="127" t="e">
        <f t="shared" si="4"/>
        <v>#DIV/0!</v>
      </c>
      <c r="O27" s="108">
        <v>0</v>
      </c>
      <c r="P27" s="108"/>
      <c r="Q27" s="190">
        <v>1731.25</v>
      </c>
      <c r="R27" s="123">
        <f t="shared" si="5"/>
        <v>0</v>
      </c>
      <c r="S27" s="129">
        <v>0</v>
      </c>
      <c r="T27" s="108"/>
      <c r="U27" s="151">
        <v>2343.75</v>
      </c>
      <c r="V27" s="127">
        <f t="shared" si="6"/>
        <v>0</v>
      </c>
      <c r="W27" s="670">
        <f>SUM(MAI!X30)</f>
        <v>0</v>
      </c>
      <c r="X27" s="108">
        <v>100</v>
      </c>
      <c r="Y27" s="151">
        <v>4843.75</v>
      </c>
      <c r="Z27" s="151">
        <v>4843.75</v>
      </c>
      <c r="AA27" s="123">
        <f t="shared" si="7"/>
        <v>0</v>
      </c>
      <c r="AB27" s="129">
        <v>0</v>
      </c>
      <c r="AC27" s="108">
        <v>4000</v>
      </c>
      <c r="AD27" s="189">
        <v>5625</v>
      </c>
      <c r="AE27" s="127">
        <f t="shared" si="8"/>
        <v>0</v>
      </c>
      <c r="AF27" s="192">
        <f>SUM(IOC!K30)</f>
        <v>0</v>
      </c>
      <c r="AG27" s="108">
        <v>1500</v>
      </c>
      <c r="AH27" s="189">
        <v>5768.78</v>
      </c>
      <c r="AI27" s="127">
        <f>100/AH27*AF27</f>
        <v>0</v>
      </c>
      <c r="AJ27" s="192">
        <f>SUM(HIE!L30)</f>
        <v>0</v>
      </c>
      <c r="AK27" s="108">
        <v>2600</v>
      </c>
      <c r="AL27" s="189">
        <v>31875</v>
      </c>
      <c r="AM27" s="127">
        <f t="shared" si="10"/>
        <v>0</v>
      </c>
      <c r="AN27" s="108">
        <v>0</v>
      </c>
      <c r="AO27" s="108"/>
      <c r="AP27" s="151">
        <v>0</v>
      </c>
      <c r="AQ27" s="127" t="e">
        <f t="shared" si="11"/>
        <v>#DIV/0!</v>
      </c>
      <c r="AR27" s="108">
        <v>0</v>
      </c>
      <c r="AS27" s="108"/>
      <c r="AT27" s="151">
        <v>0</v>
      </c>
      <c r="AU27" s="127" t="e">
        <f t="shared" si="12"/>
        <v>#DIV/0!</v>
      </c>
      <c r="AV27" s="108">
        <v>0</v>
      </c>
      <c r="AW27" s="108">
        <v>2500</v>
      </c>
      <c r="AX27" s="151">
        <v>3437.5</v>
      </c>
      <c r="AY27" s="123">
        <f t="shared" si="13"/>
        <v>0</v>
      </c>
      <c r="AZ27" s="148">
        <f>'CKR	'!C26</f>
        <v>0</v>
      </c>
      <c r="BA27" s="108"/>
      <c r="BB27" s="114">
        <v>2187.5</v>
      </c>
      <c r="BC27" s="127">
        <f t="shared" si="14"/>
        <v>0</v>
      </c>
    </row>
    <row r="28" spans="1:55" ht="15" customHeight="1" x14ac:dyDescent="0.25">
      <c r="A28" s="21" t="s">
        <v>186</v>
      </c>
      <c r="B28" s="207" t="s">
        <v>50</v>
      </c>
      <c r="C28" s="166">
        <f t="shared" si="0"/>
        <v>359.9074800325219</v>
      </c>
      <c r="D28" s="106">
        <f t="shared" si="1"/>
        <v>6000</v>
      </c>
      <c r="E28" s="190">
        <f t="shared" si="15"/>
        <v>114196.76</v>
      </c>
      <c r="F28" s="127">
        <f t="shared" si="16"/>
        <v>0.31516435320277209</v>
      </c>
      <c r="G28" s="108">
        <v>0</v>
      </c>
      <c r="H28" s="108">
        <v>0</v>
      </c>
      <c r="I28" s="189">
        <v>0</v>
      </c>
      <c r="J28" s="127" t="e">
        <f t="shared" si="3"/>
        <v>#DIV/0!</v>
      </c>
      <c r="K28" s="104">
        <f>SUM(SCA!W33)</f>
        <v>320.4074800325219</v>
      </c>
      <c r="L28" s="108">
        <v>6000</v>
      </c>
      <c r="M28" s="189">
        <v>114196.76</v>
      </c>
      <c r="N28" s="127">
        <f t="shared" si="4"/>
        <v>0.28057493052563132</v>
      </c>
      <c r="O28" s="108">
        <v>0</v>
      </c>
      <c r="P28" s="108">
        <v>0</v>
      </c>
      <c r="Q28" s="190">
        <v>0</v>
      </c>
      <c r="R28" s="123" t="e">
        <f t="shared" si="5"/>
        <v>#DIV/0!</v>
      </c>
      <c r="S28" s="129">
        <v>0</v>
      </c>
      <c r="T28" s="108">
        <v>0</v>
      </c>
      <c r="U28" s="151">
        <v>0</v>
      </c>
      <c r="V28" s="127" t="e">
        <f t="shared" si="6"/>
        <v>#DIV/0!</v>
      </c>
      <c r="W28" s="670">
        <f>SUM(MAI!X31)</f>
        <v>0</v>
      </c>
      <c r="X28" s="108">
        <v>0</v>
      </c>
      <c r="Y28" s="151">
        <v>0</v>
      </c>
      <c r="Z28" s="151">
        <v>0</v>
      </c>
      <c r="AA28" s="123" t="e">
        <f t="shared" si="7"/>
        <v>#DIV/0!</v>
      </c>
      <c r="AB28" s="129">
        <v>0</v>
      </c>
      <c r="AC28" s="108">
        <v>0</v>
      </c>
      <c r="AD28" s="189">
        <v>0</v>
      </c>
      <c r="AE28" s="127" t="e">
        <f t="shared" si="8"/>
        <v>#DIV/0!</v>
      </c>
      <c r="AF28" s="192">
        <f>SUM(IOC!K31)</f>
        <v>0</v>
      </c>
      <c r="AG28" s="108">
        <v>0</v>
      </c>
      <c r="AH28" s="189">
        <v>0</v>
      </c>
      <c r="AI28" s="127" t="e">
        <f t="shared" si="17"/>
        <v>#DIV/0!</v>
      </c>
      <c r="AJ28" s="192">
        <f>SUM(HIE!L31)</f>
        <v>0</v>
      </c>
      <c r="AK28" s="108">
        <v>0</v>
      </c>
      <c r="AL28" s="189">
        <v>0</v>
      </c>
      <c r="AM28" s="127" t="e">
        <f t="shared" si="10"/>
        <v>#DIV/0!</v>
      </c>
      <c r="AN28" s="108">
        <v>0</v>
      </c>
      <c r="AO28" s="108">
        <v>0</v>
      </c>
      <c r="AP28" s="151">
        <v>0</v>
      </c>
      <c r="AQ28" s="127" t="e">
        <f t="shared" si="11"/>
        <v>#DIV/0!</v>
      </c>
      <c r="AR28" s="108">
        <v>0</v>
      </c>
      <c r="AS28" s="108">
        <v>0</v>
      </c>
      <c r="AT28" s="151">
        <v>0</v>
      </c>
      <c r="AU28" s="127" t="e">
        <f t="shared" si="12"/>
        <v>#DIV/0!</v>
      </c>
      <c r="AV28" s="108">
        <v>39.5</v>
      </c>
      <c r="AW28" s="108">
        <v>0</v>
      </c>
      <c r="AX28" s="151">
        <v>0</v>
      </c>
      <c r="AY28" s="123" t="e">
        <f t="shared" si="13"/>
        <v>#DIV/0!</v>
      </c>
      <c r="AZ28" s="148">
        <f>'CKR	'!C27</f>
        <v>0</v>
      </c>
      <c r="BA28" s="108">
        <v>0</v>
      </c>
      <c r="BB28" s="114">
        <v>0</v>
      </c>
      <c r="BC28" s="127" t="e">
        <f t="shared" si="14"/>
        <v>#DIV/0!</v>
      </c>
    </row>
    <row r="29" spans="1:55" ht="15" customHeight="1" x14ac:dyDescent="0.25">
      <c r="A29" s="21" t="s">
        <v>51</v>
      </c>
      <c r="B29" s="207" t="s">
        <v>52</v>
      </c>
      <c r="C29" s="166">
        <f t="shared" si="0"/>
        <v>230.55500000000001</v>
      </c>
      <c r="D29" s="106">
        <f t="shared" si="1"/>
        <v>4000</v>
      </c>
      <c r="E29" s="190">
        <f t="shared" si="15"/>
        <v>6925</v>
      </c>
      <c r="F29" s="127">
        <f t="shared" si="16"/>
        <v>3.329314079422383</v>
      </c>
      <c r="G29" s="108">
        <v>0</v>
      </c>
      <c r="H29" s="108">
        <v>0</v>
      </c>
      <c r="I29" s="189">
        <v>0</v>
      </c>
      <c r="J29" s="127" t="e">
        <f t="shared" si="3"/>
        <v>#DIV/0!</v>
      </c>
      <c r="K29" s="104">
        <f>SUM(SCA!W34)</f>
        <v>0</v>
      </c>
      <c r="L29" s="108"/>
      <c r="M29" s="189">
        <v>0</v>
      </c>
      <c r="N29" s="127" t="e">
        <f t="shared" si="4"/>
        <v>#DIV/0!</v>
      </c>
      <c r="O29" s="108">
        <v>0</v>
      </c>
      <c r="P29" s="108">
        <v>4000</v>
      </c>
      <c r="Q29" s="190">
        <v>6925</v>
      </c>
      <c r="R29" s="123">
        <f t="shared" si="5"/>
        <v>0</v>
      </c>
      <c r="S29" s="129">
        <v>0</v>
      </c>
      <c r="T29" s="108"/>
      <c r="U29" s="151">
        <v>0</v>
      </c>
      <c r="V29" s="127" t="e">
        <f t="shared" si="6"/>
        <v>#DIV/0!</v>
      </c>
      <c r="W29" s="670">
        <f>SUM(MAI!X32)</f>
        <v>0</v>
      </c>
      <c r="X29" s="108"/>
      <c r="Y29" s="151">
        <v>0</v>
      </c>
      <c r="Z29" s="151">
        <v>0</v>
      </c>
      <c r="AA29" s="123" t="e">
        <f t="shared" si="7"/>
        <v>#DIV/0!</v>
      </c>
      <c r="AB29" s="129">
        <v>0</v>
      </c>
      <c r="AC29" s="108"/>
      <c r="AD29" s="189">
        <v>0</v>
      </c>
      <c r="AE29" s="127" t="e">
        <f t="shared" si="8"/>
        <v>#DIV/0!</v>
      </c>
      <c r="AF29" s="192">
        <f>SUM(IOC!K32)</f>
        <v>0</v>
      </c>
      <c r="AG29" s="108"/>
      <c r="AH29" s="189">
        <v>0</v>
      </c>
      <c r="AI29" s="127" t="e">
        <f t="shared" si="17"/>
        <v>#DIV/0!</v>
      </c>
      <c r="AJ29" s="192">
        <f>SUM(HIE!L32)</f>
        <v>0</v>
      </c>
      <c r="AK29" s="108"/>
      <c r="AL29" s="189">
        <v>0</v>
      </c>
      <c r="AM29" s="127" t="e">
        <f t="shared" si="10"/>
        <v>#DIV/0!</v>
      </c>
      <c r="AN29" s="108">
        <v>0</v>
      </c>
      <c r="AO29" s="108"/>
      <c r="AP29" s="151">
        <v>0</v>
      </c>
      <c r="AQ29" s="127" t="e">
        <f t="shared" si="11"/>
        <v>#DIV/0!</v>
      </c>
      <c r="AR29" s="108">
        <v>0</v>
      </c>
      <c r="AS29" s="108"/>
      <c r="AT29" s="151">
        <v>0</v>
      </c>
      <c r="AU29" s="127" t="e">
        <f t="shared" si="12"/>
        <v>#DIV/0!</v>
      </c>
      <c r="AV29" s="108">
        <v>230.55500000000001</v>
      </c>
      <c r="AW29" s="108"/>
      <c r="AX29" s="151">
        <v>0</v>
      </c>
      <c r="AY29" s="123" t="e">
        <f t="shared" si="13"/>
        <v>#DIV/0!</v>
      </c>
      <c r="AZ29" s="148">
        <f>'CKR	'!C28</f>
        <v>0</v>
      </c>
      <c r="BA29" s="108"/>
      <c r="BB29" s="114">
        <v>0</v>
      </c>
      <c r="BC29" s="127" t="e">
        <f t="shared" si="14"/>
        <v>#DIV/0!</v>
      </c>
    </row>
    <row r="30" spans="1:55" ht="15" customHeight="1" x14ac:dyDescent="0.25">
      <c r="A30" s="21" t="s">
        <v>53</v>
      </c>
      <c r="B30" s="207" t="s">
        <v>54</v>
      </c>
      <c r="C30" s="166">
        <f t="shared" si="0"/>
        <v>798.07499999999993</v>
      </c>
      <c r="D30" s="106">
        <f t="shared" si="1"/>
        <v>19800</v>
      </c>
      <c r="E30" s="190">
        <f t="shared" si="15"/>
        <v>54018.33</v>
      </c>
      <c r="F30" s="127">
        <f t="shared" si="16"/>
        <v>1.4774151662963293</v>
      </c>
      <c r="G30" s="108">
        <v>0</v>
      </c>
      <c r="H30" s="108">
        <v>0</v>
      </c>
      <c r="I30" s="189">
        <v>6687.5</v>
      </c>
      <c r="J30" s="127">
        <f t="shared" si="3"/>
        <v>0</v>
      </c>
      <c r="K30" s="104">
        <f>SUM(SCA!W35)</f>
        <v>0</v>
      </c>
      <c r="L30" s="108"/>
      <c r="M30" s="189">
        <v>0</v>
      </c>
      <c r="N30" s="127" t="e">
        <f t="shared" si="4"/>
        <v>#DIV/0!</v>
      </c>
      <c r="O30" s="108">
        <v>0</v>
      </c>
      <c r="P30" s="108">
        <v>3000</v>
      </c>
      <c r="Q30" s="190">
        <v>1731.25</v>
      </c>
      <c r="R30" s="123">
        <f t="shared" si="5"/>
        <v>0</v>
      </c>
      <c r="S30" s="129">
        <v>0</v>
      </c>
      <c r="T30" s="108">
        <v>1000</v>
      </c>
      <c r="U30" s="151">
        <v>2343.75</v>
      </c>
      <c r="V30" s="127">
        <f t="shared" si="6"/>
        <v>0</v>
      </c>
      <c r="W30" s="670">
        <f>SUM(MAI!X33)</f>
        <v>0</v>
      </c>
      <c r="X30" s="108">
        <v>1000</v>
      </c>
      <c r="Y30" s="151">
        <v>4843.75</v>
      </c>
      <c r="Z30" s="151">
        <v>4843.75</v>
      </c>
      <c r="AA30" s="123">
        <f t="shared" si="7"/>
        <v>0</v>
      </c>
      <c r="AB30" s="129">
        <v>0</v>
      </c>
      <c r="AC30" s="108">
        <v>4000</v>
      </c>
      <c r="AD30" s="189">
        <v>5625</v>
      </c>
      <c r="AE30" s="127">
        <f t="shared" si="8"/>
        <v>0</v>
      </c>
      <c r="AF30" s="192">
        <f>SUM(IOC!K33)</f>
        <v>0</v>
      </c>
      <c r="AG30" s="108">
        <v>1800</v>
      </c>
      <c r="AH30" s="189">
        <v>5768.79</v>
      </c>
      <c r="AI30" s="127">
        <f t="shared" si="17"/>
        <v>0</v>
      </c>
      <c r="AJ30" s="192">
        <f>SUM(HIE!L33)</f>
        <v>0</v>
      </c>
      <c r="AK30" s="108">
        <v>1000</v>
      </c>
      <c r="AL30" s="189">
        <v>5312</v>
      </c>
      <c r="AM30" s="127">
        <f t="shared" si="10"/>
        <v>0</v>
      </c>
      <c r="AN30" s="108">
        <v>0</v>
      </c>
      <c r="AO30" s="108"/>
      <c r="AP30" s="151">
        <v>0</v>
      </c>
      <c r="AQ30" s="127" t="e">
        <f t="shared" si="11"/>
        <v>#DIV/0!</v>
      </c>
      <c r="AR30" s="108">
        <v>0</v>
      </c>
      <c r="AS30" s="108"/>
      <c r="AT30" s="151">
        <v>0</v>
      </c>
      <c r="AU30" s="127" t="e">
        <f t="shared" si="12"/>
        <v>#DIV/0!</v>
      </c>
      <c r="AV30" s="108">
        <v>798.07499999999993</v>
      </c>
      <c r="AW30" s="108">
        <v>6000</v>
      </c>
      <c r="AX30" s="151">
        <v>13750</v>
      </c>
      <c r="AY30" s="123">
        <f t="shared" si="13"/>
        <v>5.8041818181818181</v>
      </c>
      <c r="AZ30" s="148">
        <f>'CKR	'!C29</f>
        <v>0</v>
      </c>
      <c r="BA30" s="108">
        <v>2000</v>
      </c>
      <c r="BB30" s="114">
        <v>2187.5</v>
      </c>
      <c r="BC30" s="127">
        <f t="shared" si="14"/>
        <v>0</v>
      </c>
    </row>
    <row r="31" spans="1:55" ht="15" customHeight="1" x14ac:dyDescent="0.25">
      <c r="A31" s="13" t="s">
        <v>55</v>
      </c>
      <c r="B31" s="207" t="s">
        <v>56</v>
      </c>
      <c r="C31" s="166">
        <f t="shared" si="0"/>
        <v>595.19468181818183</v>
      </c>
      <c r="D31" s="106">
        <f t="shared" si="1"/>
        <v>5000</v>
      </c>
      <c r="E31" s="190">
        <f t="shared" si="15"/>
        <v>53087.47</v>
      </c>
      <c r="F31" s="127">
        <f t="shared" si="16"/>
        <v>1.1211584990171537</v>
      </c>
      <c r="G31" s="108">
        <v>0</v>
      </c>
      <c r="H31" s="108">
        <v>0</v>
      </c>
      <c r="I31" s="189">
        <v>6687.5</v>
      </c>
      <c r="J31" s="127">
        <f t="shared" si="3"/>
        <v>0</v>
      </c>
      <c r="K31" s="104">
        <f>SUM(SCA!W36)</f>
        <v>0</v>
      </c>
      <c r="L31" s="108"/>
      <c r="M31" s="189">
        <v>11712.47</v>
      </c>
      <c r="N31" s="127">
        <f t="shared" si="4"/>
        <v>0</v>
      </c>
      <c r="O31" s="108">
        <v>0</v>
      </c>
      <c r="P31" s="108"/>
      <c r="Q31" s="190">
        <v>0</v>
      </c>
      <c r="R31" s="123" t="e">
        <f t="shared" si="5"/>
        <v>#DIV/0!</v>
      </c>
      <c r="S31" s="129">
        <v>595.19468181818183</v>
      </c>
      <c r="T31" s="108">
        <v>3000</v>
      </c>
      <c r="U31" s="151">
        <v>18750</v>
      </c>
      <c r="V31" s="127">
        <f t="shared" si="6"/>
        <v>3.1743716363636363</v>
      </c>
      <c r="W31" s="670">
        <f>SUM(MAI!X34)</f>
        <v>0</v>
      </c>
      <c r="X31" s="108"/>
      <c r="Y31" s="151">
        <v>0</v>
      </c>
      <c r="Z31" s="151">
        <v>0</v>
      </c>
      <c r="AA31" s="123" t="e">
        <f t="shared" si="7"/>
        <v>#DIV/0!</v>
      </c>
      <c r="AB31" s="129">
        <v>0</v>
      </c>
      <c r="AC31" s="108"/>
      <c r="AD31" s="189">
        <v>0</v>
      </c>
      <c r="AE31" s="127" t="e">
        <f t="shared" si="8"/>
        <v>#DIV/0!</v>
      </c>
      <c r="AF31" s="192">
        <f>SUM(IOC!K34)</f>
        <v>0</v>
      </c>
      <c r="AG31" s="108"/>
      <c r="AH31" s="189">
        <v>0</v>
      </c>
      <c r="AI31" s="127" t="e">
        <f t="shared" si="17"/>
        <v>#DIV/0!</v>
      </c>
      <c r="AJ31" s="192">
        <f>SUM(HIE!L34)</f>
        <v>0</v>
      </c>
      <c r="AK31" s="108">
        <v>2000</v>
      </c>
      <c r="AL31" s="189">
        <v>15937.5</v>
      </c>
      <c r="AM31" s="127">
        <f t="shared" si="10"/>
        <v>0</v>
      </c>
      <c r="AN31" s="108">
        <v>0</v>
      </c>
      <c r="AO31" s="108"/>
      <c r="AP31" s="151">
        <v>0</v>
      </c>
      <c r="AQ31" s="127" t="e">
        <f t="shared" si="11"/>
        <v>#DIV/0!</v>
      </c>
      <c r="AR31" s="108">
        <v>0</v>
      </c>
      <c r="AS31" s="108"/>
      <c r="AT31" s="151">
        <v>0</v>
      </c>
      <c r="AU31" s="127" t="e">
        <f t="shared" si="12"/>
        <v>#DIV/0!</v>
      </c>
      <c r="AV31" s="108">
        <v>0</v>
      </c>
      <c r="AW31" s="108"/>
      <c r="AX31" s="151">
        <v>0</v>
      </c>
      <c r="AY31" s="123" t="e">
        <f t="shared" si="13"/>
        <v>#DIV/0!</v>
      </c>
      <c r="AZ31" s="148">
        <f>'CKR	'!C30</f>
        <v>0</v>
      </c>
      <c r="BA31" s="108"/>
      <c r="BB31" s="114">
        <v>0</v>
      </c>
      <c r="BC31" s="127" t="e">
        <f t="shared" si="14"/>
        <v>#DIV/0!</v>
      </c>
    </row>
    <row r="32" spans="1:55" ht="15" customHeight="1" x14ac:dyDescent="0.25">
      <c r="A32" s="13" t="s">
        <v>57</v>
      </c>
      <c r="B32" s="207" t="s">
        <v>58</v>
      </c>
      <c r="C32" s="166">
        <f t="shared" si="0"/>
        <v>5748.0500000000011</v>
      </c>
      <c r="D32" s="106">
        <f t="shared" si="1"/>
        <v>26314.29</v>
      </c>
      <c r="E32" s="190">
        <f t="shared" si="15"/>
        <v>94600.07</v>
      </c>
      <c r="F32" s="127">
        <f t="shared" si="16"/>
        <v>6.076158294597457</v>
      </c>
      <c r="G32" s="108">
        <v>5748.0500000000011</v>
      </c>
      <c r="H32" s="108">
        <v>0</v>
      </c>
      <c r="I32" s="189">
        <v>33437.5</v>
      </c>
      <c r="J32" s="127">
        <f t="shared" si="3"/>
        <v>17.190429906542057</v>
      </c>
      <c r="K32" s="104">
        <f>SUM(SCA!W37)</f>
        <v>0</v>
      </c>
      <c r="L32" s="108"/>
      <c r="M32" s="189">
        <v>5856.24</v>
      </c>
      <c r="N32" s="127">
        <f t="shared" si="4"/>
        <v>0</v>
      </c>
      <c r="O32" s="108">
        <v>0</v>
      </c>
      <c r="P32" s="108">
        <v>4000</v>
      </c>
      <c r="Q32" s="190">
        <v>1731.25</v>
      </c>
      <c r="R32" s="123">
        <f t="shared" si="5"/>
        <v>0</v>
      </c>
      <c r="S32" s="129">
        <v>0</v>
      </c>
      <c r="T32" s="108">
        <v>600</v>
      </c>
      <c r="U32" s="151">
        <v>2343.75</v>
      </c>
      <c r="V32" s="127">
        <f t="shared" si="6"/>
        <v>0</v>
      </c>
      <c r="W32" s="670">
        <f>SUM(MAI!X35)</f>
        <v>0</v>
      </c>
      <c r="X32" s="108">
        <v>1000</v>
      </c>
      <c r="Y32" s="151">
        <v>4843.75</v>
      </c>
      <c r="Z32" s="151">
        <v>4843.75</v>
      </c>
      <c r="AA32" s="123">
        <f t="shared" si="7"/>
        <v>0</v>
      </c>
      <c r="AB32" s="129">
        <v>0</v>
      </c>
      <c r="AC32" s="108">
        <v>5714.29</v>
      </c>
      <c r="AD32" s="189">
        <v>5625</v>
      </c>
      <c r="AE32" s="127">
        <f t="shared" si="8"/>
        <v>0</v>
      </c>
      <c r="AF32" s="192">
        <f>SUM(IOC!K35)</f>
        <v>0</v>
      </c>
      <c r="AG32" s="108">
        <v>800</v>
      </c>
      <c r="AH32" s="189">
        <v>5768.79</v>
      </c>
      <c r="AI32" s="127">
        <f t="shared" si="17"/>
        <v>0</v>
      </c>
      <c r="AJ32" s="192">
        <f>SUM(HIE!L35)</f>
        <v>0</v>
      </c>
      <c r="AK32" s="108">
        <v>1000</v>
      </c>
      <c r="AL32" s="189">
        <v>5312.5</v>
      </c>
      <c r="AM32" s="127">
        <f t="shared" si="10"/>
        <v>0</v>
      </c>
      <c r="AN32" s="108">
        <v>0</v>
      </c>
      <c r="AO32" s="108">
        <v>2000</v>
      </c>
      <c r="AP32" s="151">
        <v>6187.5</v>
      </c>
      <c r="AQ32" s="127">
        <f t="shared" si="11"/>
        <v>0</v>
      </c>
      <c r="AR32" s="108">
        <v>0</v>
      </c>
      <c r="AS32" s="108">
        <v>1000</v>
      </c>
      <c r="AT32" s="151">
        <v>1787.5</v>
      </c>
      <c r="AU32" s="127">
        <f t="shared" si="12"/>
        <v>0</v>
      </c>
      <c r="AV32" s="108">
        <v>0</v>
      </c>
      <c r="AW32" s="108">
        <v>7600</v>
      </c>
      <c r="AX32" s="151">
        <v>13750</v>
      </c>
      <c r="AY32" s="123">
        <f t="shared" si="13"/>
        <v>0</v>
      </c>
      <c r="AZ32" s="148">
        <f>'CKR	'!C31</f>
        <v>0</v>
      </c>
      <c r="BA32" s="108">
        <v>2600</v>
      </c>
      <c r="BB32" s="114">
        <v>2187.5</v>
      </c>
      <c r="BC32" s="127">
        <f t="shared" si="14"/>
        <v>0</v>
      </c>
    </row>
    <row r="33" spans="1:55" ht="15" customHeight="1" x14ac:dyDescent="0.25">
      <c r="A33" s="9" t="s">
        <v>59</v>
      </c>
      <c r="B33" s="206" t="s">
        <v>60</v>
      </c>
      <c r="C33" s="121">
        <f t="shared" si="0"/>
        <v>42546.324297708605</v>
      </c>
      <c r="D33" s="104">
        <f t="shared" si="1"/>
        <v>0</v>
      </c>
      <c r="E33" s="116">
        <f t="shared" si="15"/>
        <v>148095.22999999998</v>
      </c>
      <c r="F33" s="126">
        <f t="shared" si="16"/>
        <v>28.729030838946404</v>
      </c>
      <c r="G33" s="109">
        <v>4189.7312500000007</v>
      </c>
      <c r="H33" s="109">
        <f>SUM(H34:H36)</f>
        <v>0</v>
      </c>
      <c r="I33" s="116">
        <f>SUM(I34:I36)</f>
        <v>10331.25</v>
      </c>
      <c r="J33" s="126">
        <f t="shared" si="3"/>
        <v>40.553962492438004</v>
      </c>
      <c r="K33" s="104">
        <f>SUM(SCA!W38)</f>
        <v>33402.479793390412</v>
      </c>
      <c r="L33" s="109">
        <f>SUM(L34:L36)</f>
        <v>0</v>
      </c>
      <c r="M33" s="116">
        <f>SUM(M34:M36)</f>
        <v>70274.73</v>
      </c>
      <c r="N33" s="126">
        <f t="shared" si="4"/>
        <v>47.531281576450617</v>
      </c>
      <c r="O33" s="109">
        <v>87.15</v>
      </c>
      <c r="P33" s="109">
        <f>SUM(P34:P36)</f>
        <v>0</v>
      </c>
      <c r="Q33" s="116">
        <f>SUM(Q34:Q36)</f>
        <v>2596.86</v>
      </c>
      <c r="R33" s="122">
        <f t="shared" si="5"/>
        <v>3.3559760633996443</v>
      </c>
      <c r="S33" s="130">
        <v>700.09010681818199</v>
      </c>
      <c r="T33" s="109">
        <f>SUM(T34:T36)</f>
        <v>0</v>
      </c>
      <c r="U33" s="152">
        <f>SUM(U34:U36)</f>
        <v>3515.6400000000003</v>
      </c>
      <c r="V33" s="126">
        <f t="shared" si="6"/>
        <v>19.913589184847766</v>
      </c>
      <c r="W33" s="155">
        <f>SUM(MAI!X36)</f>
        <v>0</v>
      </c>
      <c r="X33" s="109">
        <f>SUM(X34:X36)</f>
        <v>0</v>
      </c>
      <c r="Y33" s="152">
        <f>SUM(Y34:Y36)</f>
        <v>7265.64</v>
      </c>
      <c r="Z33" s="152">
        <f>SUM(Z34:Z36)</f>
        <v>7265.64</v>
      </c>
      <c r="AA33" s="122">
        <f t="shared" si="7"/>
        <v>0</v>
      </c>
      <c r="AB33" s="130">
        <v>0</v>
      </c>
      <c r="AC33" s="109">
        <f>SUM(AC34:AC36)</f>
        <v>0</v>
      </c>
      <c r="AD33" s="116">
        <f>SUM(AD34:AD36)</f>
        <v>8436</v>
      </c>
      <c r="AE33" s="126">
        <f t="shared" si="8"/>
        <v>0</v>
      </c>
      <c r="AF33" s="155">
        <f>SUM(IOC!K36)</f>
        <v>359.5625</v>
      </c>
      <c r="AG33" s="109">
        <f>SUM(AG34:AG36)</f>
        <v>0</v>
      </c>
      <c r="AH33" s="116">
        <f>SUM(AH34:AH36)</f>
        <v>8653.18</v>
      </c>
      <c r="AI33" s="126">
        <f t="shared" si="17"/>
        <v>4.1552643074569113</v>
      </c>
      <c r="AJ33" s="155">
        <f>SUM(HIE!L36)</f>
        <v>0</v>
      </c>
      <c r="AK33" s="109">
        <f>SUM(AK34:AK36)</f>
        <v>0</v>
      </c>
      <c r="AL33" s="116">
        <f>SUM(AL34:AL36)</f>
        <v>7968.75</v>
      </c>
      <c r="AM33" s="126">
        <f t="shared" si="10"/>
        <v>0</v>
      </c>
      <c r="AN33" s="109">
        <v>0</v>
      </c>
      <c r="AO33" s="109">
        <f>SUM(AO34:AO36)</f>
        <v>0</v>
      </c>
      <c r="AP33" s="152">
        <f>SUM(AP34:AP36)</f>
        <v>9281.25</v>
      </c>
      <c r="AQ33" s="126">
        <f t="shared" si="11"/>
        <v>0</v>
      </c>
      <c r="AR33" s="109">
        <v>1742.0700000000002</v>
      </c>
      <c r="AS33" s="109">
        <f>SUM(AS34:AS36)</f>
        <v>0</v>
      </c>
      <c r="AT33" s="152">
        <f>SUM(AT34:AT36)</f>
        <v>2681.25</v>
      </c>
      <c r="AU33" s="126">
        <f t="shared" si="12"/>
        <v>64.972307692307695</v>
      </c>
      <c r="AV33" s="109">
        <v>1627</v>
      </c>
      <c r="AW33" s="109">
        <f>SUM(AW34:AW36)</f>
        <v>0</v>
      </c>
      <c r="AX33" s="152">
        <f>SUM(AX34:AX36)</f>
        <v>5156.25</v>
      </c>
      <c r="AY33" s="122">
        <f t="shared" si="13"/>
        <v>31.553939393939395</v>
      </c>
      <c r="AZ33" s="125">
        <f>'CKR	'!C32</f>
        <v>438.24064750000002</v>
      </c>
      <c r="BA33" s="109">
        <f>SUM(BA34:BA36)</f>
        <v>0</v>
      </c>
      <c r="BB33" s="116">
        <f>SUM(BB34:BB36)</f>
        <v>3281.25</v>
      </c>
      <c r="BC33" s="126">
        <f t="shared" si="14"/>
        <v>13.355905447619048</v>
      </c>
    </row>
    <row r="34" spans="1:55" ht="15" customHeight="1" x14ac:dyDescent="0.25">
      <c r="A34" s="13" t="s">
        <v>61</v>
      </c>
      <c r="B34" s="207" t="s">
        <v>62</v>
      </c>
      <c r="C34" s="166">
        <f t="shared" si="0"/>
        <v>40961.187400208597</v>
      </c>
      <c r="D34" s="106">
        <f t="shared" si="1"/>
        <v>0</v>
      </c>
      <c r="E34" s="190">
        <f t="shared" si="15"/>
        <v>55221.349999999991</v>
      </c>
      <c r="F34" s="127">
        <f t="shared" si="16"/>
        <v>74.176360049525414</v>
      </c>
      <c r="G34" s="108">
        <v>2874.0250000000005</v>
      </c>
      <c r="H34" s="108"/>
      <c r="I34" s="189">
        <v>3443.75</v>
      </c>
      <c r="J34" s="127">
        <f t="shared" si="3"/>
        <v>83.456261343012713</v>
      </c>
      <c r="K34" s="104">
        <f>SUM(SCA!W39)</f>
        <v>33402.479793390412</v>
      </c>
      <c r="L34" s="108"/>
      <c r="M34" s="189">
        <v>29281.19</v>
      </c>
      <c r="N34" s="127">
        <f t="shared" si="4"/>
        <v>114.07487125144303</v>
      </c>
      <c r="O34" s="108">
        <v>69.72</v>
      </c>
      <c r="P34" s="108"/>
      <c r="Q34" s="190">
        <v>865.62</v>
      </c>
      <c r="R34" s="123">
        <f t="shared" si="5"/>
        <v>8.0543425521591452</v>
      </c>
      <c r="S34" s="129">
        <v>700.09010681818199</v>
      </c>
      <c r="T34" s="108"/>
      <c r="U34" s="151">
        <v>1171.8800000000001</v>
      </c>
      <c r="V34" s="127">
        <f t="shared" si="6"/>
        <v>59.740767554543289</v>
      </c>
      <c r="W34" s="670">
        <f>SUM(MAI!X37)</f>
        <v>0</v>
      </c>
      <c r="X34" s="108"/>
      <c r="Y34" s="151">
        <v>2421.88</v>
      </c>
      <c r="Z34" s="151">
        <v>2421.88</v>
      </c>
      <c r="AA34" s="123">
        <f t="shared" si="7"/>
        <v>0</v>
      </c>
      <c r="AB34" s="129">
        <v>0</v>
      </c>
      <c r="AC34" s="108"/>
      <c r="AD34" s="189">
        <v>2812</v>
      </c>
      <c r="AE34" s="127">
        <f t="shared" si="8"/>
        <v>0</v>
      </c>
      <c r="AF34" s="192">
        <f>SUM(IOC!K37)</f>
        <v>359.5625</v>
      </c>
      <c r="AG34" s="108"/>
      <c r="AH34" s="189">
        <v>2884.39</v>
      </c>
      <c r="AI34" s="127">
        <f t="shared" si="17"/>
        <v>12.465807328412595</v>
      </c>
      <c r="AJ34" s="192">
        <f>SUM(HIE!L37)</f>
        <v>0</v>
      </c>
      <c r="AK34" s="108"/>
      <c r="AL34" s="189">
        <v>2656.25</v>
      </c>
      <c r="AM34" s="127">
        <f t="shared" si="10"/>
        <v>0</v>
      </c>
      <c r="AN34" s="108">
        <v>0</v>
      </c>
      <c r="AO34" s="108"/>
      <c r="AP34" s="151">
        <v>3093.75</v>
      </c>
      <c r="AQ34" s="127">
        <f t="shared" si="11"/>
        <v>0</v>
      </c>
      <c r="AR34" s="108">
        <v>1742.0700000000002</v>
      </c>
      <c r="AS34" s="108"/>
      <c r="AT34" s="151">
        <v>893.75</v>
      </c>
      <c r="AU34" s="127">
        <f t="shared" si="12"/>
        <v>194.9169230769231</v>
      </c>
      <c r="AV34" s="108">
        <v>1375</v>
      </c>
      <c r="AW34" s="108"/>
      <c r="AX34" s="151">
        <v>1718.75</v>
      </c>
      <c r="AY34" s="123">
        <f t="shared" si="13"/>
        <v>80</v>
      </c>
      <c r="AZ34" s="148">
        <f>'CKR	'!C33</f>
        <v>438.24</v>
      </c>
      <c r="BA34" s="108"/>
      <c r="BB34" s="114">
        <v>1093.75</v>
      </c>
      <c r="BC34" s="127">
        <f t="shared" si="14"/>
        <v>40.067657142857144</v>
      </c>
    </row>
    <row r="35" spans="1:55" ht="15" customHeight="1" x14ac:dyDescent="0.25">
      <c r="A35" s="13" t="s">
        <v>63</v>
      </c>
      <c r="B35" s="207" t="s">
        <v>64</v>
      </c>
      <c r="C35" s="166">
        <f t="shared" si="0"/>
        <v>771.5</v>
      </c>
      <c r="D35" s="106">
        <f t="shared" si="1"/>
        <v>0</v>
      </c>
      <c r="E35" s="190">
        <f t="shared" si="15"/>
        <v>55221.349999999991</v>
      </c>
      <c r="F35" s="127">
        <f t="shared" si="16"/>
        <v>1.3971045619131008</v>
      </c>
      <c r="G35" s="108">
        <v>746.5</v>
      </c>
      <c r="H35" s="108"/>
      <c r="I35" s="189">
        <v>3443.75</v>
      </c>
      <c r="J35" s="127">
        <f t="shared" si="3"/>
        <v>21.676950998185117</v>
      </c>
      <c r="K35" s="104">
        <f>SUM(SCA!W40)</f>
        <v>0</v>
      </c>
      <c r="L35" s="108"/>
      <c r="M35" s="189">
        <v>29281.19</v>
      </c>
      <c r="N35" s="127">
        <f t="shared" si="4"/>
        <v>0</v>
      </c>
      <c r="O35" s="108">
        <v>0</v>
      </c>
      <c r="P35" s="108"/>
      <c r="Q35" s="190">
        <v>865.62</v>
      </c>
      <c r="R35" s="123">
        <f t="shared" si="5"/>
        <v>0</v>
      </c>
      <c r="S35" s="129">
        <v>0</v>
      </c>
      <c r="T35" s="108"/>
      <c r="U35" s="151">
        <v>1171.8800000000001</v>
      </c>
      <c r="V35" s="127">
        <f t="shared" si="6"/>
        <v>0</v>
      </c>
      <c r="W35" s="670">
        <f>SUM(MAI!X38)</f>
        <v>0</v>
      </c>
      <c r="X35" s="108"/>
      <c r="Y35" s="151">
        <v>2421.88</v>
      </c>
      <c r="Z35" s="151">
        <v>2421.88</v>
      </c>
      <c r="AA35" s="123">
        <f t="shared" si="7"/>
        <v>0</v>
      </c>
      <c r="AB35" s="129">
        <v>0</v>
      </c>
      <c r="AC35" s="108"/>
      <c r="AD35" s="189">
        <v>2812</v>
      </c>
      <c r="AE35" s="127">
        <f t="shared" si="8"/>
        <v>0</v>
      </c>
      <c r="AF35" s="192">
        <f>SUM(IOC!K38)</f>
        <v>0</v>
      </c>
      <c r="AG35" s="108"/>
      <c r="AH35" s="189">
        <v>2884.39</v>
      </c>
      <c r="AI35" s="127">
        <f t="shared" si="17"/>
        <v>0</v>
      </c>
      <c r="AJ35" s="192">
        <f>SUM(HIE!L38)</f>
        <v>0</v>
      </c>
      <c r="AK35" s="108"/>
      <c r="AL35" s="189">
        <v>2656.25</v>
      </c>
      <c r="AM35" s="127">
        <f t="shared" si="10"/>
        <v>0</v>
      </c>
      <c r="AN35" s="108">
        <v>0</v>
      </c>
      <c r="AO35" s="108"/>
      <c r="AP35" s="151">
        <v>3093.75</v>
      </c>
      <c r="AQ35" s="127">
        <f t="shared" si="11"/>
        <v>0</v>
      </c>
      <c r="AR35" s="108">
        <v>0</v>
      </c>
      <c r="AS35" s="108"/>
      <c r="AT35" s="151">
        <v>893.75</v>
      </c>
      <c r="AU35" s="127">
        <f t="shared" si="12"/>
        <v>0</v>
      </c>
      <c r="AV35" s="108">
        <v>25</v>
      </c>
      <c r="AW35" s="108"/>
      <c r="AX35" s="151">
        <v>1718.75</v>
      </c>
      <c r="AY35" s="123">
        <f t="shared" si="13"/>
        <v>1.4545454545454546</v>
      </c>
      <c r="AZ35" s="148">
        <f>'CKR	'!C34</f>
        <v>0</v>
      </c>
      <c r="BA35" s="108"/>
      <c r="BB35" s="114">
        <v>1093.75</v>
      </c>
      <c r="BC35" s="127">
        <f t="shared" si="14"/>
        <v>0</v>
      </c>
    </row>
    <row r="36" spans="1:55" ht="15" customHeight="1" x14ac:dyDescent="0.25">
      <c r="A36" s="13" t="s">
        <v>65</v>
      </c>
      <c r="B36" s="207" t="s">
        <v>66</v>
      </c>
      <c r="C36" s="166">
        <f t="shared" si="0"/>
        <v>796.20624999999995</v>
      </c>
      <c r="D36" s="106">
        <f t="shared" si="1"/>
        <v>0</v>
      </c>
      <c r="E36" s="190">
        <f t="shared" si="15"/>
        <v>37652.530000000006</v>
      </c>
      <c r="F36" s="127">
        <f t="shared" si="16"/>
        <v>2.1146155384512006</v>
      </c>
      <c r="G36" s="108">
        <v>569.20624999999995</v>
      </c>
      <c r="H36" s="108"/>
      <c r="I36" s="189">
        <v>3443.75</v>
      </c>
      <c r="J36" s="127">
        <f t="shared" si="3"/>
        <v>16.528675136116149</v>
      </c>
      <c r="K36" s="104">
        <f>SUM(SCA!W41)</f>
        <v>0</v>
      </c>
      <c r="L36" s="108"/>
      <c r="M36" s="189">
        <v>11712.35</v>
      </c>
      <c r="N36" s="127">
        <f t="shared" si="4"/>
        <v>0</v>
      </c>
      <c r="O36" s="108">
        <v>0</v>
      </c>
      <c r="P36" s="108"/>
      <c r="Q36" s="190">
        <v>865.62</v>
      </c>
      <c r="R36" s="123">
        <f t="shared" si="5"/>
        <v>0</v>
      </c>
      <c r="S36" s="129">
        <v>0</v>
      </c>
      <c r="T36" s="108"/>
      <c r="U36" s="151">
        <v>1171.8800000000001</v>
      </c>
      <c r="V36" s="127">
        <f t="shared" si="6"/>
        <v>0</v>
      </c>
      <c r="W36" s="670">
        <f>SUM(MAI!X39)</f>
        <v>0</v>
      </c>
      <c r="X36" s="108"/>
      <c r="Y36" s="151">
        <v>2421.88</v>
      </c>
      <c r="Z36" s="151">
        <v>2421.88</v>
      </c>
      <c r="AA36" s="123">
        <f t="shared" si="7"/>
        <v>0</v>
      </c>
      <c r="AB36" s="129">
        <v>0</v>
      </c>
      <c r="AC36" s="108"/>
      <c r="AD36" s="189">
        <v>2812</v>
      </c>
      <c r="AE36" s="127">
        <f t="shared" si="8"/>
        <v>0</v>
      </c>
      <c r="AF36" s="192">
        <f>SUM(IOC!K39)</f>
        <v>0</v>
      </c>
      <c r="AG36" s="108"/>
      <c r="AH36" s="189">
        <v>2884.4</v>
      </c>
      <c r="AI36" s="127">
        <f t="shared" si="17"/>
        <v>0</v>
      </c>
      <c r="AJ36" s="192">
        <f>SUM(HIE!L39)</f>
        <v>0</v>
      </c>
      <c r="AK36" s="108"/>
      <c r="AL36" s="189">
        <v>2656.25</v>
      </c>
      <c r="AM36" s="127">
        <f t="shared" si="10"/>
        <v>0</v>
      </c>
      <c r="AN36" s="108">
        <v>0</v>
      </c>
      <c r="AO36" s="108"/>
      <c r="AP36" s="151">
        <v>3093.75</v>
      </c>
      <c r="AQ36" s="127">
        <f t="shared" si="11"/>
        <v>0</v>
      </c>
      <c r="AR36" s="108">
        <v>0</v>
      </c>
      <c r="AS36" s="108"/>
      <c r="AT36" s="151">
        <v>893.75</v>
      </c>
      <c r="AU36" s="127">
        <f t="shared" si="12"/>
        <v>0</v>
      </c>
      <c r="AV36" s="108">
        <v>227</v>
      </c>
      <c r="AW36" s="108"/>
      <c r="AX36" s="151">
        <v>1718.75</v>
      </c>
      <c r="AY36" s="123">
        <f t="shared" si="13"/>
        <v>13.207272727272727</v>
      </c>
      <c r="AZ36" s="148">
        <f>'CKR	'!C35</f>
        <v>0</v>
      </c>
      <c r="BA36" s="108"/>
      <c r="BB36" s="114">
        <v>1093.75</v>
      </c>
      <c r="BC36" s="127">
        <f t="shared" si="14"/>
        <v>0</v>
      </c>
    </row>
    <row r="37" spans="1:55" ht="15" customHeight="1" x14ac:dyDescent="0.25">
      <c r="A37" s="9" t="s">
        <v>67</v>
      </c>
      <c r="B37" s="206" t="s">
        <v>68</v>
      </c>
      <c r="C37" s="121">
        <f t="shared" si="0"/>
        <v>56406.840370897713</v>
      </c>
      <c r="D37" s="104">
        <f t="shared" si="1"/>
        <v>0</v>
      </c>
      <c r="E37" s="116">
        <f t="shared" si="15"/>
        <v>231218.95</v>
      </c>
      <c r="F37" s="126">
        <f t="shared" si="16"/>
        <v>24.395422767423565</v>
      </c>
      <c r="G37" s="109">
        <v>8425.1856250000001</v>
      </c>
      <c r="H37" s="109">
        <f>SUM(H38:H40)</f>
        <v>0</v>
      </c>
      <c r="I37" s="116">
        <f>SUM(I38:I40)</f>
        <v>26750</v>
      </c>
      <c r="J37" s="126">
        <f t="shared" si="3"/>
        <v>31.496021028037386</v>
      </c>
      <c r="K37" s="104">
        <f>SUM(SCA!W42)</f>
        <v>5847.4365105935249</v>
      </c>
      <c r="L37" s="109">
        <f>SUM(L38:L40)</f>
        <v>0</v>
      </c>
      <c r="M37" s="116">
        <f>SUM(M38:M40)</f>
        <v>11712.44</v>
      </c>
      <c r="N37" s="126">
        <f t="shared" si="4"/>
        <v>49.925007176929192</v>
      </c>
      <c r="O37" s="109">
        <v>25103.862499999999</v>
      </c>
      <c r="P37" s="109">
        <f>SUM(P38:P40)</f>
        <v>0</v>
      </c>
      <c r="Q37" s="116">
        <f>SUM(Q38:Q40)</f>
        <v>25968.75</v>
      </c>
      <c r="R37" s="122">
        <f t="shared" si="5"/>
        <v>96.669506618531884</v>
      </c>
      <c r="S37" s="130">
        <v>3337.7578636363628</v>
      </c>
      <c r="T37" s="109">
        <f>SUM(T38:T40)</f>
        <v>0</v>
      </c>
      <c r="U37" s="152">
        <f>SUM(U38:U40)</f>
        <v>9375</v>
      </c>
      <c r="V37" s="126">
        <f t="shared" si="6"/>
        <v>35.602750545454533</v>
      </c>
      <c r="W37" s="155">
        <f>SUM(MAI!X40)</f>
        <v>4596</v>
      </c>
      <c r="X37" s="109">
        <f>SUM(X38:X40)</f>
        <v>0</v>
      </c>
      <c r="Y37" s="152">
        <f>SUM(Y38:Y40)</f>
        <v>29062.5</v>
      </c>
      <c r="Z37" s="152">
        <f>SUM(Z38:Z40)</f>
        <v>29062.5</v>
      </c>
      <c r="AA37" s="122">
        <f t="shared" si="7"/>
        <v>15.814193548387097</v>
      </c>
      <c r="AB37" s="130">
        <v>408.4375</v>
      </c>
      <c r="AC37" s="109">
        <f>SUM(AC38:AC40)</f>
        <v>0</v>
      </c>
      <c r="AD37" s="116">
        <f>SUM(AD38:AD40)</f>
        <v>22500</v>
      </c>
      <c r="AE37" s="126">
        <f t="shared" si="8"/>
        <v>1.8152777777777778</v>
      </c>
      <c r="AF37" s="155">
        <f>SUM(IOC!K40)</f>
        <v>4821.40625</v>
      </c>
      <c r="AG37" s="109">
        <f>SUM(AG38:AG40)</f>
        <v>0</v>
      </c>
      <c r="AH37" s="116">
        <f>SUM(AH38:AH40)</f>
        <v>23075.13</v>
      </c>
      <c r="AI37" s="126">
        <f t="shared" si="17"/>
        <v>20.894383910296497</v>
      </c>
      <c r="AJ37" s="155">
        <f>SUM(HIE!L40)</f>
        <v>2261.1825389178325</v>
      </c>
      <c r="AK37" s="109">
        <f>SUM(AK38:AK40)</f>
        <v>0</v>
      </c>
      <c r="AL37" s="116">
        <f>SUM(AL38:AL40)</f>
        <v>21250</v>
      </c>
      <c r="AM37" s="126">
        <f t="shared" si="10"/>
        <v>10.640859006672152</v>
      </c>
      <c r="AN37" s="109">
        <v>0</v>
      </c>
      <c r="AO37" s="109">
        <f>SUM(AO38:AO40)</f>
        <v>0</v>
      </c>
      <c r="AP37" s="152">
        <f>SUM(AP38:AP40)</f>
        <v>12375</v>
      </c>
      <c r="AQ37" s="126">
        <f t="shared" si="11"/>
        <v>0</v>
      </c>
      <c r="AR37" s="109">
        <v>590.42999999999995</v>
      </c>
      <c r="AS37" s="109">
        <f>SUM(AS38:AS40)</f>
        <v>0</v>
      </c>
      <c r="AT37" s="152">
        <f>SUM(AT38:AT40)</f>
        <v>3575</v>
      </c>
      <c r="AU37" s="126">
        <f t="shared" si="12"/>
        <v>16.515524475524472</v>
      </c>
      <c r="AV37" s="109">
        <v>620.72499999999991</v>
      </c>
      <c r="AW37" s="109">
        <f>SUM(AW38:AW40)</f>
        <v>0</v>
      </c>
      <c r="AX37" s="152">
        <f>SUM(AX38:AX40)</f>
        <v>13750</v>
      </c>
      <c r="AY37" s="122">
        <f t="shared" si="13"/>
        <v>4.5143636363636359</v>
      </c>
      <c r="AZ37" s="125">
        <f>'CKR	'!C36</f>
        <v>394.41658275000003</v>
      </c>
      <c r="BA37" s="109">
        <f>SUM(BA38:BA40)</f>
        <v>0</v>
      </c>
      <c r="BB37" s="116">
        <f>SUM(BB38:BB40)</f>
        <v>8750</v>
      </c>
      <c r="BC37" s="126">
        <f t="shared" si="14"/>
        <v>4.5076180885714292</v>
      </c>
    </row>
    <row r="38" spans="1:55" ht="15" customHeight="1" x14ac:dyDescent="0.25">
      <c r="A38" s="13" t="s">
        <v>69</v>
      </c>
      <c r="B38" s="207" t="s">
        <v>70</v>
      </c>
      <c r="C38" s="166">
        <f t="shared" si="0"/>
        <v>39381.405002314139</v>
      </c>
      <c r="D38" s="106">
        <f t="shared" si="1"/>
        <v>0</v>
      </c>
      <c r="E38" s="190">
        <f t="shared" si="15"/>
        <v>55825.06</v>
      </c>
      <c r="F38" s="127">
        <f t="shared" si="16"/>
        <v>70.544312898748586</v>
      </c>
      <c r="G38" s="108">
        <v>6531.875</v>
      </c>
      <c r="H38" s="108"/>
      <c r="I38" s="189">
        <v>6687.5</v>
      </c>
      <c r="J38" s="127">
        <f t="shared" si="3"/>
        <v>97.672897196261687</v>
      </c>
      <c r="K38" s="104">
        <f>SUM(SCA!W43)</f>
        <v>4886.2140704959593</v>
      </c>
      <c r="L38" s="108"/>
      <c r="M38" s="189">
        <v>0</v>
      </c>
      <c r="N38" s="127" t="e">
        <f t="shared" si="4"/>
        <v>#DIV/0!</v>
      </c>
      <c r="O38" s="108">
        <v>16847.5</v>
      </c>
      <c r="P38" s="108"/>
      <c r="Q38" s="190">
        <v>13850</v>
      </c>
      <c r="R38" s="123">
        <f t="shared" si="5"/>
        <v>121.64259927797835</v>
      </c>
      <c r="S38" s="129">
        <v>459.24468181818185</v>
      </c>
      <c r="T38" s="108"/>
      <c r="U38" s="151">
        <v>2343.75</v>
      </c>
      <c r="V38" s="127">
        <f t="shared" si="6"/>
        <v>19.59443975757576</v>
      </c>
      <c r="W38" s="670">
        <f>SUM(MAI!X41)</f>
        <v>4596</v>
      </c>
      <c r="X38" s="108"/>
      <c r="Y38" s="151">
        <v>4843.75</v>
      </c>
      <c r="Z38" s="151">
        <v>4843.75</v>
      </c>
      <c r="AA38" s="123">
        <f t="shared" si="7"/>
        <v>94.885161290322586</v>
      </c>
      <c r="AB38" s="129">
        <v>326.75</v>
      </c>
      <c r="AC38" s="108"/>
      <c r="AD38" s="189">
        <v>5625</v>
      </c>
      <c r="AE38" s="127">
        <f t="shared" si="8"/>
        <v>5.8088888888888892</v>
      </c>
      <c r="AF38" s="192">
        <f>SUM(IOC!K41)</f>
        <v>4821.40625</v>
      </c>
      <c r="AG38" s="108"/>
      <c r="AH38" s="189">
        <v>5768.78</v>
      </c>
      <c r="AI38" s="127">
        <f t="shared" si="17"/>
        <v>83.577571860948083</v>
      </c>
      <c r="AJ38" s="192">
        <f>SUM(HIE!L41)</f>
        <v>0</v>
      </c>
      <c r="AK38" s="108"/>
      <c r="AL38" s="189">
        <v>5312.5</v>
      </c>
      <c r="AM38" s="127">
        <f t="shared" si="10"/>
        <v>0</v>
      </c>
      <c r="AN38" s="108">
        <v>0</v>
      </c>
      <c r="AO38" s="108"/>
      <c r="AP38" s="151">
        <f>SUM(BAL!AF33*BAL!$AH$1)</f>
        <v>0</v>
      </c>
      <c r="AQ38" s="127" t="e">
        <f t="shared" si="11"/>
        <v>#DIV/0!</v>
      </c>
      <c r="AR38" s="108">
        <v>0</v>
      </c>
      <c r="AS38" s="108"/>
      <c r="AT38" s="151">
        <v>0</v>
      </c>
      <c r="AU38" s="127" t="e">
        <f t="shared" si="12"/>
        <v>#DIV/0!</v>
      </c>
      <c r="AV38" s="108">
        <v>514.31499999999994</v>
      </c>
      <c r="AW38" s="108"/>
      <c r="AX38" s="151">
        <v>3437.5</v>
      </c>
      <c r="AY38" s="123">
        <f t="shared" si="13"/>
        <v>14.961890909090908</v>
      </c>
      <c r="AZ38" s="148">
        <f>'CKR	'!C37</f>
        <v>398.1</v>
      </c>
      <c r="BA38" s="108"/>
      <c r="BB38" s="114">
        <v>2187.5</v>
      </c>
      <c r="BC38" s="127">
        <f t="shared" si="14"/>
        <v>18.198857142857143</v>
      </c>
    </row>
    <row r="39" spans="1:55" ht="15" customHeight="1" x14ac:dyDescent="0.25">
      <c r="A39" s="13" t="s">
        <v>71</v>
      </c>
      <c r="B39" s="207" t="s">
        <v>72</v>
      </c>
      <c r="C39" s="166">
        <f t="shared" si="0"/>
        <v>10860.063160833579</v>
      </c>
      <c r="D39" s="106">
        <f t="shared" si="1"/>
        <v>0</v>
      </c>
      <c r="E39" s="190">
        <f t="shared" si="15"/>
        <v>108168.84</v>
      </c>
      <c r="F39" s="127">
        <f t="shared" si="16"/>
        <v>10.039918298868304</v>
      </c>
      <c r="G39" s="108">
        <v>933.125</v>
      </c>
      <c r="H39" s="108"/>
      <c r="I39" s="189">
        <v>13375</v>
      </c>
      <c r="J39" s="127">
        <f t="shared" si="3"/>
        <v>6.9766355140186915</v>
      </c>
      <c r="K39" s="104">
        <f>SUM(SCA!W44)</f>
        <v>961.22244009756571</v>
      </c>
      <c r="L39" s="108"/>
      <c r="M39" s="189">
        <v>5856.22</v>
      </c>
      <c r="N39" s="127">
        <f t="shared" si="4"/>
        <v>16.413700989675348</v>
      </c>
      <c r="O39" s="108">
        <v>3235.59</v>
      </c>
      <c r="P39" s="108"/>
      <c r="Q39" s="190">
        <v>10387.5</v>
      </c>
      <c r="R39" s="123">
        <f t="shared" si="5"/>
        <v>31.148880866425994</v>
      </c>
      <c r="S39" s="129">
        <v>2878.5131818181808</v>
      </c>
      <c r="T39" s="108"/>
      <c r="U39" s="151">
        <v>4687.5</v>
      </c>
      <c r="V39" s="127">
        <f t="shared" si="6"/>
        <v>61.408281212121189</v>
      </c>
      <c r="W39" s="670">
        <f>SUM(MAI!X42)</f>
        <v>0</v>
      </c>
      <c r="X39" s="108"/>
      <c r="Y39" s="151">
        <v>9687.5</v>
      </c>
      <c r="Z39" s="151">
        <v>9687.5</v>
      </c>
      <c r="AA39" s="123">
        <f t="shared" si="7"/>
        <v>0</v>
      </c>
      <c r="AB39" s="129">
        <v>0</v>
      </c>
      <c r="AC39" s="108"/>
      <c r="AD39" s="189">
        <v>11250</v>
      </c>
      <c r="AE39" s="127">
        <f t="shared" si="8"/>
        <v>0</v>
      </c>
      <c r="AF39" s="192">
        <f>SUM(IOC!K42)</f>
        <v>0</v>
      </c>
      <c r="AG39" s="108"/>
      <c r="AH39" s="189">
        <v>11537.56</v>
      </c>
      <c r="AI39" s="127">
        <f t="shared" si="17"/>
        <v>0</v>
      </c>
      <c r="AJ39" s="192">
        <f>SUM(HIE!L42)</f>
        <v>2261.1825389178325</v>
      </c>
      <c r="AK39" s="108"/>
      <c r="AL39" s="189">
        <v>10625</v>
      </c>
      <c r="AM39" s="127">
        <f t="shared" si="10"/>
        <v>21.281718013344303</v>
      </c>
      <c r="AN39" s="108">
        <v>0</v>
      </c>
      <c r="AO39" s="108"/>
      <c r="AP39" s="151">
        <f>SUM(BAL!AF34*BAL!$AH$1)</f>
        <v>6187.5</v>
      </c>
      <c r="AQ39" s="127">
        <f t="shared" si="11"/>
        <v>0</v>
      </c>
      <c r="AR39" s="108">
        <v>590.42999999999995</v>
      </c>
      <c r="AS39" s="108"/>
      <c r="AT39" s="151">
        <v>1787.5</v>
      </c>
      <c r="AU39" s="127">
        <f t="shared" si="12"/>
        <v>33.031048951048945</v>
      </c>
      <c r="AV39" s="108">
        <v>0</v>
      </c>
      <c r="AW39" s="108"/>
      <c r="AX39" s="151">
        <v>6875</v>
      </c>
      <c r="AY39" s="123">
        <f t="shared" si="13"/>
        <v>0</v>
      </c>
      <c r="AZ39" s="148">
        <f>'CKR	'!C38</f>
        <v>0</v>
      </c>
      <c r="BA39" s="108"/>
      <c r="BB39" s="114">
        <v>4375</v>
      </c>
      <c r="BC39" s="127">
        <f t="shared" si="14"/>
        <v>0</v>
      </c>
    </row>
    <row r="40" spans="1:55" ht="15" customHeight="1" x14ac:dyDescent="0.25">
      <c r="A40" s="13" t="s">
        <v>73</v>
      </c>
      <c r="B40" s="207" t="s">
        <v>74</v>
      </c>
      <c r="C40" s="166">
        <f t="shared" si="0"/>
        <v>1066.5956250000002</v>
      </c>
      <c r="D40" s="106">
        <f t="shared" si="1"/>
        <v>0</v>
      </c>
      <c r="E40" s="190">
        <f t="shared" si="15"/>
        <v>67225.05</v>
      </c>
      <c r="F40" s="127">
        <f t="shared" si="16"/>
        <v>1.5866044354001969</v>
      </c>
      <c r="G40" s="108">
        <v>960.18562500000007</v>
      </c>
      <c r="H40" s="108"/>
      <c r="I40" s="189">
        <v>6687.5</v>
      </c>
      <c r="J40" s="127">
        <f t="shared" si="3"/>
        <v>14.357915887850469</v>
      </c>
      <c r="K40" s="104">
        <f>SUM(SCA!W45)</f>
        <v>0</v>
      </c>
      <c r="L40" s="108"/>
      <c r="M40" s="189">
        <v>5856.22</v>
      </c>
      <c r="N40" s="127">
        <f t="shared" si="4"/>
        <v>0</v>
      </c>
      <c r="O40" s="108">
        <v>0</v>
      </c>
      <c r="P40" s="108"/>
      <c r="Q40" s="190">
        <v>1731.25</v>
      </c>
      <c r="R40" s="123">
        <f t="shared" si="5"/>
        <v>0</v>
      </c>
      <c r="S40" s="129">
        <v>0</v>
      </c>
      <c r="T40" s="108"/>
      <c r="U40" s="151">
        <v>2343.75</v>
      </c>
      <c r="V40" s="127">
        <f t="shared" si="6"/>
        <v>0</v>
      </c>
      <c r="W40" s="670">
        <f>SUM(MAI!X43)</f>
        <v>0</v>
      </c>
      <c r="X40" s="108"/>
      <c r="Y40" s="151">
        <v>14531.25</v>
      </c>
      <c r="Z40" s="151">
        <v>14531.25</v>
      </c>
      <c r="AA40" s="123">
        <f t="shared" si="7"/>
        <v>0</v>
      </c>
      <c r="AB40" s="129">
        <v>0</v>
      </c>
      <c r="AC40" s="108"/>
      <c r="AD40" s="189">
        <v>5625</v>
      </c>
      <c r="AE40" s="127">
        <f t="shared" si="8"/>
        <v>0</v>
      </c>
      <c r="AF40" s="192">
        <f>SUM(IOC!K43)</f>
        <v>0</v>
      </c>
      <c r="AG40" s="108"/>
      <c r="AH40" s="189">
        <v>5768.79</v>
      </c>
      <c r="AI40" s="127">
        <f t="shared" si="17"/>
        <v>0</v>
      </c>
      <c r="AJ40" s="192">
        <f>SUM(HIE!L43)</f>
        <v>0</v>
      </c>
      <c r="AK40" s="108"/>
      <c r="AL40" s="189">
        <v>5312.5</v>
      </c>
      <c r="AM40" s="127">
        <f t="shared" si="10"/>
        <v>0</v>
      </c>
      <c r="AN40" s="108">
        <v>0</v>
      </c>
      <c r="AO40" s="108"/>
      <c r="AP40" s="151">
        <f>SUM(BAL!AF35*BAL!$AH$1)</f>
        <v>6187.5</v>
      </c>
      <c r="AQ40" s="127">
        <f t="shared" si="11"/>
        <v>0</v>
      </c>
      <c r="AR40" s="108">
        <v>0</v>
      </c>
      <c r="AS40" s="108"/>
      <c r="AT40" s="151">
        <v>1787.5</v>
      </c>
      <c r="AU40" s="127">
        <f t="shared" si="12"/>
        <v>0</v>
      </c>
      <c r="AV40" s="108">
        <v>106.41</v>
      </c>
      <c r="AW40" s="108"/>
      <c r="AX40" s="151">
        <v>3437.5</v>
      </c>
      <c r="AY40" s="123">
        <f t="shared" si="13"/>
        <v>3.0955636363636363</v>
      </c>
      <c r="AZ40" s="148">
        <f>'CKR	'!C39</f>
        <v>0</v>
      </c>
      <c r="BA40" s="108"/>
      <c r="BB40" s="114">
        <v>2187.5</v>
      </c>
      <c r="BC40" s="127">
        <f t="shared" si="14"/>
        <v>0</v>
      </c>
    </row>
    <row r="41" spans="1:55" ht="15" customHeight="1" x14ac:dyDescent="0.25">
      <c r="A41" s="9" t="s">
        <v>75</v>
      </c>
      <c r="B41" s="206" t="s">
        <v>76</v>
      </c>
      <c r="C41" s="121">
        <f t="shared" si="0"/>
        <v>115933.43288398575</v>
      </c>
      <c r="D41" s="104">
        <f t="shared" si="1"/>
        <v>0</v>
      </c>
      <c r="E41" s="116">
        <f t="shared" si="15"/>
        <v>214000</v>
      </c>
      <c r="F41" s="126">
        <f t="shared" si="16"/>
        <v>54.174501347656893</v>
      </c>
      <c r="G41" s="109">
        <v>108068.00562500002</v>
      </c>
      <c r="H41" s="109">
        <f>SUM(H42:H44)</f>
        <v>0</v>
      </c>
      <c r="I41" s="116">
        <f>SUM(I42:I44)</f>
        <v>214000</v>
      </c>
      <c r="J41" s="126">
        <f t="shared" si="3"/>
        <v>50.499068049065428</v>
      </c>
      <c r="K41" s="104">
        <f>SUM(SCA!W46)</f>
        <v>1682.13927017074</v>
      </c>
      <c r="L41" s="109">
        <f>SUM(L42:L44)</f>
        <v>0</v>
      </c>
      <c r="M41" s="116">
        <f>SUM(M42:M44)</f>
        <v>0</v>
      </c>
      <c r="N41" s="126" t="e">
        <f t="shared" si="4"/>
        <v>#DIV/0!</v>
      </c>
      <c r="O41" s="109">
        <v>0</v>
      </c>
      <c r="P41" s="109">
        <f>SUM(P42:P44)</f>
        <v>0</v>
      </c>
      <c r="Q41" s="116">
        <f>SUM(Q42:Q44)</f>
        <v>0</v>
      </c>
      <c r="R41" s="122" t="e">
        <f t="shared" si="5"/>
        <v>#DIV/0!</v>
      </c>
      <c r="S41" s="130">
        <v>0</v>
      </c>
      <c r="T41" s="109">
        <f>SUM(T42:T44)</f>
        <v>0</v>
      </c>
      <c r="U41" s="152">
        <f>SUM(U42:U44)</f>
        <v>0</v>
      </c>
      <c r="V41" s="126" t="e">
        <f t="shared" si="6"/>
        <v>#DIV/0!</v>
      </c>
      <c r="W41" s="155">
        <f>SUM(MAI!X44)</f>
        <v>0</v>
      </c>
      <c r="X41" s="109">
        <f>SUM(X42:X44)</f>
        <v>0</v>
      </c>
      <c r="Y41" s="152">
        <f>SUM(Y42:Y44)</f>
        <v>0</v>
      </c>
      <c r="Z41" s="152">
        <f>SUM(Z42:Z44)</f>
        <v>0</v>
      </c>
      <c r="AA41" s="122" t="e">
        <f t="shared" si="7"/>
        <v>#DIV/0!</v>
      </c>
      <c r="AB41" s="130">
        <v>367.59375</v>
      </c>
      <c r="AC41" s="109">
        <f>SUM(AC42:AC44)</f>
        <v>0</v>
      </c>
      <c r="AD41" s="116">
        <f>SUM(AD42:AD44)</f>
        <v>0</v>
      </c>
      <c r="AE41" s="126" t="e">
        <f t="shared" si="8"/>
        <v>#DIV/0!</v>
      </c>
      <c r="AF41" s="155">
        <f>SUM(IOC!K44)</f>
        <v>0</v>
      </c>
      <c r="AG41" s="109">
        <f>SUM(AG42:AG44)</f>
        <v>0</v>
      </c>
      <c r="AH41" s="116">
        <f>SUM(AH42:AH44)</f>
        <v>0</v>
      </c>
      <c r="AI41" s="126" t="e">
        <f t="shared" si="17"/>
        <v>#DIV/0!</v>
      </c>
      <c r="AJ41" s="155">
        <f>SUM(HIE!L44)</f>
        <v>5531.9342388149998</v>
      </c>
      <c r="AK41" s="109">
        <f>SUM(AK42:AK44)</f>
        <v>0</v>
      </c>
      <c r="AL41" s="116">
        <f>SUM(AL42:AL44)</f>
        <v>0</v>
      </c>
      <c r="AM41" s="126" t="e">
        <f t="shared" si="10"/>
        <v>#DIV/0!</v>
      </c>
      <c r="AN41" s="109">
        <v>0</v>
      </c>
      <c r="AO41" s="109">
        <f>SUM(AO42:AO44)</f>
        <v>0</v>
      </c>
      <c r="AP41" s="152">
        <f>SUM(AP42:AP44)</f>
        <v>0</v>
      </c>
      <c r="AQ41" s="126" t="e">
        <f t="shared" si="11"/>
        <v>#DIV/0!</v>
      </c>
      <c r="AR41" s="109">
        <v>0</v>
      </c>
      <c r="AS41" s="109">
        <f>SUM(AS42:AS44)</f>
        <v>0</v>
      </c>
      <c r="AT41" s="152">
        <f>SUM(AT42:AT44)</f>
        <v>0</v>
      </c>
      <c r="AU41" s="126" t="e">
        <f t="shared" si="12"/>
        <v>#DIV/0!</v>
      </c>
      <c r="AV41" s="109">
        <v>283.76</v>
      </c>
      <c r="AW41" s="109">
        <f>SUM(AW42:AW44)</f>
        <v>0</v>
      </c>
      <c r="AX41" s="152">
        <f>SUM(AX42:AX44)</f>
        <v>0</v>
      </c>
      <c r="AY41" s="122" t="e">
        <f t="shared" si="13"/>
        <v>#DIV/0!</v>
      </c>
      <c r="AZ41" s="125">
        <f>'CKR	'!C40</f>
        <v>0</v>
      </c>
      <c r="BA41" s="109">
        <f>SUM(BA42:BA44)</f>
        <v>0</v>
      </c>
      <c r="BB41" s="116">
        <f>SUM(BB42:BB44)</f>
        <v>0</v>
      </c>
      <c r="BC41" s="126" t="e">
        <f t="shared" si="14"/>
        <v>#DIV/0!</v>
      </c>
    </row>
    <row r="42" spans="1:55" ht="15" customHeight="1" x14ac:dyDescent="0.25">
      <c r="A42" s="13" t="s">
        <v>77</v>
      </c>
      <c r="B42" s="207" t="s">
        <v>78</v>
      </c>
      <c r="C42" s="166">
        <f t="shared" si="0"/>
        <v>42675.263923074512</v>
      </c>
      <c r="D42" s="106">
        <f t="shared" si="1"/>
        <v>0</v>
      </c>
      <c r="E42" s="190">
        <f t="shared" si="15"/>
        <v>147125</v>
      </c>
      <c r="F42" s="127">
        <f t="shared" si="16"/>
        <v>29.006126710670866</v>
      </c>
      <c r="G42" s="108">
        <v>37674.921875000007</v>
      </c>
      <c r="H42" s="108"/>
      <c r="I42" s="189">
        <v>147125</v>
      </c>
      <c r="J42" s="127">
        <f t="shared" si="3"/>
        <v>25.60742353440952</v>
      </c>
      <c r="K42" s="104">
        <f>SUM(SCA!W47)</f>
        <v>240.30561002439143</v>
      </c>
      <c r="L42" s="108"/>
      <c r="M42" s="189">
        <v>0</v>
      </c>
      <c r="N42" s="127" t="e">
        <f t="shared" si="4"/>
        <v>#DIV/0!</v>
      </c>
      <c r="O42" s="108">
        <v>0</v>
      </c>
      <c r="P42" s="108"/>
      <c r="Q42" s="190">
        <v>0</v>
      </c>
      <c r="R42" s="123" t="e">
        <f t="shared" si="5"/>
        <v>#DIV/0!</v>
      </c>
      <c r="S42" s="129">
        <v>0</v>
      </c>
      <c r="T42" s="108"/>
      <c r="U42" s="151">
        <v>0</v>
      </c>
      <c r="V42" s="127" t="e">
        <f t="shared" si="6"/>
        <v>#DIV/0!</v>
      </c>
      <c r="W42" s="670">
        <f>SUM(MAI!X45)</f>
        <v>0</v>
      </c>
      <c r="X42" s="108"/>
      <c r="Y42" s="151">
        <v>0</v>
      </c>
      <c r="Z42" s="151">
        <v>0</v>
      </c>
      <c r="AA42" s="123" t="e">
        <f t="shared" si="7"/>
        <v>#DIV/0!</v>
      </c>
      <c r="AB42" s="129">
        <v>0</v>
      </c>
      <c r="AC42" s="108"/>
      <c r="AD42" s="189">
        <v>0</v>
      </c>
      <c r="AE42" s="127" t="e">
        <f t="shared" si="8"/>
        <v>#DIV/0!</v>
      </c>
      <c r="AF42" s="192">
        <f>SUM(IOC!K45)</f>
        <v>0</v>
      </c>
      <c r="AG42" s="108"/>
      <c r="AH42" s="189">
        <v>0</v>
      </c>
      <c r="AI42" s="127" t="e">
        <f t="shared" si="17"/>
        <v>#DIV/0!</v>
      </c>
      <c r="AJ42" s="192">
        <f>SUM(HIE!L45)</f>
        <v>4760.036438050116</v>
      </c>
      <c r="AK42" s="108"/>
      <c r="AL42" s="189">
        <v>0</v>
      </c>
      <c r="AM42" s="127" t="e">
        <f>100/AL42*AJ42</f>
        <v>#DIV/0!</v>
      </c>
      <c r="AN42" s="108">
        <v>0</v>
      </c>
      <c r="AO42" s="108"/>
      <c r="AP42" s="151">
        <v>0</v>
      </c>
      <c r="AQ42" s="127" t="e">
        <f t="shared" si="11"/>
        <v>#DIV/0!</v>
      </c>
      <c r="AR42" s="108">
        <v>0</v>
      </c>
      <c r="AS42" s="108"/>
      <c r="AT42" s="151">
        <v>0</v>
      </c>
      <c r="AU42" s="127" t="e">
        <f t="shared" si="12"/>
        <v>#DIV/0!</v>
      </c>
      <c r="AV42" s="108">
        <v>0</v>
      </c>
      <c r="AW42" s="108"/>
      <c r="AX42" s="151">
        <v>0</v>
      </c>
      <c r="AY42" s="123" t="e">
        <f t="shared" si="13"/>
        <v>#DIV/0!</v>
      </c>
      <c r="AZ42" s="148">
        <f>'CKR	'!C41</f>
        <v>0</v>
      </c>
      <c r="BA42" s="108"/>
      <c r="BB42" s="114">
        <v>0</v>
      </c>
      <c r="BC42" s="127" t="e">
        <f t="shared" si="14"/>
        <v>#DIV/0!</v>
      </c>
    </row>
    <row r="43" spans="1:55" ht="15" customHeight="1" x14ac:dyDescent="0.25">
      <c r="A43" s="13" t="s">
        <v>79</v>
      </c>
      <c r="B43" s="207" t="s">
        <v>80</v>
      </c>
      <c r="C43" s="166">
        <f t="shared" si="0"/>
        <v>50402.561505838057</v>
      </c>
      <c r="D43" s="106">
        <f t="shared" si="1"/>
        <v>0</v>
      </c>
      <c r="E43" s="190">
        <f t="shared" si="15"/>
        <v>46812.5</v>
      </c>
      <c r="F43" s="127">
        <f t="shared" si="16"/>
        <v>107.66902324344578</v>
      </c>
      <c r="G43" s="108">
        <v>48909.746874999997</v>
      </c>
      <c r="H43" s="108"/>
      <c r="I43" s="189">
        <v>46812.5</v>
      </c>
      <c r="J43" s="127">
        <f t="shared" si="3"/>
        <v>104.48010013351134</v>
      </c>
      <c r="K43" s="104">
        <f>SUM(SCA!W48)</f>
        <v>720.91683007317431</v>
      </c>
      <c r="L43" s="108"/>
      <c r="M43" s="189">
        <v>0</v>
      </c>
      <c r="N43" s="127" t="e">
        <f t="shared" si="4"/>
        <v>#DIV/0!</v>
      </c>
      <c r="O43" s="108">
        <v>0</v>
      </c>
      <c r="P43" s="108"/>
      <c r="Q43" s="190">
        <v>0</v>
      </c>
      <c r="R43" s="123" t="e">
        <f t="shared" si="5"/>
        <v>#DIV/0!</v>
      </c>
      <c r="S43" s="129">
        <v>0</v>
      </c>
      <c r="T43" s="108"/>
      <c r="U43" s="151">
        <v>0</v>
      </c>
      <c r="V43" s="127" t="e">
        <f t="shared" si="6"/>
        <v>#DIV/0!</v>
      </c>
      <c r="W43" s="670">
        <f>SUM(MAI!X46)</f>
        <v>0</v>
      </c>
      <c r="X43" s="108"/>
      <c r="Y43" s="151">
        <v>0</v>
      </c>
      <c r="Z43" s="151">
        <v>0</v>
      </c>
      <c r="AA43" s="123" t="e">
        <f t="shared" si="7"/>
        <v>#DIV/0!</v>
      </c>
      <c r="AB43" s="129">
        <v>0</v>
      </c>
      <c r="AC43" s="108"/>
      <c r="AD43" s="189">
        <v>0</v>
      </c>
      <c r="AE43" s="127" t="e">
        <f t="shared" si="8"/>
        <v>#DIV/0!</v>
      </c>
      <c r="AF43" s="192">
        <f>SUM(IOC!K46)</f>
        <v>0</v>
      </c>
      <c r="AG43" s="108"/>
      <c r="AH43" s="189">
        <v>0</v>
      </c>
      <c r="AI43" s="127" t="e">
        <f t="shared" si="17"/>
        <v>#DIV/0!</v>
      </c>
      <c r="AJ43" s="192">
        <f>SUM(HIE!L46)</f>
        <v>771.89780076488375</v>
      </c>
      <c r="AK43" s="108"/>
      <c r="AL43" s="189">
        <v>0</v>
      </c>
      <c r="AM43" s="127" t="e">
        <f t="shared" ref="AM43:AM45" si="18">100/AL43*AJ43</f>
        <v>#DIV/0!</v>
      </c>
      <c r="AN43" s="108">
        <v>0</v>
      </c>
      <c r="AO43" s="108"/>
      <c r="AP43" s="151">
        <v>0</v>
      </c>
      <c r="AQ43" s="127" t="e">
        <f t="shared" si="11"/>
        <v>#DIV/0!</v>
      </c>
      <c r="AR43" s="108">
        <v>0</v>
      </c>
      <c r="AS43" s="108"/>
      <c r="AT43" s="151">
        <v>0</v>
      </c>
      <c r="AU43" s="127" t="e">
        <f t="shared" si="12"/>
        <v>#DIV/0!</v>
      </c>
      <c r="AV43" s="108">
        <v>0</v>
      </c>
      <c r="AW43" s="108"/>
      <c r="AX43" s="151">
        <v>0</v>
      </c>
      <c r="AY43" s="123" t="e">
        <f t="shared" si="13"/>
        <v>#DIV/0!</v>
      </c>
      <c r="AZ43" s="148">
        <f>'CKR	'!C42</f>
        <v>0</v>
      </c>
      <c r="BA43" s="108"/>
      <c r="BB43" s="114">
        <v>0</v>
      </c>
      <c r="BC43" s="127" t="e">
        <f t="shared" si="14"/>
        <v>#DIV/0!</v>
      </c>
    </row>
    <row r="44" spans="1:55" ht="15" customHeight="1" thickBot="1" x14ac:dyDescent="0.3">
      <c r="A44" s="36" t="s">
        <v>81</v>
      </c>
      <c r="B44" s="209" t="s">
        <v>82</v>
      </c>
      <c r="C44" s="166">
        <f t="shared" si="0"/>
        <v>22782.088705073173</v>
      </c>
      <c r="D44" s="106">
        <f t="shared" si="1"/>
        <v>0</v>
      </c>
      <c r="E44" s="190">
        <f t="shared" si="15"/>
        <v>20062.5</v>
      </c>
      <c r="F44" s="127">
        <f t="shared" si="16"/>
        <v>113.55558233058279</v>
      </c>
      <c r="G44" s="108">
        <v>21483.336875000001</v>
      </c>
      <c r="H44" s="108"/>
      <c r="I44" s="189">
        <v>20062.5</v>
      </c>
      <c r="J44" s="127">
        <f t="shared" si="3"/>
        <v>107.08205295950157</v>
      </c>
      <c r="K44" s="104">
        <f>SUM(SCA!W49)</f>
        <v>720.91683007317431</v>
      </c>
      <c r="L44" s="108"/>
      <c r="M44" s="189">
        <v>0</v>
      </c>
      <c r="N44" s="127" t="e">
        <f t="shared" si="4"/>
        <v>#DIV/0!</v>
      </c>
      <c r="O44" s="108">
        <v>0</v>
      </c>
      <c r="P44" s="108"/>
      <c r="Q44" s="190">
        <v>0</v>
      </c>
      <c r="R44" s="123" t="e">
        <f t="shared" si="5"/>
        <v>#DIV/0!</v>
      </c>
      <c r="S44" s="129">
        <v>0</v>
      </c>
      <c r="T44" s="108"/>
      <c r="U44" s="151">
        <v>0</v>
      </c>
      <c r="V44" s="127" t="e">
        <f t="shared" si="6"/>
        <v>#DIV/0!</v>
      </c>
      <c r="W44" s="670">
        <f>SUM(MAI!X47)</f>
        <v>0</v>
      </c>
      <c r="X44" s="108"/>
      <c r="Y44" s="151">
        <v>0</v>
      </c>
      <c r="Z44" s="151">
        <v>0</v>
      </c>
      <c r="AA44" s="123" t="e">
        <f t="shared" si="7"/>
        <v>#DIV/0!</v>
      </c>
      <c r="AB44" s="129">
        <v>294.07499999999999</v>
      </c>
      <c r="AC44" s="108"/>
      <c r="AD44" s="189">
        <v>0</v>
      </c>
      <c r="AE44" s="127" t="e">
        <f t="shared" si="8"/>
        <v>#DIV/0!</v>
      </c>
      <c r="AF44" s="192">
        <f>SUM(IOC!K47)</f>
        <v>0</v>
      </c>
      <c r="AG44" s="108"/>
      <c r="AH44" s="189">
        <v>0</v>
      </c>
      <c r="AI44" s="127" t="e">
        <f t="shared" si="17"/>
        <v>#DIV/0!</v>
      </c>
      <c r="AJ44" s="192">
        <f>SUM(HIE!L47)</f>
        <v>0</v>
      </c>
      <c r="AK44" s="108"/>
      <c r="AL44" s="189">
        <v>0</v>
      </c>
      <c r="AM44" s="127" t="e">
        <f>100/AL44*AJ44</f>
        <v>#DIV/0!</v>
      </c>
      <c r="AN44" s="108">
        <v>0</v>
      </c>
      <c r="AO44" s="108"/>
      <c r="AP44" s="151">
        <v>0</v>
      </c>
      <c r="AQ44" s="127" t="e">
        <f t="shared" si="11"/>
        <v>#DIV/0!</v>
      </c>
      <c r="AR44" s="108">
        <v>0</v>
      </c>
      <c r="AS44" s="108"/>
      <c r="AT44" s="151">
        <v>0</v>
      </c>
      <c r="AU44" s="127" t="e">
        <f t="shared" si="12"/>
        <v>#DIV/0!</v>
      </c>
      <c r="AV44" s="108">
        <v>283.76</v>
      </c>
      <c r="AW44" s="108"/>
      <c r="AX44" s="151">
        <v>0</v>
      </c>
      <c r="AY44" s="123" t="e">
        <f t="shared" si="13"/>
        <v>#DIV/0!</v>
      </c>
      <c r="AZ44" s="148">
        <f>'CKR	'!C43</f>
        <v>0</v>
      </c>
      <c r="BA44" s="108"/>
      <c r="BB44" s="114">
        <v>0</v>
      </c>
      <c r="BC44" s="127" t="e">
        <f t="shared" si="14"/>
        <v>#DIV/0!</v>
      </c>
    </row>
    <row r="45" spans="1:55" ht="15.75" thickBot="1" x14ac:dyDescent="0.3">
      <c r="A45" s="39" t="s">
        <v>83</v>
      </c>
      <c r="B45" s="210" t="s">
        <v>84</v>
      </c>
      <c r="C45" s="143">
        <f t="shared" si="0"/>
        <v>498613.68320881366</v>
      </c>
      <c r="D45" s="134">
        <f t="shared" si="1"/>
        <v>274542.86</v>
      </c>
      <c r="E45" s="144">
        <f>SUM(E6+E7+E11+E16+E23+E33+E37+E41)</f>
        <v>5453593.6000000006</v>
      </c>
      <c r="F45" s="135">
        <f t="shared" si="16"/>
        <v>9.1428463464680174</v>
      </c>
      <c r="G45" s="132">
        <v>142042.15375000003</v>
      </c>
      <c r="H45" s="132">
        <f>SUM(H7+H11+H16+H23+H33+H37+H41)</f>
        <v>31600</v>
      </c>
      <c r="I45" s="133">
        <f>SUM(I6+I7+I11+I16+I23+I33+I37+I41)</f>
        <v>3485268.75</v>
      </c>
      <c r="J45" s="135">
        <f t="shared" si="3"/>
        <v>4.0755007415138369</v>
      </c>
      <c r="K45" s="104">
        <f>SUM(SCA!W50)</f>
        <v>71651.122722272718</v>
      </c>
      <c r="L45" s="132">
        <f>SUM(L7+L11+L16+L23+L33+L37+L41)</f>
        <v>16000</v>
      </c>
      <c r="M45" s="133">
        <f>SUM(M6+M7+M11+M16+M23+M33+M37+M41)</f>
        <v>322346.13</v>
      </c>
      <c r="N45" s="135">
        <f t="shared" si="4"/>
        <v>22.22800773884666</v>
      </c>
      <c r="O45" s="132">
        <v>29301.399999999998</v>
      </c>
      <c r="P45" s="132">
        <f>SUM(P7+P11+P16+P23+P33+P37+P41)</f>
        <v>34000</v>
      </c>
      <c r="Q45" s="145">
        <f>SUM(Q6+Q7+Q11+Q16+Q23+Q33+Q37+Q41)</f>
        <v>125599.97</v>
      </c>
      <c r="R45" s="136">
        <f t="shared" si="5"/>
        <v>23.329145699636708</v>
      </c>
      <c r="S45" s="131">
        <v>16130.80134318182</v>
      </c>
      <c r="T45" s="132">
        <f>SUM(T7+T11+T16+T23+T33+T37+T41)</f>
        <v>16600</v>
      </c>
      <c r="U45" s="152">
        <f>SUM(U6+U7+U11+U16+U23+U33+U37+U41)</f>
        <v>105125.03</v>
      </c>
      <c r="V45" s="135">
        <f t="shared" si="6"/>
        <v>15.344396423175166</v>
      </c>
      <c r="W45" s="155">
        <f>SUM(MAI!X48)</f>
        <v>21343.625</v>
      </c>
      <c r="X45" s="132">
        <f>SUM(X7+X11+X16+X23+X33+X37+X41)</f>
        <v>16600</v>
      </c>
      <c r="Y45" s="152">
        <f>SUM(Y6+Y7+Y11+Y16+Y23+Y33+Y37+Y41)</f>
        <v>204812.53000000003</v>
      </c>
      <c r="Z45" s="152">
        <f>SUM(Z6+Z7+Z11+Z16+Z23+Z33+Z37+Z41)</f>
        <v>204812.53000000003</v>
      </c>
      <c r="AA45" s="136">
        <f t="shared" si="7"/>
        <v>10.421054317331071</v>
      </c>
      <c r="AB45" s="131">
        <v>16447.981249999997</v>
      </c>
      <c r="AC45" s="132">
        <f>SUM(AC7+AC11+AC16+AC23+AC33+AC37+AC41)</f>
        <v>45142.86</v>
      </c>
      <c r="AD45" s="116">
        <f>SUM(AD41+AD37+AD33+AD23+AD16+AD11+AD7+AD6)</f>
        <v>270177.5</v>
      </c>
      <c r="AE45" s="135">
        <f t="shared" si="8"/>
        <v>6.0878427145117548</v>
      </c>
      <c r="AF45" s="155">
        <f>SUM(IOC!K48)</f>
        <v>9446.6875</v>
      </c>
      <c r="AG45" s="132">
        <f>SUM(AG7+AG11+AG16+AG23+AG33+AG37+AG41)</f>
        <v>16600</v>
      </c>
      <c r="AH45" s="116">
        <f>SUM(AH6+AH7+AH11+AH16+AH23+AH33+AH37+AH41)</f>
        <v>139010.22</v>
      </c>
      <c r="AI45" s="135">
        <f t="shared" si="17"/>
        <v>6.7956784040770524</v>
      </c>
      <c r="AJ45" s="155">
        <f>SUM(HIE!L48)</f>
        <v>47632.423184109124</v>
      </c>
      <c r="AK45" s="132">
        <f>SUM(AK7+AK11+AK16+AK23+AK33+AK37+AK41)</f>
        <v>16600</v>
      </c>
      <c r="AL45" s="116">
        <f>SUM(AL6+AL7+AL11+AL16+AL23+AL33+AL37+AL41)</f>
        <v>211999.5</v>
      </c>
      <c r="AM45" s="135">
        <f t="shared" si="18"/>
        <v>22.468177134431507</v>
      </c>
      <c r="AN45" s="132">
        <v>83149.350000000006</v>
      </c>
      <c r="AO45" s="132">
        <f>SUM(AO7+AO11+AO16+AO23+AO33+AO37+AO41)</f>
        <v>16600</v>
      </c>
      <c r="AP45" s="152">
        <f>SUM(AP6+AP7+AP11+AP16+AP23+AP33+AP37+AP41)</f>
        <v>181625</v>
      </c>
      <c r="AQ45" s="135">
        <f t="shared" si="11"/>
        <v>45.780784583620104</v>
      </c>
      <c r="AR45" s="132">
        <v>15221.25</v>
      </c>
      <c r="AS45" s="132">
        <f>SUM(AS7+AS11+AS16+AS23+AS33+AS37+AS41)</f>
        <v>16600</v>
      </c>
      <c r="AT45" s="152">
        <f>SUM(AT6+AT7+AT11+AT16+AT23+AT33+AT37+AT41)</f>
        <v>63650</v>
      </c>
      <c r="AU45" s="135">
        <f t="shared" si="12"/>
        <v>23.913982717989004</v>
      </c>
      <c r="AV45" s="132">
        <v>14743.662378999998</v>
      </c>
      <c r="AW45" s="132">
        <f>SUM(AW7+AW11+AW16+AW23+AW33+AW37+AW41)</f>
        <v>31600</v>
      </c>
      <c r="AX45" s="152">
        <f>SUM(AX6+AX7+AX11+AX16+AX23+AX33+AX37+AX41)</f>
        <v>130593.75</v>
      </c>
      <c r="AY45" s="136">
        <f t="shared" si="13"/>
        <v>11.289715150227325</v>
      </c>
      <c r="AZ45" s="125">
        <f>'CKR	'!C44</f>
        <v>31503.226080249999</v>
      </c>
      <c r="BA45" s="132">
        <f>SUM(BA7+BA11+BA16+BA23+BA33+BA37+BA41)</f>
        <v>16600</v>
      </c>
      <c r="BB45" s="116">
        <f>SUM(BB6+BB7+BB11+BB16+BB23+BB33+BB37+BB41)</f>
        <v>95125</v>
      </c>
      <c r="BC45" s="135">
        <f t="shared" si="14"/>
        <v>33.117714670433635</v>
      </c>
    </row>
    <row r="46" spans="1:55" ht="15.75" thickTop="1" x14ac:dyDescent="0.25">
      <c r="A46" t="s">
        <v>190</v>
      </c>
      <c r="C46" s="110"/>
      <c r="D46" s="110"/>
      <c r="E46" s="110">
        <v>5253231</v>
      </c>
      <c r="F46" s="111"/>
      <c r="G46" s="111"/>
      <c r="H46" s="111"/>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row>
    <row r="47" spans="1:55" x14ac:dyDescent="0.25">
      <c r="A47" t="s">
        <v>187</v>
      </c>
      <c r="C47" s="110"/>
      <c r="D47" s="110"/>
      <c r="E47" s="110">
        <f>SUM(E7+E11+E16+E23+E33)</f>
        <v>4664445.6500000004</v>
      </c>
      <c r="F47" s="111" t="s">
        <v>188</v>
      </c>
      <c r="G47" s="111"/>
      <c r="H47" s="111"/>
      <c r="J47" s="111"/>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row>
    <row r="48" spans="1:55" x14ac:dyDescent="0.25">
      <c r="C48" s="110"/>
      <c r="D48" s="110"/>
      <c r="E48" s="110"/>
      <c r="F48" s="111"/>
      <c r="G48" s="111"/>
      <c r="H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row>
    <row r="49" spans="1:11" x14ac:dyDescent="0.25">
      <c r="A49" s="91" t="s">
        <v>189</v>
      </c>
      <c r="C49" s="212">
        <f>SUM(E47/E46)</f>
        <v>0.88791938713526974</v>
      </c>
    </row>
    <row r="58" spans="1:11" ht="15.75" thickBot="1" x14ac:dyDescent="0.3"/>
    <row r="59" spans="1:11" ht="15.75" thickTop="1" x14ac:dyDescent="0.25">
      <c r="K59" s="146"/>
    </row>
  </sheetData>
  <mergeCells count="56">
    <mergeCell ref="AV3:AX3"/>
    <mergeCell ref="AZ3:BB3"/>
    <mergeCell ref="S4:U4"/>
    <mergeCell ref="W4:Z4"/>
    <mergeCell ref="AB4:AD4"/>
    <mergeCell ref="AF4:AH4"/>
    <mergeCell ref="AJ4:AL4"/>
    <mergeCell ref="AN4:AP4"/>
    <mergeCell ref="AR4:AT4"/>
    <mergeCell ref="AV4:AX4"/>
    <mergeCell ref="AZ4:BB4"/>
    <mergeCell ref="AV1:AX1"/>
    <mergeCell ref="AZ1:BB1"/>
    <mergeCell ref="S2:U2"/>
    <mergeCell ref="W2:Z2"/>
    <mergeCell ref="AB2:AD2"/>
    <mergeCell ref="AF2:AH2"/>
    <mergeCell ref="AJ2:AL2"/>
    <mergeCell ref="AN2:AP2"/>
    <mergeCell ref="AR2:AT2"/>
    <mergeCell ref="AV2:AX2"/>
    <mergeCell ref="AZ2:BB2"/>
    <mergeCell ref="S1:U1"/>
    <mergeCell ref="W1:Z1"/>
    <mergeCell ref="AB1:AD1"/>
    <mergeCell ref="AF1:AH1"/>
    <mergeCell ref="AJ1:AL1"/>
    <mergeCell ref="AN1:AP1"/>
    <mergeCell ref="AR1:AT1"/>
    <mergeCell ref="S3:U3"/>
    <mergeCell ref="W3:Z3"/>
    <mergeCell ref="AB3:AD3"/>
    <mergeCell ref="AF3:AH3"/>
    <mergeCell ref="AJ3:AL3"/>
    <mergeCell ref="AN3:AP3"/>
    <mergeCell ref="AR3:AT3"/>
    <mergeCell ref="C4:E4"/>
    <mergeCell ref="G4:I4"/>
    <mergeCell ref="K4:M4"/>
    <mergeCell ref="N4:O4"/>
    <mergeCell ref="Q4:R4"/>
    <mergeCell ref="C3:E3"/>
    <mergeCell ref="G3:I3"/>
    <mergeCell ref="K3:M3"/>
    <mergeCell ref="N3:O3"/>
    <mergeCell ref="Q3:R3"/>
    <mergeCell ref="C2:E2"/>
    <mergeCell ref="G2:I2"/>
    <mergeCell ref="K2:M2"/>
    <mergeCell ref="N2:O2"/>
    <mergeCell ref="Q2:R2"/>
    <mergeCell ref="C1:E1"/>
    <mergeCell ref="G1:I1"/>
    <mergeCell ref="K1:M1"/>
    <mergeCell ref="N1:O1"/>
    <mergeCell ref="Q1:R1"/>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FF"/>
    <pageSetUpPr fitToPage="1"/>
  </sheetPr>
  <dimension ref="A1:AG53"/>
  <sheetViews>
    <sheetView zoomScale="87" zoomScaleNormal="87" workbookViewId="0">
      <selection activeCell="AA11" sqref="AA11"/>
    </sheetView>
  </sheetViews>
  <sheetFormatPr baseColWidth="10" defaultColWidth="9.140625" defaultRowHeight="15" x14ac:dyDescent="0.25"/>
  <cols>
    <col min="1" max="1" width="52.140625" customWidth="1"/>
    <col min="2" max="2" width="6" style="6" customWidth="1"/>
    <col min="3" max="3" width="14.140625" style="24" customWidth="1"/>
    <col min="4" max="4" width="4" style="24" customWidth="1"/>
    <col min="5" max="5" width="14.28515625" style="4" customWidth="1"/>
    <col min="6" max="6" width="11" customWidth="1"/>
    <col min="7" max="7" width="12.85546875" customWidth="1"/>
    <col min="8" max="8" width="9.140625" customWidth="1"/>
    <col min="9" max="9" width="10.28515625" customWidth="1"/>
    <col min="11" max="11" width="9.140625" style="41"/>
    <col min="20" max="20" width="73.85546875" customWidth="1"/>
    <col min="22" max="22" width="12.140625" customWidth="1"/>
    <col min="23" max="23" width="11.7109375" customWidth="1"/>
    <col min="24" max="24" width="11.28515625" customWidth="1"/>
    <col min="25" max="25" width="15.140625" customWidth="1"/>
    <col min="26" max="26" width="54.42578125" customWidth="1"/>
    <col min="27" max="27" width="28" customWidth="1"/>
    <col min="28" max="28" width="22.28515625" customWidth="1"/>
  </cols>
  <sheetData>
    <row r="1" spans="1:31" x14ac:dyDescent="0.25">
      <c r="A1" s="2"/>
      <c r="B1" s="3"/>
      <c r="C1" s="252" t="s">
        <v>0</v>
      </c>
      <c r="D1" s="252"/>
    </row>
    <row r="2" spans="1:31" x14ac:dyDescent="0.25">
      <c r="A2" s="2"/>
      <c r="B2" s="3"/>
      <c r="C2" s="252" t="s">
        <v>1</v>
      </c>
      <c r="D2" s="252"/>
      <c r="T2" s="612"/>
      <c r="U2" s="613"/>
      <c r="V2" s="614"/>
      <c r="W2" s="615"/>
      <c r="X2" s="615"/>
      <c r="Y2" s="615"/>
      <c r="Z2" s="615"/>
      <c r="AA2" s="615">
        <v>81</v>
      </c>
      <c r="AB2" s="615">
        <v>101</v>
      </c>
    </row>
    <row r="3" spans="1:31" x14ac:dyDescent="0.25">
      <c r="A3" s="2"/>
      <c r="B3" s="3"/>
      <c r="C3" s="252" t="s">
        <v>88</v>
      </c>
      <c r="D3" s="252"/>
      <c r="T3" s="612" t="s">
        <v>84</v>
      </c>
      <c r="U3" s="613"/>
      <c r="V3" s="614"/>
      <c r="W3" s="615"/>
      <c r="X3" s="615"/>
      <c r="Y3" s="615"/>
      <c r="Z3" s="615"/>
      <c r="AA3" s="642" t="s">
        <v>194</v>
      </c>
      <c r="AB3" s="651" t="s">
        <v>194</v>
      </c>
    </row>
    <row r="4" spans="1:31" x14ac:dyDescent="0.25">
      <c r="A4" s="25" t="s">
        <v>91</v>
      </c>
      <c r="B4" s="3" t="s">
        <v>3</v>
      </c>
      <c r="C4" s="252" t="s">
        <v>92</v>
      </c>
      <c r="D4" s="252"/>
      <c r="E4" s="1"/>
      <c r="T4" s="612"/>
      <c r="U4" s="613"/>
      <c r="V4" s="617"/>
      <c r="W4" s="615"/>
      <c r="X4" s="615"/>
      <c r="Y4" s="615"/>
      <c r="Z4" s="615"/>
      <c r="AA4" s="644" t="s">
        <v>195</v>
      </c>
      <c r="AB4" s="623" t="s">
        <v>196</v>
      </c>
    </row>
    <row r="5" spans="1:31" x14ac:dyDescent="0.25">
      <c r="A5" s="2"/>
      <c r="B5" s="3" t="s">
        <v>4</v>
      </c>
      <c r="C5" s="7" t="s">
        <v>84</v>
      </c>
      <c r="D5" s="8"/>
      <c r="E5" s="1"/>
      <c r="T5" s="616"/>
      <c r="U5" s="618"/>
      <c r="V5" s="645" t="s">
        <v>197</v>
      </c>
      <c r="W5" s="646" t="s">
        <v>197</v>
      </c>
      <c r="X5" s="620"/>
      <c r="Y5" s="620"/>
      <c r="Z5" s="620"/>
      <c r="AA5" s="643" t="s">
        <v>198</v>
      </c>
      <c r="AB5" s="621" t="s">
        <v>198</v>
      </c>
    </row>
    <row r="6" spans="1:31" x14ac:dyDescent="0.25">
      <c r="A6" s="191" t="s">
        <v>141</v>
      </c>
      <c r="B6" s="3"/>
      <c r="C6" s="7"/>
      <c r="D6" s="8"/>
      <c r="E6" s="1"/>
      <c r="T6" s="616"/>
      <c r="U6" s="618"/>
      <c r="V6" s="645" t="s">
        <v>199</v>
      </c>
      <c r="W6" s="646" t="s">
        <v>199</v>
      </c>
      <c r="X6" s="639" t="s">
        <v>194</v>
      </c>
      <c r="Y6" s="639" t="s">
        <v>194</v>
      </c>
      <c r="Z6" s="639" t="s">
        <v>194</v>
      </c>
      <c r="AA6" s="595">
        <v>11610</v>
      </c>
      <c r="AB6" s="622">
        <v>11610</v>
      </c>
      <c r="AC6" s="91" t="s">
        <v>431</v>
      </c>
      <c r="AE6" t="s">
        <v>465</v>
      </c>
    </row>
    <row r="7" spans="1:31" ht="15" customHeight="1" x14ac:dyDescent="0.25">
      <c r="A7" s="9" t="s">
        <v>7</v>
      </c>
      <c r="B7" s="10" t="s">
        <v>8</v>
      </c>
      <c r="C7" s="11">
        <f>SUM(C8:C10)</f>
        <v>8024.875</v>
      </c>
      <c r="D7" s="12"/>
      <c r="E7" s="1"/>
      <c r="T7" s="616"/>
      <c r="U7" s="618"/>
      <c r="V7" s="645" t="s">
        <v>200</v>
      </c>
      <c r="W7" s="646" t="s">
        <v>200</v>
      </c>
      <c r="X7" s="640" t="s">
        <v>201</v>
      </c>
      <c r="Y7" s="640" t="s">
        <v>201</v>
      </c>
      <c r="Z7" s="640"/>
      <c r="AA7" s="644" t="s">
        <v>201</v>
      </c>
      <c r="AB7" s="623" t="s">
        <v>201</v>
      </c>
    </row>
    <row r="8" spans="1:31" ht="15" customHeight="1" x14ac:dyDescent="0.25">
      <c r="A8" s="13" t="s">
        <v>9</v>
      </c>
      <c r="B8" s="14" t="s">
        <v>10</v>
      </c>
      <c r="C8" s="15">
        <f>G14*1.25</f>
        <v>3265.9375</v>
      </c>
      <c r="D8" s="16"/>
      <c r="E8" s="17"/>
      <c r="T8" s="616"/>
      <c r="U8" s="619" t="s">
        <v>3</v>
      </c>
      <c r="V8" s="645" t="s">
        <v>84</v>
      </c>
      <c r="W8" s="646" t="s">
        <v>84</v>
      </c>
      <c r="X8" s="640" t="s">
        <v>83</v>
      </c>
      <c r="Y8" s="640" t="s">
        <v>83</v>
      </c>
      <c r="Z8" s="641" t="s">
        <v>202</v>
      </c>
      <c r="AA8" s="644" t="s">
        <v>203</v>
      </c>
      <c r="AB8" s="623" t="s">
        <v>204</v>
      </c>
    </row>
    <row r="9" spans="1:31" ht="15" customHeight="1" x14ac:dyDescent="0.25">
      <c r="A9" s="13" t="s">
        <v>11</v>
      </c>
      <c r="B9" s="14" t="s">
        <v>12</v>
      </c>
      <c r="C9" s="15">
        <f>G15*1.25</f>
        <v>1399.6875</v>
      </c>
      <c r="D9" s="16"/>
      <c r="E9" s="17"/>
      <c r="F9" t="s">
        <v>85</v>
      </c>
      <c r="H9" t="s">
        <v>5</v>
      </c>
      <c r="I9" s="5"/>
      <c r="K9" s="41" t="s">
        <v>86</v>
      </c>
      <c r="M9" t="s">
        <v>87</v>
      </c>
      <c r="T9" s="616"/>
      <c r="U9" s="619" t="s">
        <v>4</v>
      </c>
      <c r="V9" s="645" t="s">
        <v>95</v>
      </c>
      <c r="W9" s="646" t="s">
        <v>205</v>
      </c>
      <c r="X9" s="640" t="s">
        <v>206</v>
      </c>
      <c r="Y9" s="640" t="s">
        <v>207</v>
      </c>
      <c r="Z9" s="640"/>
      <c r="AA9" s="644" t="s">
        <v>208</v>
      </c>
      <c r="AB9" s="623" t="s">
        <v>208</v>
      </c>
    </row>
    <row r="10" spans="1:31" ht="15" customHeight="1" x14ac:dyDescent="0.25">
      <c r="A10" s="13" t="s">
        <v>13</v>
      </c>
      <c r="B10" s="14" t="s">
        <v>14</v>
      </c>
      <c r="C10" s="15">
        <f>G16*1.25</f>
        <v>3359.25</v>
      </c>
      <c r="D10" s="16"/>
      <c r="E10" s="17"/>
      <c r="F10" s="255" t="s">
        <v>89</v>
      </c>
      <c r="G10" s="256"/>
      <c r="H10" s="255" t="s">
        <v>89</v>
      </c>
      <c r="I10" s="256"/>
      <c r="T10" s="624" t="s">
        <v>7</v>
      </c>
      <c r="U10" s="625" t="s">
        <v>8</v>
      </c>
      <c r="V10" s="655">
        <f>SUM( V11:V13)</f>
        <v>1.5</v>
      </c>
      <c r="W10" s="626">
        <f t="shared" ref="W10" si="0">SUM(W11:W13)</f>
        <v>215.00000000000003</v>
      </c>
      <c r="X10" s="577">
        <f>SUM(X11:X13)</f>
        <v>0.7</v>
      </c>
      <c r="Y10" s="627">
        <f>X10*(1720/12)</f>
        <v>100.33333333333333</v>
      </c>
      <c r="Z10" s="628" t="s">
        <v>437</v>
      </c>
      <c r="AA10" s="629">
        <f>SUM(AA11:AA13)</f>
        <v>8025</v>
      </c>
      <c r="AB10" s="629">
        <f>SUM(AB11:AB13)</f>
        <v>10031.25</v>
      </c>
    </row>
    <row r="11" spans="1:31" ht="15" customHeight="1" x14ac:dyDescent="0.25">
      <c r="A11" s="9" t="s">
        <v>15</v>
      </c>
      <c r="B11" s="10" t="s">
        <v>16</v>
      </c>
      <c r="C11" s="42">
        <f>SUM(C12:C15)</f>
        <v>5346.8062500000005</v>
      </c>
      <c r="D11" s="19"/>
      <c r="E11" s="1"/>
      <c r="F11" s="40" t="s">
        <v>93</v>
      </c>
      <c r="G11" s="28" t="s">
        <v>94</v>
      </c>
      <c r="H11" s="40" t="s">
        <v>93</v>
      </c>
      <c r="I11" s="28" t="s">
        <v>94</v>
      </c>
      <c r="T11" s="630" t="s">
        <v>9</v>
      </c>
      <c r="U11" s="631" t="s">
        <v>10</v>
      </c>
      <c r="V11" s="614">
        <v>1</v>
      </c>
      <c r="W11" s="632">
        <f>V11*1720/12</f>
        <v>143.33333333333334</v>
      </c>
      <c r="X11" s="599">
        <v>0.28999999999999998</v>
      </c>
      <c r="Y11" s="647">
        <f>X11*(1720/12)</f>
        <v>41.56666666666667</v>
      </c>
      <c r="Z11" s="668" t="s">
        <v>438</v>
      </c>
      <c r="AA11" s="649">
        <v>3266</v>
      </c>
      <c r="AB11" s="633">
        <f>AA11*1.25</f>
        <v>4082.5</v>
      </c>
    </row>
    <row r="12" spans="1:31" ht="15" customHeight="1" x14ac:dyDescent="0.25">
      <c r="A12" s="13" t="s">
        <v>17</v>
      </c>
      <c r="B12" s="14" t="s">
        <v>18</v>
      </c>
      <c r="C12" s="15">
        <f>G18*1.25</f>
        <v>1306.3750000000002</v>
      </c>
      <c r="D12" s="16"/>
      <c r="E12" s="17"/>
      <c r="F12" s="27"/>
      <c r="G12" s="30">
        <v>74.650000000000006</v>
      </c>
      <c r="H12" s="27"/>
      <c r="I12" s="30">
        <v>82</v>
      </c>
      <c r="T12" s="630" t="s">
        <v>11</v>
      </c>
      <c r="U12" s="631" t="s">
        <v>12</v>
      </c>
      <c r="V12" s="614">
        <v>0.25</v>
      </c>
      <c r="W12" s="632">
        <f t="shared" ref="W12:W13" si="1">V12*1720/12</f>
        <v>35.833333333333336</v>
      </c>
      <c r="X12" s="599">
        <v>0.12</v>
      </c>
      <c r="Y12" s="647">
        <f t="shared" ref="Y12:Y13" si="2">X12*(1720/12)</f>
        <v>17.2</v>
      </c>
      <c r="Z12" s="668" t="s">
        <v>435</v>
      </c>
      <c r="AA12" s="649">
        <v>1400</v>
      </c>
      <c r="AB12" s="633">
        <f t="shared" ref="AB12:AB13" si="3">AA12*1.25</f>
        <v>1750</v>
      </c>
    </row>
    <row r="13" spans="1:31" ht="15" customHeight="1" x14ac:dyDescent="0.25">
      <c r="A13" s="13" t="s">
        <v>19</v>
      </c>
      <c r="B13" s="14" t="s">
        <v>20</v>
      </c>
      <c r="C13" s="15">
        <f>G19*1.25</f>
        <v>4040.4312500000005</v>
      </c>
      <c r="D13" s="16"/>
      <c r="E13" s="17"/>
      <c r="F13" s="29">
        <f>SUM(F14:F16)</f>
        <v>86</v>
      </c>
      <c r="G13" s="30">
        <f t="shared" ref="G13:G51" si="4">F13*G$12*(1+I$9)</f>
        <v>6419.9000000000005</v>
      </c>
      <c r="H13" s="29">
        <f>SUM(H14:H16)</f>
        <v>0</v>
      </c>
      <c r="I13" s="30">
        <f t="shared" ref="I13:I51" si="5">H13*I$12*(1+I$9)</f>
        <v>0</v>
      </c>
      <c r="J13" t="s">
        <v>95</v>
      </c>
      <c r="K13" s="41">
        <v>0.6</v>
      </c>
      <c r="T13" s="630" t="s">
        <v>13</v>
      </c>
      <c r="U13" s="631" t="s">
        <v>14</v>
      </c>
      <c r="V13" s="614">
        <v>0.25</v>
      </c>
      <c r="W13" s="632">
        <f t="shared" si="1"/>
        <v>35.833333333333336</v>
      </c>
      <c r="X13" s="599">
        <v>0.28999999999999998</v>
      </c>
      <c r="Y13" s="647">
        <f t="shared" si="2"/>
        <v>41.56666666666667</v>
      </c>
      <c r="Z13" s="668" t="s">
        <v>436</v>
      </c>
      <c r="AA13" s="649">
        <v>3359</v>
      </c>
      <c r="AB13" s="633">
        <f t="shared" si="3"/>
        <v>4198.75</v>
      </c>
    </row>
    <row r="14" spans="1:31" ht="15" customHeight="1" x14ac:dyDescent="0.25">
      <c r="A14" s="13" t="s">
        <v>21</v>
      </c>
      <c r="B14" s="14" t="s">
        <v>22</v>
      </c>
      <c r="C14" s="15">
        <f>G20*1.25</f>
        <v>0</v>
      </c>
      <c r="D14" s="16"/>
      <c r="E14" s="17"/>
      <c r="F14" s="31">
        <v>35</v>
      </c>
      <c r="G14" s="30">
        <f t="shared" si="4"/>
        <v>2612.75</v>
      </c>
      <c r="H14" s="31">
        <v>0</v>
      </c>
      <c r="I14" s="30">
        <f t="shared" si="5"/>
        <v>0</v>
      </c>
      <c r="T14" s="624" t="s">
        <v>15</v>
      </c>
      <c r="U14" s="625" t="s">
        <v>16</v>
      </c>
      <c r="V14" s="655">
        <f t="shared" ref="V14" si="6">SUM(V15:V18)</f>
        <v>0.5</v>
      </c>
      <c r="W14" s="634">
        <f t="shared" ref="W14" si="7">SUM(W15:W18)</f>
        <v>71.666666666666671</v>
      </c>
      <c r="X14" s="577">
        <f>SUM( X15:X18)</f>
        <v>0.45999999999999996</v>
      </c>
      <c r="Y14" s="627">
        <f>X14*(1720/12)</f>
        <v>65.933333333333337</v>
      </c>
      <c r="Z14" s="628" t="s">
        <v>441</v>
      </c>
      <c r="AA14" s="629">
        <f>SUM(AA15:AA18)</f>
        <v>5346</v>
      </c>
      <c r="AB14" s="629">
        <f>SUM(AB15:AB18)</f>
        <v>6682.5</v>
      </c>
    </row>
    <row r="15" spans="1:31" ht="15" customHeight="1" x14ac:dyDescent="0.25">
      <c r="A15" s="13" t="s">
        <v>23</v>
      </c>
      <c r="B15" s="14" t="s">
        <v>24</v>
      </c>
      <c r="C15" s="15">
        <f>G21*1.25</f>
        <v>0</v>
      </c>
      <c r="D15" s="16"/>
      <c r="E15" s="17"/>
      <c r="F15" s="31">
        <v>15</v>
      </c>
      <c r="G15" s="30">
        <f t="shared" si="4"/>
        <v>1119.75</v>
      </c>
      <c r="H15" s="31">
        <v>0</v>
      </c>
      <c r="I15" s="30">
        <f t="shared" si="5"/>
        <v>0</v>
      </c>
      <c r="T15" s="630" t="s">
        <v>17</v>
      </c>
      <c r="U15" s="631" t="s">
        <v>18</v>
      </c>
      <c r="V15" s="614">
        <v>0.25</v>
      </c>
      <c r="W15" s="632">
        <f t="shared" ref="W15:W18" si="8">V15*1720/12</f>
        <v>35.833333333333336</v>
      </c>
      <c r="X15" s="599">
        <v>0.11</v>
      </c>
      <c r="Y15" s="647">
        <f t="shared" ref="Y15:Y18" si="9">X15*(1720/12)</f>
        <v>15.766666666666667</v>
      </c>
      <c r="Z15" s="668" t="s">
        <v>439</v>
      </c>
      <c r="AA15" s="649">
        <v>1306</v>
      </c>
      <c r="AB15" s="633">
        <f t="shared" ref="AB15:AB18" si="10">AA15*1.25</f>
        <v>1632.5</v>
      </c>
    </row>
    <row r="16" spans="1:31" ht="15" customHeight="1" x14ac:dyDescent="0.25">
      <c r="A16" s="9" t="s">
        <v>25</v>
      </c>
      <c r="B16" s="10" t="s">
        <v>26</v>
      </c>
      <c r="C16" s="42">
        <f>SUM(C17:C22)</f>
        <v>1306.375</v>
      </c>
      <c r="D16" s="19"/>
      <c r="E16" s="1"/>
      <c r="F16" s="31">
        <v>36</v>
      </c>
      <c r="G16" s="30">
        <f t="shared" si="4"/>
        <v>2687.4</v>
      </c>
      <c r="H16" s="31">
        <v>0</v>
      </c>
      <c r="I16" s="30">
        <f t="shared" si="5"/>
        <v>0</v>
      </c>
      <c r="T16" s="630" t="s">
        <v>19</v>
      </c>
      <c r="U16" s="631" t="s">
        <v>20</v>
      </c>
      <c r="V16" s="614">
        <v>0.25</v>
      </c>
      <c r="W16" s="632">
        <f t="shared" si="8"/>
        <v>35.833333333333336</v>
      </c>
      <c r="X16" s="599">
        <v>0.35</v>
      </c>
      <c r="Y16" s="647">
        <f t="shared" si="9"/>
        <v>50.166666666666664</v>
      </c>
      <c r="Z16" s="668" t="s">
        <v>440</v>
      </c>
      <c r="AA16" s="649">
        <v>4040</v>
      </c>
      <c r="AB16" s="633">
        <f t="shared" si="10"/>
        <v>5050</v>
      </c>
    </row>
    <row r="17" spans="1:28" ht="15" customHeight="1" x14ac:dyDescent="0.25">
      <c r="A17" s="13" t="s">
        <v>27</v>
      </c>
      <c r="B17" s="14" t="s">
        <v>28</v>
      </c>
      <c r="C17" s="15">
        <f t="shared" ref="C17:C22" si="11">G23*1.25</f>
        <v>559.875</v>
      </c>
      <c r="D17" s="16"/>
      <c r="E17" s="17"/>
      <c r="F17" s="32">
        <f>SUM(F18:F21)</f>
        <v>57.3</v>
      </c>
      <c r="G17" s="30">
        <f t="shared" si="4"/>
        <v>4277.4449999999997</v>
      </c>
      <c r="H17" s="32"/>
      <c r="I17" s="30">
        <f t="shared" si="5"/>
        <v>0</v>
      </c>
      <c r="J17" t="s">
        <v>95</v>
      </c>
      <c r="K17" s="41">
        <v>0.4</v>
      </c>
      <c r="T17" s="630" t="s">
        <v>21</v>
      </c>
      <c r="U17" s="631" t="s">
        <v>22</v>
      </c>
      <c r="V17" s="614">
        <v>0</v>
      </c>
      <c r="W17" s="632">
        <f t="shared" si="8"/>
        <v>0</v>
      </c>
      <c r="X17" s="599">
        <v>0</v>
      </c>
      <c r="Y17" s="647">
        <f t="shared" si="9"/>
        <v>0</v>
      </c>
      <c r="Z17" s="668" t="s">
        <v>209</v>
      </c>
      <c r="AA17" s="649">
        <v>0</v>
      </c>
      <c r="AB17" s="633">
        <f t="shared" si="10"/>
        <v>0</v>
      </c>
    </row>
    <row r="18" spans="1:28" ht="15" customHeight="1" x14ac:dyDescent="0.25">
      <c r="A18" s="13" t="s">
        <v>29</v>
      </c>
      <c r="B18" s="14" t="s">
        <v>30</v>
      </c>
      <c r="C18" s="15">
        <f t="shared" si="11"/>
        <v>466.5625</v>
      </c>
      <c r="D18" s="16"/>
      <c r="E18" s="17"/>
      <c r="F18" s="31">
        <v>14</v>
      </c>
      <c r="G18" s="30">
        <f t="shared" si="4"/>
        <v>1045.1000000000001</v>
      </c>
      <c r="H18" s="31">
        <v>0</v>
      </c>
      <c r="I18" s="30">
        <f t="shared" si="5"/>
        <v>0</v>
      </c>
      <c r="T18" s="630" t="s">
        <v>23</v>
      </c>
      <c r="U18" s="631" t="s">
        <v>24</v>
      </c>
      <c r="V18" s="614">
        <v>0</v>
      </c>
      <c r="W18" s="632">
        <f t="shared" si="8"/>
        <v>0</v>
      </c>
      <c r="X18" s="599">
        <v>0</v>
      </c>
      <c r="Y18" s="647">
        <f t="shared" si="9"/>
        <v>0</v>
      </c>
      <c r="Z18" s="668" t="s">
        <v>209</v>
      </c>
      <c r="AA18" s="649">
        <v>0</v>
      </c>
      <c r="AB18" s="633">
        <f t="shared" si="10"/>
        <v>0</v>
      </c>
    </row>
    <row r="19" spans="1:28" ht="15" customHeight="1" x14ac:dyDescent="0.25">
      <c r="A19" s="13" t="s">
        <v>31</v>
      </c>
      <c r="B19" s="14" t="s">
        <v>32</v>
      </c>
      <c r="C19" s="15">
        <f t="shared" si="11"/>
        <v>279.9375</v>
      </c>
      <c r="D19" s="16"/>
      <c r="E19" s="17"/>
      <c r="F19" s="31">
        <v>43.3</v>
      </c>
      <c r="G19" s="30">
        <f t="shared" si="4"/>
        <v>3232.3450000000003</v>
      </c>
      <c r="H19" s="31">
        <v>0</v>
      </c>
      <c r="I19" s="30">
        <f t="shared" si="5"/>
        <v>0</v>
      </c>
      <c r="T19" s="624" t="s">
        <v>25</v>
      </c>
      <c r="U19" s="625" t="s">
        <v>26</v>
      </c>
      <c r="V19" s="655">
        <f t="shared" ref="V19" si="12">SUM(V20:V25)</f>
        <v>7</v>
      </c>
      <c r="W19" s="634">
        <f t="shared" ref="W19" si="13">SUM(W20:W25)</f>
        <v>1003.3333333333334</v>
      </c>
      <c r="X19" s="577">
        <f>SUM(X20:X25)</f>
        <v>7</v>
      </c>
      <c r="Y19" s="627">
        <f>X19*(1720/12)</f>
        <v>1003.3333333333334</v>
      </c>
      <c r="Z19" s="628"/>
      <c r="AA19" s="629">
        <f>SUM(AA20:AA25)</f>
        <v>94376</v>
      </c>
      <c r="AB19" s="629">
        <f>SUM(AB20:AB25)</f>
        <v>117970</v>
      </c>
    </row>
    <row r="20" spans="1:28" ht="15" customHeight="1" x14ac:dyDescent="0.25">
      <c r="A20" s="13" t="s">
        <v>33</v>
      </c>
      <c r="B20" s="14" t="s">
        <v>34</v>
      </c>
      <c r="C20" s="15">
        <f t="shared" si="11"/>
        <v>0</v>
      </c>
      <c r="D20" s="16"/>
      <c r="E20" s="17"/>
      <c r="F20" s="31">
        <v>0</v>
      </c>
      <c r="G20" s="30">
        <f t="shared" si="4"/>
        <v>0</v>
      </c>
      <c r="H20" s="31">
        <v>0</v>
      </c>
      <c r="I20" s="30">
        <f t="shared" si="5"/>
        <v>0</v>
      </c>
      <c r="T20" s="630" t="s">
        <v>27</v>
      </c>
      <c r="U20" s="631" t="s">
        <v>28</v>
      </c>
      <c r="V20" s="614">
        <v>0.5</v>
      </c>
      <c r="W20" s="632">
        <f t="shared" ref="W20:W25" si="14">V20*1720/12</f>
        <v>71.666666666666671</v>
      </c>
      <c r="X20" s="599">
        <v>0.5</v>
      </c>
      <c r="Y20" s="647">
        <f t="shared" ref="Y20:Y25" si="15">X20*(1720/12)</f>
        <v>71.666666666666671</v>
      </c>
      <c r="Z20" s="648" t="s">
        <v>209</v>
      </c>
      <c r="AA20" s="649">
        <v>6688</v>
      </c>
      <c r="AB20" s="633">
        <f t="shared" ref="AB20:AB25" si="16">AA20*1.25</f>
        <v>8360</v>
      </c>
    </row>
    <row r="21" spans="1:28" ht="15" customHeight="1" x14ac:dyDescent="0.25">
      <c r="A21" s="13" t="s">
        <v>35</v>
      </c>
      <c r="B21" s="14" t="s">
        <v>36</v>
      </c>
      <c r="C21" s="15">
        <v>0</v>
      </c>
      <c r="D21" s="16"/>
      <c r="E21" s="17"/>
      <c r="F21" s="31">
        <v>0</v>
      </c>
      <c r="G21" s="30">
        <f t="shared" si="4"/>
        <v>0</v>
      </c>
      <c r="H21" s="31">
        <v>0</v>
      </c>
      <c r="I21" s="30">
        <f t="shared" si="5"/>
        <v>0</v>
      </c>
      <c r="T21" s="630" t="s">
        <v>29</v>
      </c>
      <c r="U21" s="631" t="s">
        <v>30</v>
      </c>
      <c r="V21" s="614">
        <v>0.5</v>
      </c>
      <c r="W21" s="632">
        <f t="shared" si="14"/>
        <v>71.666666666666671</v>
      </c>
      <c r="X21" s="599">
        <v>0.5</v>
      </c>
      <c r="Y21" s="647">
        <f t="shared" si="15"/>
        <v>71.666666666666671</v>
      </c>
      <c r="Z21" s="648" t="s">
        <v>209</v>
      </c>
      <c r="AA21" s="649">
        <v>6688</v>
      </c>
      <c r="AB21" s="633">
        <f t="shared" si="16"/>
        <v>8360</v>
      </c>
    </row>
    <row r="22" spans="1:28" ht="15" customHeight="1" x14ac:dyDescent="0.25">
      <c r="A22" s="13" t="s">
        <v>37</v>
      </c>
      <c r="B22" s="14" t="s">
        <v>38</v>
      </c>
      <c r="C22" s="15">
        <f t="shared" si="11"/>
        <v>0</v>
      </c>
      <c r="D22" s="16"/>
      <c r="E22" s="17"/>
      <c r="F22" s="32">
        <f>SUM(F23:F28)</f>
        <v>14</v>
      </c>
      <c r="G22" s="30">
        <f t="shared" si="4"/>
        <v>1045.1000000000001</v>
      </c>
      <c r="H22" s="32">
        <f>SUM(H23:H28)</f>
        <v>0</v>
      </c>
      <c r="I22" s="30">
        <f t="shared" si="5"/>
        <v>0</v>
      </c>
      <c r="J22" t="s">
        <v>95</v>
      </c>
      <c r="K22" s="41">
        <v>0.1</v>
      </c>
      <c r="T22" s="630" t="s">
        <v>31</v>
      </c>
      <c r="U22" s="631" t="s">
        <v>32</v>
      </c>
      <c r="V22" s="614">
        <v>1</v>
      </c>
      <c r="W22" s="632">
        <f t="shared" si="14"/>
        <v>143.33333333333334</v>
      </c>
      <c r="X22" s="599">
        <v>1</v>
      </c>
      <c r="Y22" s="647">
        <f t="shared" si="15"/>
        <v>143.33333333333334</v>
      </c>
      <c r="Z22" s="668" t="s">
        <v>209</v>
      </c>
      <c r="AA22" s="649">
        <v>13750</v>
      </c>
      <c r="AB22" s="633">
        <f t="shared" si="16"/>
        <v>17187.5</v>
      </c>
    </row>
    <row r="23" spans="1:28" ht="15" customHeight="1" x14ac:dyDescent="0.25">
      <c r="A23" s="9" t="s">
        <v>39</v>
      </c>
      <c r="B23" s="10" t="s">
        <v>40</v>
      </c>
      <c r="C23" s="42">
        <f>SUM(C24:C32)</f>
        <v>6681.1750000000011</v>
      </c>
      <c r="D23" s="20"/>
      <c r="E23" s="1"/>
      <c r="F23" s="31">
        <v>6</v>
      </c>
      <c r="G23" s="30">
        <f t="shared" si="4"/>
        <v>447.90000000000003</v>
      </c>
      <c r="H23" s="31">
        <v>0</v>
      </c>
      <c r="I23" s="30">
        <f t="shared" si="5"/>
        <v>0</v>
      </c>
      <c r="T23" s="630" t="s">
        <v>33</v>
      </c>
      <c r="U23" s="631" t="s">
        <v>34</v>
      </c>
      <c r="V23" s="614">
        <v>2</v>
      </c>
      <c r="W23" s="632">
        <f t="shared" si="14"/>
        <v>286.66666666666669</v>
      </c>
      <c r="X23" s="599">
        <v>2</v>
      </c>
      <c r="Y23" s="647">
        <f t="shared" si="15"/>
        <v>286.66666666666669</v>
      </c>
      <c r="Z23" s="648" t="s">
        <v>434</v>
      </c>
      <c r="AA23" s="649">
        <v>26750</v>
      </c>
      <c r="AB23" s="633">
        <f t="shared" si="16"/>
        <v>33437.5</v>
      </c>
    </row>
    <row r="24" spans="1:28" ht="15" customHeight="1" x14ac:dyDescent="0.25">
      <c r="A24" s="21" t="s">
        <v>41</v>
      </c>
      <c r="B24" s="14" t="s">
        <v>42</v>
      </c>
      <c r="C24" s="15">
        <f t="shared" ref="C24:C32" si="17">G30*1.25</f>
        <v>933.125</v>
      </c>
      <c r="D24" s="16"/>
      <c r="E24" s="17"/>
      <c r="F24" s="31">
        <v>5</v>
      </c>
      <c r="G24" s="30">
        <f t="shared" si="4"/>
        <v>373.25</v>
      </c>
      <c r="H24" s="31">
        <v>0</v>
      </c>
      <c r="I24" s="30">
        <f t="shared" si="5"/>
        <v>0</v>
      </c>
      <c r="T24" s="630" t="s">
        <v>35</v>
      </c>
      <c r="U24" s="631" t="s">
        <v>36</v>
      </c>
      <c r="V24" s="614">
        <v>2</v>
      </c>
      <c r="W24" s="632">
        <f t="shared" si="14"/>
        <v>286.66666666666669</v>
      </c>
      <c r="X24" s="599">
        <v>2</v>
      </c>
      <c r="Y24" s="647">
        <f t="shared" si="15"/>
        <v>286.66666666666669</v>
      </c>
      <c r="Z24" s="648" t="s">
        <v>434</v>
      </c>
      <c r="AA24" s="649">
        <v>26750</v>
      </c>
      <c r="AB24" s="633">
        <f t="shared" si="16"/>
        <v>33437.5</v>
      </c>
    </row>
    <row r="25" spans="1:28" ht="15" customHeight="1" x14ac:dyDescent="0.25">
      <c r="A25" s="21" t="s">
        <v>43</v>
      </c>
      <c r="B25" s="14" t="s">
        <v>44</v>
      </c>
      <c r="C25" s="15">
        <f t="shared" si="17"/>
        <v>0</v>
      </c>
      <c r="D25" s="16"/>
      <c r="E25" s="17"/>
      <c r="F25" s="31">
        <v>3</v>
      </c>
      <c r="G25" s="30">
        <f t="shared" si="4"/>
        <v>223.95000000000002</v>
      </c>
      <c r="H25" s="31">
        <v>0</v>
      </c>
      <c r="I25" s="30">
        <f t="shared" si="5"/>
        <v>0</v>
      </c>
      <c r="T25" s="65" t="s">
        <v>37</v>
      </c>
      <c r="U25" s="66" t="s">
        <v>38</v>
      </c>
      <c r="V25" s="614">
        <v>1</v>
      </c>
      <c r="W25" s="632">
        <f t="shared" si="14"/>
        <v>143.33333333333334</v>
      </c>
      <c r="X25" s="599">
        <v>1</v>
      </c>
      <c r="Y25" s="647">
        <f t="shared" si="15"/>
        <v>143.33333333333334</v>
      </c>
      <c r="Z25" s="668" t="s">
        <v>211</v>
      </c>
      <c r="AA25" s="649">
        <v>13750</v>
      </c>
      <c r="AB25" s="633">
        <f t="shared" si="16"/>
        <v>17187.5</v>
      </c>
    </row>
    <row r="26" spans="1:28" ht="15" customHeight="1" x14ac:dyDescent="0.25">
      <c r="A26" s="43" t="s">
        <v>45</v>
      </c>
      <c r="B26" s="44" t="s">
        <v>46</v>
      </c>
      <c r="C26" s="15">
        <f t="shared" si="17"/>
        <v>0</v>
      </c>
      <c r="D26" s="16"/>
      <c r="E26" s="17"/>
      <c r="F26" s="31">
        <v>0</v>
      </c>
      <c r="G26" s="30">
        <f t="shared" si="4"/>
        <v>0</v>
      </c>
      <c r="H26" s="31">
        <v>0</v>
      </c>
      <c r="I26" s="30">
        <f t="shared" si="5"/>
        <v>0</v>
      </c>
      <c r="T26" s="624" t="s">
        <v>212</v>
      </c>
      <c r="U26" s="625" t="s">
        <v>40</v>
      </c>
      <c r="V26" s="655">
        <f>SUM(V27:V35)</f>
        <v>5.5</v>
      </c>
      <c r="W26" s="634">
        <f t="shared" ref="W26" si="18">SUM(W27:W35)</f>
        <v>788.33333333333337</v>
      </c>
      <c r="X26" s="577">
        <f>SUM(X27:X35)</f>
        <v>4.3600000000000003</v>
      </c>
      <c r="Y26" s="627">
        <f>X26*(1720/12)</f>
        <v>624.93333333333339</v>
      </c>
      <c r="Z26" s="628" t="s">
        <v>455</v>
      </c>
      <c r="AA26" s="629">
        <f>SUM(AA27:AA35)</f>
        <v>56059</v>
      </c>
      <c r="AB26" s="629">
        <f>SUM(AB27:AB35)</f>
        <v>70073.75</v>
      </c>
    </row>
    <row r="27" spans="1:28" ht="15" customHeight="1" x14ac:dyDescent="0.25">
      <c r="A27" s="21" t="s">
        <v>47</v>
      </c>
      <c r="B27" s="14" t="s">
        <v>48</v>
      </c>
      <c r="C27" s="15">
        <f t="shared" si="17"/>
        <v>0</v>
      </c>
      <c r="D27" s="16"/>
      <c r="E27" s="17"/>
      <c r="F27" s="31">
        <v>0</v>
      </c>
      <c r="G27" s="30">
        <f t="shared" si="4"/>
        <v>0</v>
      </c>
      <c r="H27" s="31">
        <v>0</v>
      </c>
      <c r="I27" s="30">
        <f t="shared" si="5"/>
        <v>0</v>
      </c>
      <c r="T27" s="635" t="s">
        <v>213</v>
      </c>
      <c r="U27" s="631" t="s">
        <v>42</v>
      </c>
      <c r="V27" s="614">
        <v>0</v>
      </c>
      <c r="W27" s="632">
        <f t="shared" ref="W27:W35" si="19">V27*1720/12</f>
        <v>0</v>
      </c>
      <c r="X27" s="599">
        <v>0.08</v>
      </c>
      <c r="Y27" s="647">
        <f t="shared" ref="Y27:Y35" si="20">X27*(1720/12)</f>
        <v>11.466666666666667</v>
      </c>
      <c r="Z27" s="668" t="s">
        <v>444</v>
      </c>
      <c r="AA27" s="649">
        <v>933</v>
      </c>
      <c r="AB27" s="633">
        <f t="shared" ref="AB27:AB35" si="21">AA27*1.25</f>
        <v>1166.25</v>
      </c>
    </row>
    <row r="28" spans="1:28" ht="15" customHeight="1" x14ac:dyDescent="0.25">
      <c r="A28" s="21" t="s">
        <v>49</v>
      </c>
      <c r="B28" s="14" t="s">
        <v>50</v>
      </c>
      <c r="C28" s="15">
        <f t="shared" si="17"/>
        <v>0</v>
      </c>
      <c r="D28" s="16"/>
      <c r="E28" s="17"/>
      <c r="F28" s="31">
        <v>0</v>
      </c>
      <c r="G28" s="30">
        <f t="shared" si="4"/>
        <v>0</v>
      </c>
      <c r="H28" s="31">
        <v>0</v>
      </c>
      <c r="I28" s="30">
        <f t="shared" si="5"/>
        <v>0</v>
      </c>
      <c r="T28" s="70" t="s">
        <v>43</v>
      </c>
      <c r="U28" s="66" t="s">
        <v>44</v>
      </c>
      <c r="V28" s="614">
        <v>1</v>
      </c>
      <c r="W28" s="632">
        <f t="shared" si="19"/>
        <v>143.33333333333334</v>
      </c>
      <c r="X28" s="599">
        <v>0.17</v>
      </c>
      <c r="Y28" s="647">
        <f t="shared" si="20"/>
        <v>24.366666666666671</v>
      </c>
      <c r="Z28" s="668" t="s">
        <v>447</v>
      </c>
      <c r="AA28" s="649">
        <v>2000</v>
      </c>
      <c r="AB28" s="633">
        <f t="shared" si="21"/>
        <v>2500</v>
      </c>
    </row>
    <row r="29" spans="1:28" ht="15" customHeight="1" x14ac:dyDescent="0.25">
      <c r="A29" s="21" t="s">
        <v>51</v>
      </c>
      <c r="B29" s="14" t="s">
        <v>52</v>
      </c>
      <c r="C29" s="15">
        <f t="shared" si="17"/>
        <v>0</v>
      </c>
      <c r="D29" s="16"/>
      <c r="E29" s="17"/>
      <c r="F29" s="32">
        <f>SUM(F30:F38)</f>
        <v>71.599999999999994</v>
      </c>
      <c r="G29" s="30">
        <f t="shared" si="4"/>
        <v>5344.94</v>
      </c>
      <c r="H29" s="32"/>
      <c r="I29" s="30">
        <f t="shared" si="5"/>
        <v>0</v>
      </c>
      <c r="J29" t="s">
        <v>95</v>
      </c>
      <c r="K29" s="41">
        <v>0.5</v>
      </c>
      <c r="T29" s="635" t="s">
        <v>45</v>
      </c>
      <c r="U29" s="631" t="s">
        <v>46</v>
      </c>
      <c r="V29" s="614">
        <v>0.5</v>
      </c>
      <c r="W29" s="632">
        <f t="shared" si="19"/>
        <v>71.666666666666671</v>
      </c>
      <c r="X29" s="599">
        <v>0.34</v>
      </c>
      <c r="Y29" s="647">
        <f t="shared" si="20"/>
        <v>48.733333333333341</v>
      </c>
      <c r="Z29" s="668" t="s">
        <v>446</v>
      </c>
      <c r="AA29" s="649">
        <v>4000</v>
      </c>
      <c r="AB29" s="633">
        <f t="shared" si="21"/>
        <v>5000</v>
      </c>
    </row>
    <row r="30" spans="1:28" ht="15" customHeight="1" x14ac:dyDescent="0.25">
      <c r="A30" s="21" t="s">
        <v>53</v>
      </c>
      <c r="B30" s="14" t="s">
        <v>54</v>
      </c>
      <c r="C30" s="15">
        <f t="shared" si="17"/>
        <v>0</v>
      </c>
      <c r="D30" s="16"/>
      <c r="E30" s="17"/>
      <c r="F30" s="31">
        <v>10</v>
      </c>
      <c r="G30" s="30">
        <f t="shared" si="4"/>
        <v>746.5</v>
      </c>
      <c r="H30" s="31">
        <v>0</v>
      </c>
      <c r="I30" s="30">
        <f t="shared" si="5"/>
        <v>0</v>
      </c>
      <c r="T30" s="635" t="s">
        <v>47</v>
      </c>
      <c r="U30" s="631" t="s">
        <v>48</v>
      </c>
      <c r="V30" s="614">
        <v>0.5</v>
      </c>
      <c r="W30" s="632">
        <f t="shared" si="19"/>
        <v>71.666666666666671</v>
      </c>
      <c r="X30" s="599">
        <v>0.17</v>
      </c>
      <c r="Y30" s="647">
        <f t="shared" si="20"/>
        <v>24.366666666666671</v>
      </c>
      <c r="Z30" s="668" t="s">
        <v>445</v>
      </c>
      <c r="AA30" s="649">
        <v>2000</v>
      </c>
      <c r="AB30" s="633">
        <f t="shared" si="21"/>
        <v>2500</v>
      </c>
    </row>
    <row r="31" spans="1:28" ht="15" customHeight="1" x14ac:dyDescent="0.25">
      <c r="A31" s="13" t="s">
        <v>55</v>
      </c>
      <c r="B31" s="14" t="s">
        <v>56</v>
      </c>
      <c r="C31" s="15">
        <f t="shared" si="17"/>
        <v>0</v>
      </c>
      <c r="D31" s="16"/>
      <c r="E31" s="17"/>
      <c r="F31" s="31">
        <v>0</v>
      </c>
      <c r="G31" s="30">
        <f t="shared" si="4"/>
        <v>0</v>
      </c>
      <c r="H31" s="31">
        <v>0</v>
      </c>
      <c r="I31" s="30">
        <f t="shared" si="5"/>
        <v>0</v>
      </c>
      <c r="T31" s="70" t="s">
        <v>214</v>
      </c>
      <c r="U31" s="66" t="s">
        <v>50</v>
      </c>
      <c r="V31" s="614">
        <v>0</v>
      </c>
      <c r="W31" s="632">
        <f t="shared" si="19"/>
        <v>0</v>
      </c>
      <c r="X31" s="599">
        <v>0.17</v>
      </c>
      <c r="Y31" s="647">
        <f t="shared" si="20"/>
        <v>24.366666666666671</v>
      </c>
      <c r="Z31" s="668" t="s">
        <v>448</v>
      </c>
      <c r="AA31" s="649">
        <v>2000</v>
      </c>
      <c r="AB31" s="633">
        <f t="shared" si="21"/>
        <v>2500</v>
      </c>
    </row>
    <row r="32" spans="1:28" ht="15" customHeight="1" x14ac:dyDescent="0.25">
      <c r="A32" s="13" t="s">
        <v>57</v>
      </c>
      <c r="B32" s="14" t="s">
        <v>58</v>
      </c>
      <c r="C32" s="15">
        <f t="shared" si="17"/>
        <v>5748.0500000000011</v>
      </c>
      <c r="D32" s="16"/>
      <c r="E32" s="17"/>
      <c r="F32" s="31">
        <v>0</v>
      </c>
      <c r="G32" s="30">
        <f t="shared" si="4"/>
        <v>0</v>
      </c>
      <c r="H32" s="31">
        <v>0</v>
      </c>
      <c r="I32" s="30">
        <f t="shared" si="5"/>
        <v>0</v>
      </c>
      <c r="T32" s="635" t="s">
        <v>51</v>
      </c>
      <c r="U32" s="631" t="s">
        <v>52</v>
      </c>
      <c r="V32" s="614">
        <v>0</v>
      </c>
      <c r="W32" s="632">
        <f t="shared" si="19"/>
        <v>0</v>
      </c>
      <c r="X32" s="599">
        <v>0.17</v>
      </c>
      <c r="Y32" s="647">
        <f t="shared" si="20"/>
        <v>24.366666666666671</v>
      </c>
      <c r="Z32" s="668" t="s">
        <v>448</v>
      </c>
      <c r="AA32" s="649">
        <v>2000</v>
      </c>
      <c r="AB32" s="633">
        <f t="shared" si="21"/>
        <v>2500</v>
      </c>
    </row>
    <row r="33" spans="1:33" ht="15" customHeight="1" x14ac:dyDescent="0.25">
      <c r="A33" s="9" t="s">
        <v>59</v>
      </c>
      <c r="B33" s="10" t="s">
        <v>60</v>
      </c>
      <c r="C33" s="42">
        <f>SUM(C34:C36)</f>
        <v>4189.7312500000007</v>
      </c>
      <c r="D33" s="20"/>
      <c r="E33" s="1"/>
      <c r="F33" s="31">
        <v>0</v>
      </c>
      <c r="G33" s="30">
        <f t="shared" si="4"/>
        <v>0</v>
      </c>
      <c r="H33" s="31">
        <v>0</v>
      </c>
      <c r="I33" s="30">
        <f t="shared" si="5"/>
        <v>0</v>
      </c>
      <c r="T33" s="635" t="s">
        <v>53</v>
      </c>
      <c r="U33" s="631" t="s">
        <v>54</v>
      </c>
      <c r="V33" s="614">
        <v>0.5</v>
      </c>
      <c r="W33" s="632">
        <f t="shared" si="19"/>
        <v>71.666666666666671</v>
      </c>
      <c r="X33" s="599">
        <v>0.26</v>
      </c>
      <c r="Y33" s="647">
        <f t="shared" si="20"/>
        <v>37.266666666666673</v>
      </c>
      <c r="Z33" s="668" t="s">
        <v>449</v>
      </c>
      <c r="AA33" s="649">
        <v>3000</v>
      </c>
      <c r="AB33" s="633">
        <f t="shared" si="21"/>
        <v>3750</v>
      </c>
    </row>
    <row r="34" spans="1:33" ht="15" customHeight="1" x14ac:dyDescent="0.25">
      <c r="A34" s="13" t="s">
        <v>61</v>
      </c>
      <c r="B34" s="14" t="s">
        <v>62</v>
      </c>
      <c r="C34" s="15">
        <f>G40*1.25</f>
        <v>2874.0250000000005</v>
      </c>
      <c r="D34" s="16"/>
      <c r="E34" s="17"/>
      <c r="F34" s="31">
        <v>0</v>
      </c>
      <c r="G34" s="30">
        <f t="shared" si="4"/>
        <v>0</v>
      </c>
      <c r="H34" s="31">
        <v>0</v>
      </c>
      <c r="I34" s="30">
        <f t="shared" si="5"/>
        <v>0</v>
      </c>
      <c r="T34" s="630" t="s">
        <v>55</v>
      </c>
      <c r="U34" s="631" t="s">
        <v>56</v>
      </c>
      <c r="V34" s="614">
        <v>0.5</v>
      </c>
      <c r="W34" s="632">
        <f t="shared" si="19"/>
        <v>71.666666666666671</v>
      </c>
      <c r="X34" s="599">
        <v>0.5</v>
      </c>
      <c r="Y34" s="647">
        <f t="shared" si="20"/>
        <v>71.666666666666671</v>
      </c>
      <c r="Z34" s="668" t="s">
        <v>209</v>
      </c>
      <c r="AA34" s="649">
        <v>6688</v>
      </c>
      <c r="AB34" s="633">
        <f t="shared" si="21"/>
        <v>8360</v>
      </c>
    </row>
    <row r="35" spans="1:33" ht="15" customHeight="1" x14ac:dyDescent="0.25">
      <c r="A35" s="13" t="s">
        <v>63</v>
      </c>
      <c r="B35" s="14" t="s">
        <v>64</v>
      </c>
      <c r="C35" s="15">
        <f>G41*1.25</f>
        <v>746.5</v>
      </c>
      <c r="D35" s="16"/>
      <c r="E35" s="17"/>
      <c r="F35" s="31">
        <v>0</v>
      </c>
      <c r="G35" s="30">
        <f t="shared" si="4"/>
        <v>0</v>
      </c>
      <c r="H35" s="31">
        <v>0</v>
      </c>
      <c r="I35" s="30">
        <f t="shared" si="5"/>
        <v>0</v>
      </c>
      <c r="T35" s="630" t="s">
        <v>57</v>
      </c>
      <c r="U35" s="631" t="s">
        <v>58</v>
      </c>
      <c r="V35" s="614">
        <v>2.5</v>
      </c>
      <c r="W35" s="632">
        <f t="shared" si="19"/>
        <v>358.33333333333331</v>
      </c>
      <c r="X35" s="599">
        <v>2.5</v>
      </c>
      <c r="Y35" s="647">
        <f t="shared" si="20"/>
        <v>358.33333333333337</v>
      </c>
      <c r="Z35" s="668" t="s">
        <v>209</v>
      </c>
      <c r="AA35" s="649">
        <v>33438</v>
      </c>
      <c r="AB35" s="633">
        <f t="shared" si="21"/>
        <v>41797.5</v>
      </c>
    </row>
    <row r="36" spans="1:33" ht="15" customHeight="1" x14ac:dyDescent="0.25">
      <c r="A36" s="13" t="s">
        <v>65</v>
      </c>
      <c r="B36" s="14" t="s">
        <v>66</v>
      </c>
      <c r="C36" s="15">
        <f>G42*1.25</f>
        <v>569.20624999999995</v>
      </c>
      <c r="D36" s="16"/>
      <c r="E36" s="17"/>
      <c r="F36" s="31">
        <v>0</v>
      </c>
      <c r="G36" s="30">
        <f t="shared" si="4"/>
        <v>0</v>
      </c>
      <c r="H36" s="31">
        <v>0</v>
      </c>
      <c r="I36" s="30">
        <f t="shared" si="5"/>
        <v>0</v>
      </c>
      <c r="T36" s="624" t="s">
        <v>59</v>
      </c>
      <c r="U36" s="625" t="s">
        <v>60</v>
      </c>
      <c r="V36" s="655">
        <f t="shared" ref="V36" si="22">SUM(V37:V39)</f>
        <v>0.75</v>
      </c>
      <c r="W36" s="634">
        <f t="shared" ref="W36" si="23">SUM(W37:W39)</f>
        <v>107.5</v>
      </c>
      <c r="X36" s="577">
        <f>SUM(X37:X39)</f>
        <v>0.34649999999999997</v>
      </c>
      <c r="Y36" s="627">
        <f>X36*(1720/12)</f>
        <v>49.664999999999999</v>
      </c>
      <c r="Z36" s="628" t="s">
        <v>457</v>
      </c>
      <c r="AA36" s="629">
        <f>SUM(AA37:AA39)</f>
        <v>4190</v>
      </c>
      <c r="AB36" s="629">
        <f>SUM(AB37:AB39)</f>
        <v>5237.5</v>
      </c>
      <c r="AG36" t="s">
        <v>450</v>
      </c>
    </row>
    <row r="37" spans="1:33" ht="15" customHeight="1" x14ac:dyDescent="0.25">
      <c r="A37" s="9" t="s">
        <v>67</v>
      </c>
      <c r="B37" s="10" t="s">
        <v>68</v>
      </c>
      <c r="C37" s="42">
        <f>SUM(C38:C40)</f>
        <v>8425.1856250000001</v>
      </c>
      <c r="D37" s="20"/>
      <c r="E37" s="1"/>
      <c r="F37" s="31">
        <v>0</v>
      </c>
      <c r="G37" s="30">
        <f t="shared" si="4"/>
        <v>0</v>
      </c>
      <c r="H37" s="31">
        <v>0</v>
      </c>
      <c r="I37" s="30">
        <f t="shared" si="5"/>
        <v>0</v>
      </c>
      <c r="T37" s="65" t="s">
        <v>61</v>
      </c>
      <c r="U37" s="66" t="s">
        <v>62</v>
      </c>
      <c r="V37" s="614">
        <v>0.25</v>
      </c>
      <c r="W37" s="632">
        <f t="shared" ref="W37:W39" si="24">V37*1720/12</f>
        <v>35.833333333333336</v>
      </c>
      <c r="X37" s="599">
        <v>0.2475</v>
      </c>
      <c r="Y37" s="647">
        <f t="shared" ref="Y37:Y39" si="25">X37*(1720/12)</f>
        <v>35.475000000000001</v>
      </c>
      <c r="Z37" s="668" t="s">
        <v>209</v>
      </c>
      <c r="AA37" s="649">
        <v>2874</v>
      </c>
      <c r="AB37" s="633">
        <f t="shared" ref="AB37:AB39" si="26">AA37*1.25</f>
        <v>3592.5</v>
      </c>
    </row>
    <row r="38" spans="1:33" ht="15" customHeight="1" x14ac:dyDescent="0.25">
      <c r="A38" s="13" t="s">
        <v>69</v>
      </c>
      <c r="B38" s="14" t="s">
        <v>70</v>
      </c>
      <c r="C38" s="15">
        <f>G44*1.25</f>
        <v>6531.875</v>
      </c>
      <c r="D38" s="16"/>
      <c r="E38" s="17"/>
      <c r="F38" s="31">
        <v>61.6</v>
      </c>
      <c r="G38" s="30">
        <f t="shared" si="4"/>
        <v>4598.4400000000005</v>
      </c>
      <c r="H38" s="31">
        <v>0</v>
      </c>
      <c r="I38" s="30">
        <f t="shared" si="5"/>
        <v>0</v>
      </c>
      <c r="T38" s="65" t="s">
        <v>215</v>
      </c>
      <c r="U38" s="66" t="s">
        <v>64</v>
      </c>
      <c r="V38" s="614">
        <v>0.25</v>
      </c>
      <c r="W38" s="632">
        <f t="shared" si="24"/>
        <v>35.833333333333336</v>
      </c>
      <c r="X38" s="599">
        <v>0.05</v>
      </c>
      <c r="Y38" s="647">
        <f t="shared" si="25"/>
        <v>7.1666666666666679</v>
      </c>
      <c r="Z38" s="668" t="s">
        <v>456</v>
      </c>
      <c r="AA38" s="649">
        <v>747</v>
      </c>
      <c r="AB38" s="633">
        <f t="shared" si="26"/>
        <v>933.75</v>
      </c>
    </row>
    <row r="39" spans="1:33" ht="15" customHeight="1" x14ac:dyDescent="0.25">
      <c r="A39" s="13" t="s">
        <v>71</v>
      </c>
      <c r="B39" s="14" t="s">
        <v>72</v>
      </c>
      <c r="C39" s="15">
        <f>G45*1.25</f>
        <v>933.125</v>
      </c>
      <c r="D39" s="16"/>
      <c r="E39" s="17"/>
      <c r="F39" s="32">
        <f>SUM(F40:F42)</f>
        <v>44.9</v>
      </c>
      <c r="G39" s="30">
        <f t="shared" si="4"/>
        <v>3351.7850000000003</v>
      </c>
      <c r="H39" s="32"/>
      <c r="I39" s="30">
        <f t="shared" si="5"/>
        <v>0</v>
      </c>
      <c r="J39" t="s">
        <v>95</v>
      </c>
      <c r="K39" s="41">
        <v>0.31</v>
      </c>
      <c r="T39" s="65" t="s">
        <v>65</v>
      </c>
      <c r="U39" s="66" t="s">
        <v>66</v>
      </c>
      <c r="V39" s="614">
        <v>0.25</v>
      </c>
      <c r="W39" s="632">
        <f t="shared" si="24"/>
        <v>35.833333333333336</v>
      </c>
      <c r="X39" s="599">
        <v>4.9000000000000002E-2</v>
      </c>
      <c r="Y39" s="647">
        <f t="shared" si="25"/>
        <v>7.0233333333333343</v>
      </c>
      <c r="Z39" s="668" t="s">
        <v>456</v>
      </c>
      <c r="AA39" s="649">
        <v>569</v>
      </c>
      <c r="AB39" s="633">
        <f t="shared" si="26"/>
        <v>711.25</v>
      </c>
    </row>
    <row r="40" spans="1:33" ht="15" customHeight="1" x14ac:dyDescent="0.25">
      <c r="A40" s="13" t="s">
        <v>73</v>
      </c>
      <c r="B40" s="14" t="s">
        <v>74</v>
      </c>
      <c r="C40" s="15">
        <f>G46*1.25</f>
        <v>960.18562500000007</v>
      </c>
      <c r="D40" s="16"/>
      <c r="E40" s="17"/>
      <c r="F40" s="31">
        <v>30.8</v>
      </c>
      <c r="G40" s="30">
        <f t="shared" si="4"/>
        <v>2299.2200000000003</v>
      </c>
      <c r="H40" s="31">
        <v>0</v>
      </c>
      <c r="I40" s="30">
        <f t="shared" si="5"/>
        <v>0</v>
      </c>
      <c r="T40" s="624" t="s">
        <v>67</v>
      </c>
      <c r="U40" s="625" t="s">
        <v>68</v>
      </c>
      <c r="V40" s="655">
        <f t="shared" ref="V40" si="27">SUM(V41:V43)</f>
        <v>2</v>
      </c>
      <c r="W40" s="634">
        <f t="shared" ref="W40" si="28">SUM(W41:W43)</f>
        <v>286.66666666666669</v>
      </c>
      <c r="X40" s="577">
        <f>SUM(X41:X43)</f>
        <v>1.506</v>
      </c>
      <c r="Y40" s="627">
        <f>X40*(1720/12)</f>
        <v>215.86</v>
      </c>
      <c r="Z40" s="628" t="s">
        <v>461</v>
      </c>
      <c r="AA40" s="629">
        <f>SUM(AA41:AA43)</f>
        <v>17492</v>
      </c>
      <c r="AB40" s="629">
        <f>SUM(AB41:AB43)</f>
        <v>21865</v>
      </c>
    </row>
    <row r="41" spans="1:33" ht="15" customHeight="1" x14ac:dyDescent="0.25">
      <c r="A41" s="9" t="s">
        <v>75</v>
      </c>
      <c r="B41" s="10" t="s">
        <v>76</v>
      </c>
      <c r="C41" s="42">
        <f>SUM(C42:C44)</f>
        <v>108068.00562500002</v>
      </c>
      <c r="D41" s="20"/>
      <c r="E41" s="1"/>
      <c r="F41" s="31">
        <v>8</v>
      </c>
      <c r="G41" s="30">
        <f t="shared" si="4"/>
        <v>597.20000000000005</v>
      </c>
      <c r="H41" s="31">
        <v>0</v>
      </c>
      <c r="I41" s="30">
        <f t="shared" si="5"/>
        <v>0</v>
      </c>
      <c r="T41" s="630" t="s">
        <v>69</v>
      </c>
      <c r="U41" s="631" t="s">
        <v>70</v>
      </c>
      <c r="V41" s="614">
        <v>0.5</v>
      </c>
      <c r="W41" s="632">
        <f t="shared" ref="W41:W43" si="29">V41*1720/12</f>
        <v>71.666666666666671</v>
      </c>
      <c r="X41" s="599">
        <v>0.56200000000000006</v>
      </c>
      <c r="Y41" s="647">
        <f t="shared" ref="Y41:Y43" si="30">X41*(1720/12)</f>
        <v>80.553333333333342</v>
      </c>
      <c r="Z41" s="668" t="s">
        <v>458</v>
      </c>
      <c r="AA41" s="649">
        <v>6532</v>
      </c>
      <c r="AB41" s="633">
        <f t="shared" ref="AB41:AB43" si="31">AA41*1.25</f>
        <v>8165</v>
      </c>
    </row>
    <row r="42" spans="1:33" ht="15" customHeight="1" x14ac:dyDescent="0.25">
      <c r="A42" s="13" t="s">
        <v>77</v>
      </c>
      <c r="B42" s="14" t="s">
        <v>78</v>
      </c>
      <c r="C42" s="15">
        <f>G48*1.25</f>
        <v>37674.921875000007</v>
      </c>
      <c r="D42" s="16"/>
      <c r="E42" s="17"/>
      <c r="F42" s="31">
        <v>6.1</v>
      </c>
      <c r="G42" s="30">
        <f t="shared" si="4"/>
        <v>455.36500000000001</v>
      </c>
      <c r="H42" s="31">
        <v>0</v>
      </c>
      <c r="I42" s="30">
        <f t="shared" si="5"/>
        <v>0</v>
      </c>
      <c r="T42" s="630" t="s">
        <v>71</v>
      </c>
      <c r="U42" s="631" t="s">
        <v>72</v>
      </c>
      <c r="V42" s="614">
        <v>1</v>
      </c>
      <c r="W42" s="632">
        <f t="shared" si="29"/>
        <v>143.33333333333334</v>
      </c>
      <c r="X42" s="599">
        <v>0.86129999999999995</v>
      </c>
      <c r="Y42" s="647">
        <f t="shared" si="30"/>
        <v>123.453</v>
      </c>
      <c r="Z42" s="668" t="s">
        <v>459</v>
      </c>
      <c r="AA42" s="649">
        <v>10000</v>
      </c>
      <c r="AB42" s="633">
        <f t="shared" si="31"/>
        <v>12500</v>
      </c>
    </row>
    <row r="43" spans="1:33" ht="15" customHeight="1" x14ac:dyDescent="0.25">
      <c r="A43" s="13" t="s">
        <v>79</v>
      </c>
      <c r="B43" s="14" t="s">
        <v>80</v>
      </c>
      <c r="C43" s="15">
        <f>G49*1.25</f>
        <v>48909.746874999997</v>
      </c>
      <c r="D43" s="16"/>
      <c r="E43" s="17"/>
      <c r="F43" s="32">
        <f>SUM(F44:F46)</f>
        <v>90.289999999999992</v>
      </c>
      <c r="G43" s="30">
        <f t="shared" si="4"/>
        <v>6740.1485000000002</v>
      </c>
      <c r="H43" s="32"/>
      <c r="I43" s="30">
        <f t="shared" si="5"/>
        <v>0</v>
      </c>
      <c r="J43" t="s">
        <v>95</v>
      </c>
      <c r="K43" s="41">
        <v>0.63</v>
      </c>
      <c r="T43" s="630" t="s">
        <v>73</v>
      </c>
      <c r="U43" s="631" t="s">
        <v>74</v>
      </c>
      <c r="V43" s="614">
        <v>0.5</v>
      </c>
      <c r="W43" s="632">
        <f t="shared" si="29"/>
        <v>71.666666666666671</v>
      </c>
      <c r="X43" s="599">
        <v>8.2699999999999996E-2</v>
      </c>
      <c r="Y43" s="647">
        <f t="shared" si="30"/>
        <v>11.853666666666667</v>
      </c>
      <c r="Z43" s="668" t="s">
        <v>460</v>
      </c>
      <c r="AA43" s="649">
        <v>960</v>
      </c>
      <c r="AB43" s="633">
        <f t="shared" si="31"/>
        <v>1200</v>
      </c>
    </row>
    <row r="44" spans="1:33" ht="15" customHeight="1" thickBot="1" x14ac:dyDescent="0.3">
      <c r="A44" s="36" t="s">
        <v>81</v>
      </c>
      <c r="B44" s="37" t="s">
        <v>82</v>
      </c>
      <c r="C44" s="15">
        <f>G50*1.25</f>
        <v>21483.336875000001</v>
      </c>
      <c r="D44" s="16"/>
      <c r="E44" s="17"/>
      <c r="F44" s="31">
        <v>70</v>
      </c>
      <c r="G44" s="30">
        <f t="shared" si="4"/>
        <v>5225.5</v>
      </c>
      <c r="H44" s="31">
        <v>0</v>
      </c>
      <c r="I44" s="30">
        <f t="shared" si="5"/>
        <v>0</v>
      </c>
      <c r="T44" s="624" t="s">
        <v>75</v>
      </c>
      <c r="U44" s="625" t="s">
        <v>76</v>
      </c>
      <c r="V44" s="655">
        <f t="shared" ref="V44" si="32">SUM(V45:V47)</f>
        <v>16</v>
      </c>
      <c r="W44" s="634">
        <f t="shared" ref="W44" si="33">SUM(W45:W47)</f>
        <v>2293.3333333333335</v>
      </c>
      <c r="X44" s="577">
        <f>SUM(X45:X47)</f>
        <v>17.0624</v>
      </c>
      <c r="Y44" s="627">
        <f>X44*(1720/12)</f>
        <v>2445.6106666666669</v>
      </c>
      <c r="Z44" s="628" t="s">
        <v>464</v>
      </c>
      <c r="AA44" s="629">
        <f>SUM(AA45:AA47)</f>
        <v>198093</v>
      </c>
      <c r="AB44" s="629">
        <f>SUM(AB45:AB47)</f>
        <v>247616.25</v>
      </c>
    </row>
    <row r="45" spans="1:33" ht="15" customHeight="1" thickBot="1" x14ac:dyDescent="0.3">
      <c r="A45" s="39" t="s">
        <v>83</v>
      </c>
      <c r="B45" s="38" t="s">
        <v>84</v>
      </c>
      <c r="C45" s="42">
        <f>SUM(C7+C11+C16+C23+C33+C37+C41)</f>
        <v>142042.15375000003</v>
      </c>
      <c r="D45" s="23"/>
      <c r="F45" s="31">
        <v>10</v>
      </c>
      <c r="G45" s="30">
        <f t="shared" si="4"/>
        <v>746.5</v>
      </c>
      <c r="H45" s="31">
        <v>0</v>
      </c>
      <c r="I45" s="30">
        <f t="shared" si="5"/>
        <v>0</v>
      </c>
      <c r="T45" s="630" t="s">
        <v>77</v>
      </c>
      <c r="U45" s="631" t="s">
        <v>78</v>
      </c>
      <c r="V45" s="614">
        <v>11</v>
      </c>
      <c r="W45" s="632">
        <f t="shared" ref="W45:W47" si="34">V45*1720/12</f>
        <v>1576.6666666666667</v>
      </c>
      <c r="X45" s="599">
        <v>10.9992</v>
      </c>
      <c r="Y45" s="647">
        <f t="shared" ref="Y45:Y47" si="35">X45*(1720/12)</f>
        <v>1576.5520000000001</v>
      </c>
      <c r="Z45" s="668" t="s">
        <v>209</v>
      </c>
      <c r="AA45" s="649">
        <v>127700</v>
      </c>
      <c r="AB45" s="633">
        <f t="shared" ref="AB45:AB47" si="36">AA45*1.25</f>
        <v>159625</v>
      </c>
    </row>
    <row r="46" spans="1:33" ht="15" customHeight="1" x14ac:dyDescent="0.25">
      <c r="F46" s="31">
        <v>10.29</v>
      </c>
      <c r="G46" s="30">
        <f t="shared" si="4"/>
        <v>768.14850000000001</v>
      </c>
      <c r="H46" s="31">
        <v>0</v>
      </c>
      <c r="I46" s="30">
        <f t="shared" si="5"/>
        <v>0</v>
      </c>
      <c r="T46" s="630" t="s">
        <v>79</v>
      </c>
      <c r="U46" s="631" t="s">
        <v>80</v>
      </c>
      <c r="V46" s="614">
        <v>3.5</v>
      </c>
      <c r="W46" s="632">
        <f t="shared" si="34"/>
        <v>501.66666666666669</v>
      </c>
      <c r="X46" s="599">
        <v>4.2127999999999997</v>
      </c>
      <c r="Y46" s="647">
        <f t="shared" si="35"/>
        <v>603.83466666666664</v>
      </c>
      <c r="Z46" s="668" t="s">
        <v>463</v>
      </c>
      <c r="AA46" s="649">
        <v>48910</v>
      </c>
      <c r="AB46" s="633">
        <f t="shared" si="36"/>
        <v>61137.5</v>
      </c>
    </row>
    <row r="47" spans="1:33" ht="15" customHeight="1" thickBot="1" x14ac:dyDescent="0.3">
      <c r="F47" s="32">
        <f>SUM(F48:F50)</f>
        <v>1158.1299999999999</v>
      </c>
      <c r="G47" s="30">
        <f t="shared" si="4"/>
        <v>86454.404500000004</v>
      </c>
      <c r="H47" s="32"/>
      <c r="I47" s="30">
        <f t="shared" si="5"/>
        <v>0</v>
      </c>
      <c r="J47" t="s">
        <v>95</v>
      </c>
      <c r="K47" s="41">
        <v>8.08</v>
      </c>
      <c r="T47" s="635" t="s">
        <v>81</v>
      </c>
      <c r="U47" s="631" t="s">
        <v>82</v>
      </c>
      <c r="V47" s="614">
        <v>1.5</v>
      </c>
      <c r="W47" s="632">
        <f t="shared" si="34"/>
        <v>215</v>
      </c>
      <c r="X47" s="599">
        <v>1.8504</v>
      </c>
      <c r="Y47" s="647">
        <f t="shared" si="35"/>
        <v>265.22400000000005</v>
      </c>
      <c r="Z47" s="668" t="s">
        <v>462</v>
      </c>
      <c r="AA47" s="649">
        <v>21483</v>
      </c>
      <c r="AB47" s="633">
        <f t="shared" si="36"/>
        <v>26853.75</v>
      </c>
    </row>
    <row r="48" spans="1:33" ht="15.75" thickBot="1" x14ac:dyDescent="0.3">
      <c r="F48" s="31">
        <v>403.75</v>
      </c>
      <c r="G48" s="30">
        <f t="shared" si="4"/>
        <v>30139.937500000004</v>
      </c>
      <c r="H48" s="31">
        <v>0</v>
      </c>
      <c r="I48" s="30">
        <f t="shared" si="5"/>
        <v>0</v>
      </c>
      <c r="T48" s="654" t="s">
        <v>249</v>
      </c>
      <c r="U48" s="636" t="s">
        <v>84</v>
      </c>
      <c r="V48" s="656">
        <f>V10+V14+V19+V26+V36+V40+V44</f>
        <v>33.25</v>
      </c>
      <c r="W48" s="652">
        <f t="shared" ref="W48" si="37">W10+W14+W19+W26+W36+W40+W44</f>
        <v>4765.8333333333339</v>
      </c>
      <c r="X48" s="587">
        <f>(X10+X14+X19+X26+X36+X40+X44)</f>
        <v>31.434899999999999</v>
      </c>
      <c r="Y48" s="637">
        <f>(Y10+Y14+Y19+Y26+Y36+Y40+Y44)</f>
        <v>4505.6689999999999</v>
      </c>
      <c r="Z48" s="653"/>
      <c r="AA48" s="638">
        <f>(AA10+AA14+AA19+AA26+AA36+AA40+AA44)</f>
        <v>383581</v>
      </c>
      <c r="AB48" s="638">
        <f>(AB10+AB14+AB19+AB26+AB36+AB40+AB44)</f>
        <v>479476.25</v>
      </c>
    </row>
    <row r="49" spans="1:11" x14ac:dyDescent="0.25">
      <c r="F49" s="33">
        <v>524.15</v>
      </c>
      <c r="G49" s="30">
        <f t="shared" si="4"/>
        <v>39127.797500000001</v>
      </c>
      <c r="H49" s="33">
        <v>0</v>
      </c>
      <c r="I49" s="30">
        <f t="shared" si="5"/>
        <v>0</v>
      </c>
    </row>
    <row r="50" spans="1:11" ht="15.75" thickBot="1" x14ac:dyDescent="0.3">
      <c r="F50" s="33">
        <v>230.23</v>
      </c>
      <c r="G50" s="30">
        <f t="shared" si="4"/>
        <v>17186.6695</v>
      </c>
      <c r="H50" s="33">
        <v>0</v>
      </c>
      <c r="I50" s="30">
        <f t="shared" si="5"/>
        <v>0</v>
      </c>
    </row>
    <row r="51" spans="1:11" x14ac:dyDescent="0.25">
      <c r="F51" s="34">
        <f>F13+F17+F22+F29+F39+F43+F47</f>
        <v>1522.2199999999998</v>
      </c>
      <c r="G51" s="35">
        <f t="shared" si="4"/>
        <v>113633.723</v>
      </c>
      <c r="H51" s="34">
        <f>H13+H17+H22+H29+H39+H43+H47</f>
        <v>0</v>
      </c>
      <c r="I51" s="35">
        <f t="shared" si="5"/>
        <v>0</v>
      </c>
      <c r="J51" t="s">
        <v>95</v>
      </c>
      <c r="K51" s="41">
        <f>K13+K17+K22+K29+K39+K43+K47</f>
        <v>10.620000000000001</v>
      </c>
    </row>
    <row r="53" spans="1:11" x14ac:dyDescent="0.25">
      <c r="A53" t="s">
        <v>84</v>
      </c>
    </row>
  </sheetData>
  <mergeCells count="6">
    <mergeCell ref="C4:D4"/>
    <mergeCell ref="F10:G10"/>
    <mergeCell ref="H10:I10"/>
    <mergeCell ref="C1:D1"/>
    <mergeCell ref="C2:D2"/>
    <mergeCell ref="C3:D3"/>
  </mergeCells>
  <phoneticPr fontId="16" type="noConversion"/>
  <pageMargins left="0.25" right="0.25" top="0.75" bottom="0.75" header="0.3" footer="0.3"/>
  <pageSetup paperSize="9" scale="60" orientation="landscape"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FA868-2F1A-408A-BE57-A11B2CC34495}">
  <dimension ref="A1:X50"/>
  <sheetViews>
    <sheetView workbookViewId="0">
      <selection activeCell="Q14" sqref="Q14"/>
    </sheetView>
  </sheetViews>
  <sheetFormatPr baseColWidth="10" defaultColWidth="9.140625" defaultRowHeight="15" x14ac:dyDescent="0.25"/>
  <cols>
    <col min="2" max="2" width="60.28515625" customWidth="1"/>
    <col min="3" max="3" width="16" customWidth="1"/>
    <col min="4" max="4" width="7.7109375" customWidth="1"/>
    <col min="5" max="5" width="8" style="6" customWidth="1"/>
    <col min="6" max="6" width="14.140625" style="74" customWidth="1"/>
    <col min="7" max="7" width="7.85546875" style="74" customWidth="1"/>
    <col min="8" max="8" width="45.140625" customWidth="1"/>
    <col min="9" max="9" width="13.42578125" customWidth="1"/>
    <col min="10" max="10" width="19.28515625" customWidth="1"/>
    <col min="21" max="21" width="55" customWidth="1"/>
    <col min="22" max="22" width="14.5703125" customWidth="1"/>
    <col min="23" max="24" width="14.42578125" customWidth="1"/>
  </cols>
  <sheetData>
    <row r="1" spans="1:24" x14ac:dyDescent="0.25">
      <c r="F1" s="6"/>
      <c r="G1" s="45"/>
    </row>
    <row r="2" spans="1:24" x14ac:dyDescent="0.25">
      <c r="A2" s="2"/>
      <c r="B2" cm="1">
        <f t="array" aca="1" ref="B2" ca="1">B2:J2</f>
        <v>0</v>
      </c>
      <c r="C2" s="6"/>
      <c r="D2" s="213"/>
      <c r="E2" s="74"/>
      <c r="H2" s="74"/>
      <c r="I2" s="74"/>
      <c r="J2" s="74"/>
      <c r="U2" s="2"/>
      <c r="V2" s="3"/>
      <c r="W2" s="46" t="s">
        <v>0</v>
      </c>
      <c r="X2" s="47"/>
    </row>
    <row r="3" spans="1:24" x14ac:dyDescent="0.25">
      <c r="B3" s="612"/>
      <c r="C3" s="613"/>
      <c r="D3" s="614"/>
      <c r="E3" s="615"/>
      <c r="F3" s="615"/>
      <c r="G3" s="615"/>
      <c r="H3" s="615"/>
      <c r="I3" s="615" t="s">
        <v>442</v>
      </c>
      <c r="J3" s="615" t="s">
        <v>443</v>
      </c>
    </row>
    <row r="4" spans="1:24" x14ac:dyDescent="0.25">
      <c r="B4" s="612" t="s">
        <v>84</v>
      </c>
      <c r="C4" s="613"/>
      <c r="D4" s="614"/>
      <c r="E4" s="615"/>
      <c r="F4" s="615"/>
      <c r="G4" s="615"/>
      <c r="H4" s="615"/>
      <c r="I4" s="642" t="s">
        <v>194</v>
      </c>
      <c r="J4" s="651" t="s">
        <v>194</v>
      </c>
      <c r="U4" s="612"/>
      <c r="V4" s="613"/>
      <c r="W4" s="613"/>
      <c r="X4" s="45"/>
    </row>
    <row r="5" spans="1:24" x14ac:dyDescent="0.25">
      <c r="B5" s="612"/>
      <c r="C5" s="613"/>
      <c r="D5" s="617"/>
      <c r="E5" s="615"/>
      <c r="F5" s="615"/>
      <c r="G5" s="615"/>
      <c r="H5" s="615"/>
      <c r="I5" s="644" t="s">
        <v>195</v>
      </c>
      <c r="J5" s="623" t="s">
        <v>196</v>
      </c>
      <c r="U5" s="613"/>
      <c r="V5" s="613"/>
      <c r="W5" s="613"/>
      <c r="X5" s="613"/>
    </row>
    <row r="6" spans="1:24" x14ac:dyDescent="0.25">
      <c r="B6" s="616"/>
      <c r="C6" s="618"/>
      <c r="D6" s="645" t="s">
        <v>197</v>
      </c>
      <c r="E6" s="646" t="s">
        <v>197</v>
      </c>
      <c r="F6" s="620"/>
      <c r="G6" s="620"/>
      <c r="H6" s="620"/>
      <c r="I6" s="643" t="s">
        <v>198</v>
      </c>
      <c r="J6" s="621" t="s">
        <v>198</v>
      </c>
      <c r="U6" s="612" t="s">
        <v>84</v>
      </c>
      <c r="V6" s="613"/>
      <c r="W6" s="613"/>
      <c r="X6" s="613"/>
    </row>
    <row r="7" spans="1:24" x14ac:dyDescent="0.25">
      <c r="B7" s="616"/>
      <c r="C7" s="618"/>
      <c r="D7" s="645" t="s">
        <v>199</v>
      </c>
      <c r="E7" s="646" t="s">
        <v>199</v>
      </c>
      <c r="F7" s="639" t="s">
        <v>194</v>
      </c>
      <c r="G7" s="639" t="s">
        <v>194</v>
      </c>
      <c r="H7" s="639" t="s">
        <v>194</v>
      </c>
      <c r="I7" s="595">
        <v>9369.9805825242711</v>
      </c>
      <c r="J7" s="622">
        <v>9369.9805825242711</v>
      </c>
      <c r="U7" s="616"/>
      <c r="V7" s="618"/>
      <c r="W7" s="46" t="s">
        <v>0</v>
      </c>
      <c r="X7" s="47"/>
    </row>
    <row r="8" spans="1:24" x14ac:dyDescent="0.25">
      <c r="B8" s="616"/>
      <c r="C8" s="618"/>
      <c r="D8" s="645" t="s">
        <v>200</v>
      </c>
      <c r="E8" s="646" t="s">
        <v>200</v>
      </c>
      <c r="F8" s="640" t="s">
        <v>201</v>
      </c>
      <c r="G8" s="640" t="s">
        <v>201</v>
      </c>
      <c r="H8" s="640"/>
      <c r="I8" s="644" t="s">
        <v>201</v>
      </c>
      <c r="J8" s="623" t="s">
        <v>201</v>
      </c>
      <c r="U8" s="616"/>
      <c r="V8" s="618"/>
      <c r="W8" s="46" t="s">
        <v>1</v>
      </c>
      <c r="X8" s="48"/>
    </row>
    <row r="9" spans="1:24" x14ac:dyDescent="0.25">
      <c r="B9" s="616"/>
      <c r="C9" s="619" t="s">
        <v>3</v>
      </c>
      <c r="D9" s="645" t="s">
        <v>84</v>
      </c>
      <c r="E9" s="646" t="s">
        <v>84</v>
      </c>
      <c r="F9" s="640" t="s">
        <v>83</v>
      </c>
      <c r="G9" s="640" t="s">
        <v>83</v>
      </c>
      <c r="H9" s="641" t="s">
        <v>202</v>
      </c>
      <c r="I9" s="644" t="s">
        <v>203</v>
      </c>
      <c r="J9" s="623" t="s">
        <v>204</v>
      </c>
      <c r="U9" s="616"/>
      <c r="V9" s="618"/>
      <c r="W9" s="46" t="s">
        <v>88</v>
      </c>
      <c r="X9" s="49"/>
    </row>
    <row r="10" spans="1:24" x14ac:dyDescent="0.25">
      <c r="B10" s="616"/>
      <c r="C10" s="619" t="s">
        <v>4</v>
      </c>
      <c r="D10" s="645" t="s">
        <v>95</v>
      </c>
      <c r="E10" s="646" t="s">
        <v>205</v>
      </c>
      <c r="F10" s="640" t="s">
        <v>206</v>
      </c>
      <c r="G10" s="640" t="s">
        <v>207</v>
      </c>
      <c r="H10" s="640"/>
      <c r="I10" s="644" t="s">
        <v>208</v>
      </c>
      <c r="J10" s="623" t="s">
        <v>208</v>
      </c>
      <c r="U10" s="616" t="s">
        <v>96</v>
      </c>
      <c r="V10" s="619" t="s">
        <v>3</v>
      </c>
      <c r="W10" s="46" t="s">
        <v>97</v>
      </c>
      <c r="X10" s="49"/>
    </row>
    <row r="11" spans="1:24" x14ac:dyDescent="0.25">
      <c r="B11" s="624" t="s">
        <v>7</v>
      </c>
      <c r="C11" s="625" t="s">
        <v>8</v>
      </c>
      <c r="D11" s="259">
        <f t="shared" ref="D11:E11" si="0">SUM(D12:D14)</f>
        <v>1</v>
      </c>
      <c r="E11" s="626">
        <f t="shared" si="0"/>
        <v>143.33333333333334</v>
      </c>
      <c r="F11" s="577">
        <f>SUM(F12:F14)</f>
        <v>1.2</v>
      </c>
      <c r="G11" s="627">
        <f>F11*(1720/12)</f>
        <v>172</v>
      </c>
      <c r="H11" s="628" t="s">
        <v>225</v>
      </c>
      <c r="I11" s="629">
        <f>SUM(I12:I14)</f>
        <v>11243.975999999999</v>
      </c>
      <c r="J11" s="629">
        <f>SUM(J12:J14)</f>
        <v>14054.969999999998</v>
      </c>
      <c r="U11" s="616"/>
      <c r="V11" s="619" t="s">
        <v>4</v>
      </c>
      <c r="W11" s="46" t="s">
        <v>84</v>
      </c>
      <c r="X11" s="49"/>
    </row>
    <row r="12" spans="1:24" ht="22.5" x14ac:dyDescent="0.25">
      <c r="B12" s="630" t="s">
        <v>9</v>
      </c>
      <c r="C12" s="631" t="s">
        <v>10</v>
      </c>
      <c r="D12" s="260">
        <v>0.5</v>
      </c>
      <c r="E12" s="632">
        <f>D12*1720/12</f>
        <v>71.666666666666671</v>
      </c>
      <c r="F12" s="599">
        <v>0.6</v>
      </c>
      <c r="G12" s="647">
        <f>F12*(1720/12)</f>
        <v>86</v>
      </c>
      <c r="H12" s="648" t="s">
        <v>226</v>
      </c>
      <c r="I12" s="649">
        <f>F12*9369.98</f>
        <v>5621.9879999999994</v>
      </c>
      <c r="J12" s="633">
        <f>I12*1.25</f>
        <v>7027.4849999999988</v>
      </c>
      <c r="U12" s="624" t="s">
        <v>7</v>
      </c>
      <c r="V12" s="625" t="s">
        <v>8</v>
      </c>
      <c r="W12" s="53">
        <f>SUM(W13:W15)</f>
        <v>13497.165096369987</v>
      </c>
      <c r="X12" s="54"/>
    </row>
    <row r="13" spans="1:24" x14ac:dyDescent="0.25">
      <c r="B13" s="630" t="s">
        <v>11</v>
      </c>
      <c r="C13" s="631" t="s">
        <v>12</v>
      </c>
      <c r="D13" s="260">
        <v>0.25</v>
      </c>
      <c r="E13" s="632">
        <f t="shared" ref="E13:E14" si="1">D13*1720/12</f>
        <v>35.833333333333336</v>
      </c>
      <c r="F13" s="599">
        <v>0.3</v>
      </c>
      <c r="G13" s="647">
        <f t="shared" ref="G13:G14" si="2">F13*(1720/12)</f>
        <v>43</v>
      </c>
      <c r="H13" s="648" t="s">
        <v>227</v>
      </c>
      <c r="I13" s="649">
        <f t="shared" ref="I13:I14" si="3">F13*9369.98</f>
        <v>2810.9939999999997</v>
      </c>
      <c r="J13" s="633">
        <f t="shared" ref="J13:J14" si="4">I13*1.25</f>
        <v>3513.7424999999994</v>
      </c>
      <c r="U13" s="630" t="s">
        <v>9</v>
      </c>
      <c r="V13" s="631" t="s">
        <v>10</v>
      </c>
      <c r="W13" s="57">
        <v>6648.4552106748306</v>
      </c>
      <c r="X13" s="58"/>
    </row>
    <row r="14" spans="1:24" x14ac:dyDescent="0.25">
      <c r="B14" s="630" t="s">
        <v>13</v>
      </c>
      <c r="C14" s="631" t="s">
        <v>14</v>
      </c>
      <c r="D14" s="260">
        <v>0.25</v>
      </c>
      <c r="E14" s="632">
        <f t="shared" si="1"/>
        <v>35.833333333333336</v>
      </c>
      <c r="F14" s="599">
        <v>0.3</v>
      </c>
      <c r="G14" s="647">
        <f t="shared" si="2"/>
        <v>43</v>
      </c>
      <c r="H14" s="648" t="s">
        <v>227</v>
      </c>
      <c r="I14" s="649">
        <f t="shared" si="3"/>
        <v>2810.9939999999997</v>
      </c>
      <c r="J14" s="633">
        <f t="shared" si="4"/>
        <v>3513.7424999999994</v>
      </c>
      <c r="U14" s="630" t="s">
        <v>11</v>
      </c>
      <c r="V14" s="631" t="s">
        <v>12</v>
      </c>
      <c r="W14" s="57">
        <v>3484.4313453536761</v>
      </c>
      <c r="X14" s="58"/>
    </row>
    <row r="15" spans="1:24" ht="22.5" x14ac:dyDescent="0.25">
      <c r="B15" s="624" t="s">
        <v>15</v>
      </c>
      <c r="C15" s="625" t="s">
        <v>16</v>
      </c>
      <c r="D15" s="261">
        <f t="shared" ref="D15:E15" si="5">SUM(D16:D19)</f>
        <v>0.5</v>
      </c>
      <c r="E15" s="634">
        <f t="shared" si="5"/>
        <v>71.666666666666671</v>
      </c>
      <c r="F15" s="577">
        <f>SUM( F16:F19)</f>
        <v>0.4</v>
      </c>
      <c r="G15" s="627">
        <f>F15*(1720/12)</f>
        <v>57.333333333333343</v>
      </c>
      <c r="H15" s="628" t="s">
        <v>228</v>
      </c>
      <c r="I15" s="629">
        <f>SUM(I16:I19)</f>
        <v>3747.9920000000002</v>
      </c>
      <c r="J15" s="629">
        <f>SUM(J16:J19)</f>
        <v>4684.99</v>
      </c>
      <c r="U15" s="630" t="s">
        <v>13</v>
      </c>
      <c r="V15" s="631" t="s">
        <v>14</v>
      </c>
      <c r="W15" s="57">
        <v>3364.2785403414805</v>
      </c>
      <c r="X15" s="58"/>
    </row>
    <row r="16" spans="1:24" ht="22.5" x14ac:dyDescent="0.25">
      <c r="B16" s="630" t="s">
        <v>17</v>
      </c>
      <c r="C16" s="631" t="s">
        <v>18</v>
      </c>
      <c r="D16" s="260">
        <v>0.25</v>
      </c>
      <c r="E16" s="632">
        <f t="shared" ref="E16:E19" si="6">D16*1720/12</f>
        <v>35.833333333333336</v>
      </c>
      <c r="F16" s="599">
        <v>0.1</v>
      </c>
      <c r="G16" s="647">
        <f t="shared" ref="G16:G19" si="7">F16*(1720/12)</f>
        <v>14.333333333333336</v>
      </c>
      <c r="H16" s="648" t="s">
        <v>229</v>
      </c>
      <c r="I16" s="649">
        <f t="shared" ref="I16:I19" si="8">F16*9369.98</f>
        <v>936.99800000000005</v>
      </c>
      <c r="J16" s="633">
        <f t="shared" ref="J16:J19" si="9">I16*1.25</f>
        <v>1171.2474999999999</v>
      </c>
      <c r="U16" s="624" t="s">
        <v>15</v>
      </c>
      <c r="V16" s="625" t="s">
        <v>16</v>
      </c>
      <c r="W16" s="59">
        <f>SUM(W17:W20)</f>
        <v>3123.9729303170884</v>
      </c>
      <c r="X16" s="60"/>
    </row>
    <row r="17" spans="2:24" ht="22.5" x14ac:dyDescent="0.25">
      <c r="B17" s="630" t="s">
        <v>19</v>
      </c>
      <c r="C17" s="631" t="s">
        <v>20</v>
      </c>
      <c r="D17" s="260">
        <v>0</v>
      </c>
      <c r="E17" s="632">
        <f t="shared" si="6"/>
        <v>0</v>
      </c>
      <c r="F17" s="599">
        <v>0.1</v>
      </c>
      <c r="G17" s="647">
        <f t="shared" si="7"/>
        <v>14.333333333333336</v>
      </c>
      <c r="H17" s="648" t="s">
        <v>226</v>
      </c>
      <c r="I17" s="649">
        <f t="shared" si="8"/>
        <v>936.99800000000005</v>
      </c>
      <c r="J17" s="633">
        <f t="shared" si="9"/>
        <v>1171.2474999999999</v>
      </c>
      <c r="U17" s="630" t="s">
        <v>17</v>
      </c>
      <c r="V17" s="631" t="s">
        <v>18</v>
      </c>
      <c r="W17" s="57">
        <v>40.050935004065238</v>
      </c>
      <c r="X17" s="58"/>
    </row>
    <row r="18" spans="2:24" x14ac:dyDescent="0.25">
      <c r="B18" s="630" t="s">
        <v>21</v>
      </c>
      <c r="C18" s="631" t="s">
        <v>22</v>
      </c>
      <c r="D18" s="260">
        <v>0</v>
      </c>
      <c r="E18" s="632">
        <f t="shared" si="6"/>
        <v>0</v>
      </c>
      <c r="F18" s="599">
        <v>0.1</v>
      </c>
      <c r="G18" s="647">
        <f t="shared" si="7"/>
        <v>14.333333333333336</v>
      </c>
      <c r="H18" s="648" t="s">
        <v>226</v>
      </c>
      <c r="I18" s="649">
        <f t="shared" si="8"/>
        <v>936.99800000000005</v>
      </c>
      <c r="J18" s="633">
        <f t="shared" si="9"/>
        <v>1171.2474999999999</v>
      </c>
      <c r="U18" s="671" t="s">
        <v>19</v>
      </c>
      <c r="V18" s="672" t="s">
        <v>20</v>
      </c>
      <c r="W18" s="63">
        <v>520.66215505284811</v>
      </c>
      <c r="X18" s="64"/>
    </row>
    <row r="19" spans="2:24" x14ac:dyDescent="0.25">
      <c r="B19" s="630" t="s">
        <v>23</v>
      </c>
      <c r="C19" s="631" t="s">
        <v>24</v>
      </c>
      <c r="D19" s="260">
        <v>0.25</v>
      </c>
      <c r="E19" s="632">
        <f t="shared" si="6"/>
        <v>35.833333333333336</v>
      </c>
      <c r="F19" s="599">
        <v>0.1</v>
      </c>
      <c r="G19" s="647">
        <f t="shared" si="7"/>
        <v>14.333333333333336</v>
      </c>
      <c r="H19" s="648" t="s">
        <v>229</v>
      </c>
      <c r="I19" s="649">
        <f t="shared" si="8"/>
        <v>936.99800000000005</v>
      </c>
      <c r="J19" s="633">
        <f t="shared" si="9"/>
        <v>1171.2474999999999</v>
      </c>
      <c r="U19" s="671" t="s">
        <v>21</v>
      </c>
      <c r="V19" s="672" t="s">
        <v>22</v>
      </c>
      <c r="W19" s="63">
        <v>1321.6808551341528</v>
      </c>
      <c r="X19" s="64"/>
    </row>
    <row r="20" spans="2:24" x14ac:dyDescent="0.25">
      <c r="B20" s="624" t="s">
        <v>25</v>
      </c>
      <c r="C20" s="625" t="s">
        <v>26</v>
      </c>
      <c r="D20" s="261">
        <f t="shared" ref="D20:E20" si="10">SUM(D21:D26)</f>
        <v>4.5</v>
      </c>
      <c r="E20" s="634">
        <f t="shared" si="10"/>
        <v>645</v>
      </c>
      <c r="F20" s="577">
        <f>SUM(F21:F26)</f>
        <v>4.2</v>
      </c>
      <c r="G20" s="627">
        <f>F20*(1720/12)</f>
        <v>602.00000000000011</v>
      </c>
      <c r="H20" s="628" t="s">
        <v>230</v>
      </c>
      <c r="I20" s="629">
        <f>SUM(I21:I26)</f>
        <v>39353.915999999997</v>
      </c>
      <c r="J20" s="629">
        <f>SUM(J21:J26)</f>
        <v>49192.39499999999</v>
      </c>
      <c r="U20" s="630" t="s">
        <v>23</v>
      </c>
      <c r="V20" s="631" t="s">
        <v>24</v>
      </c>
      <c r="W20" s="57">
        <v>1241.5789851260224</v>
      </c>
      <c r="X20" s="58"/>
    </row>
    <row r="21" spans="2:24" x14ac:dyDescent="0.25">
      <c r="B21" s="630" t="s">
        <v>27</v>
      </c>
      <c r="C21" s="631" t="s">
        <v>28</v>
      </c>
      <c r="D21" s="260">
        <v>0.5</v>
      </c>
      <c r="E21" s="632">
        <f t="shared" ref="E21:E26" si="11">D21*1720/12</f>
        <v>71.666666666666671</v>
      </c>
      <c r="F21" s="599">
        <v>1</v>
      </c>
      <c r="G21" s="647">
        <f t="shared" ref="G21:G26" si="12">F21*(1720/12)</f>
        <v>143.33333333333334</v>
      </c>
      <c r="H21" s="648" t="s">
        <v>231</v>
      </c>
      <c r="I21" s="649">
        <f t="shared" ref="I21:I26" si="13">F21*9369.98</f>
        <v>9369.98</v>
      </c>
      <c r="J21" s="633">
        <f t="shared" ref="J21:J26" si="14">I21*1.25</f>
        <v>11712.474999999999</v>
      </c>
      <c r="U21" s="624" t="s">
        <v>25</v>
      </c>
      <c r="V21" s="625" t="s">
        <v>26</v>
      </c>
      <c r="W21" s="59">
        <f>SUM(W22:W27)</f>
        <v>11374.465541154526</v>
      </c>
      <c r="X21" s="60"/>
    </row>
    <row r="22" spans="2:24" x14ac:dyDescent="0.25">
      <c r="B22" s="630" t="s">
        <v>29</v>
      </c>
      <c r="C22" s="631" t="s">
        <v>30</v>
      </c>
      <c r="D22" s="260">
        <v>0</v>
      </c>
      <c r="E22" s="632">
        <f t="shared" si="11"/>
        <v>0</v>
      </c>
      <c r="F22" s="599">
        <v>0.1</v>
      </c>
      <c r="G22" s="647">
        <f t="shared" si="12"/>
        <v>14.333333333333336</v>
      </c>
      <c r="H22" s="648" t="s">
        <v>232</v>
      </c>
      <c r="I22" s="649">
        <f t="shared" si="13"/>
        <v>936.99800000000005</v>
      </c>
      <c r="J22" s="633">
        <f t="shared" si="14"/>
        <v>1171.2474999999999</v>
      </c>
      <c r="U22" s="630" t="s">
        <v>27</v>
      </c>
      <c r="V22" s="631" t="s">
        <v>28</v>
      </c>
      <c r="W22" s="57">
        <v>10613.497776077287</v>
      </c>
      <c r="X22" s="58"/>
    </row>
    <row r="23" spans="2:24" x14ac:dyDescent="0.25">
      <c r="B23" s="630" t="s">
        <v>31</v>
      </c>
      <c r="C23" s="631" t="s">
        <v>32</v>
      </c>
      <c r="D23" s="260">
        <v>1</v>
      </c>
      <c r="E23" s="632">
        <f t="shared" si="11"/>
        <v>143.33333333333334</v>
      </c>
      <c r="F23" s="599">
        <v>0.1</v>
      </c>
      <c r="G23" s="647">
        <f t="shared" si="12"/>
        <v>14.333333333333336</v>
      </c>
      <c r="H23" s="648" t="s">
        <v>233</v>
      </c>
      <c r="I23" s="649">
        <f t="shared" si="13"/>
        <v>936.99800000000005</v>
      </c>
      <c r="J23" s="633">
        <f t="shared" si="14"/>
        <v>1171.2474999999999</v>
      </c>
      <c r="U23" s="671" t="s">
        <v>29</v>
      </c>
      <c r="V23" s="672" t="s">
        <v>30</v>
      </c>
      <c r="W23" s="63">
        <v>760.96776507723951</v>
      </c>
      <c r="X23" s="64"/>
    </row>
    <row r="24" spans="2:24" x14ac:dyDescent="0.25">
      <c r="B24" s="630" t="s">
        <v>33</v>
      </c>
      <c r="C24" s="631" t="s">
        <v>34</v>
      </c>
      <c r="D24" s="260">
        <v>0</v>
      </c>
      <c r="E24" s="632">
        <f t="shared" si="11"/>
        <v>0</v>
      </c>
      <c r="F24" s="599">
        <v>0</v>
      </c>
      <c r="G24" s="647">
        <f t="shared" si="12"/>
        <v>0</v>
      </c>
      <c r="H24" s="648" t="s">
        <v>210</v>
      </c>
      <c r="I24" s="649">
        <f t="shared" si="13"/>
        <v>0</v>
      </c>
      <c r="J24" s="633">
        <f t="shared" si="14"/>
        <v>0</v>
      </c>
      <c r="U24" s="630" t="s">
        <v>31</v>
      </c>
      <c r="V24" s="631" t="s">
        <v>32</v>
      </c>
      <c r="W24" s="57">
        <v>0</v>
      </c>
      <c r="X24" s="58"/>
    </row>
    <row r="25" spans="2:24" x14ac:dyDescent="0.25">
      <c r="B25" s="630" t="s">
        <v>35</v>
      </c>
      <c r="C25" s="631" t="s">
        <v>36</v>
      </c>
      <c r="D25" s="260">
        <v>0</v>
      </c>
      <c r="E25" s="632">
        <f t="shared" si="11"/>
        <v>0</v>
      </c>
      <c r="F25" s="599">
        <v>0</v>
      </c>
      <c r="G25" s="647">
        <f t="shared" si="12"/>
        <v>0</v>
      </c>
      <c r="H25" s="648" t="s">
        <v>210</v>
      </c>
      <c r="I25" s="649">
        <f t="shared" si="13"/>
        <v>0</v>
      </c>
      <c r="J25" s="633">
        <f t="shared" si="14"/>
        <v>0</v>
      </c>
      <c r="U25" s="630" t="s">
        <v>33</v>
      </c>
      <c r="V25" s="631" t="s">
        <v>34</v>
      </c>
      <c r="W25" s="57">
        <v>0</v>
      </c>
      <c r="X25" s="58"/>
    </row>
    <row r="26" spans="2:24" x14ac:dyDescent="0.25">
      <c r="B26" s="65" t="s">
        <v>37</v>
      </c>
      <c r="C26" s="66" t="s">
        <v>38</v>
      </c>
      <c r="D26" s="260">
        <v>3</v>
      </c>
      <c r="E26" s="632">
        <f t="shared" si="11"/>
        <v>430</v>
      </c>
      <c r="F26" s="599">
        <v>3</v>
      </c>
      <c r="G26" s="647">
        <f t="shared" si="12"/>
        <v>430</v>
      </c>
      <c r="H26" s="648" t="s">
        <v>211</v>
      </c>
      <c r="I26" s="649">
        <f t="shared" si="13"/>
        <v>28109.94</v>
      </c>
      <c r="J26" s="633">
        <f t="shared" si="14"/>
        <v>35137.424999999996</v>
      </c>
      <c r="U26" s="630" t="s">
        <v>35</v>
      </c>
      <c r="V26" s="631" t="s">
        <v>36</v>
      </c>
      <c r="W26" s="57">
        <v>0</v>
      </c>
      <c r="X26" s="58"/>
    </row>
    <row r="27" spans="2:24" x14ac:dyDescent="0.25">
      <c r="B27" s="624" t="s">
        <v>212</v>
      </c>
      <c r="C27" s="625" t="s">
        <v>40</v>
      </c>
      <c r="D27" s="261">
        <f t="shared" ref="D27:E27" si="15">SUM(D28:D36)</f>
        <v>12.75</v>
      </c>
      <c r="E27" s="634">
        <f t="shared" si="15"/>
        <v>1827.5</v>
      </c>
      <c r="F27" s="577">
        <f>SUM(F28:F36)</f>
        <v>11.850000000000001</v>
      </c>
      <c r="G27" s="627">
        <f>F27*(1720/12)</f>
        <v>1698.5000000000002</v>
      </c>
      <c r="H27" s="628" t="s">
        <v>234</v>
      </c>
      <c r="I27" s="629">
        <f>SUM(I28:I36)</f>
        <v>111034.26300000001</v>
      </c>
      <c r="J27" s="629">
        <f>SUM(J28:J36)</f>
        <v>138792.82874999999</v>
      </c>
      <c r="U27" s="65" t="s">
        <v>37</v>
      </c>
      <c r="V27" s="66" t="s">
        <v>38</v>
      </c>
      <c r="W27" s="57">
        <v>0</v>
      </c>
      <c r="X27" s="58"/>
    </row>
    <row r="28" spans="2:24" x14ac:dyDescent="0.25">
      <c r="B28" s="635" t="s">
        <v>213</v>
      </c>
      <c r="C28" s="631" t="s">
        <v>42</v>
      </c>
      <c r="D28" s="260">
        <v>0</v>
      </c>
      <c r="E28" s="632">
        <f t="shared" ref="E28:E36" si="16">D28*1720/12</f>
        <v>0</v>
      </c>
      <c r="F28" s="599">
        <v>0.2</v>
      </c>
      <c r="G28" s="647">
        <f t="shared" ref="G28:G36" si="17">F28*(1720/12)</f>
        <v>28.666666666666671</v>
      </c>
      <c r="H28" s="648" t="s">
        <v>235</v>
      </c>
      <c r="I28" s="649">
        <f t="shared" ref="I28:I36" si="18">F28*9369.98</f>
        <v>1873.9960000000001</v>
      </c>
      <c r="J28" s="633">
        <f t="shared" ref="J28:J36" si="19">I28*1.25</f>
        <v>2342.4949999999999</v>
      </c>
      <c r="U28" s="624" t="s">
        <v>39</v>
      </c>
      <c r="V28" s="625" t="s">
        <v>40</v>
      </c>
      <c r="W28" s="59">
        <f>SUM(W29:W37)</f>
        <v>2723.4635802764365</v>
      </c>
      <c r="X28" s="626"/>
    </row>
    <row r="29" spans="2:24" ht="30" x14ac:dyDescent="0.25">
      <c r="B29" s="70" t="s">
        <v>43</v>
      </c>
      <c r="C29" s="66" t="s">
        <v>44</v>
      </c>
      <c r="D29" s="260">
        <v>1</v>
      </c>
      <c r="E29" s="632">
        <f t="shared" si="16"/>
        <v>143.33333333333334</v>
      </c>
      <c r="F29" s="599">
        <v>1</v>
      </c>
      <c r="G29" s="647">
        <f t="shared" si="17"/>
        <v>143.33333333333334</v>
      </c>
      <c r="H29" s="648" t="s">
        <v>210</v>
      </c>
      <c r="I29" s="649">
        <f t="shared" si="18"/>
        <v>9369.98</v>
      </c>
      <c r="J29" s="633">
        <f t="shared" si="19"/>
        <v>11712.474999999999</v>
      </c>
      <c r="U29" s="61" t="s">
        <v>98</v>
      </c>
      <c r="V29" s="62" t="s">
        <v>42</v>
      </c>
      <c r="W29" s="63">
        <v>2403.0561002439144</v>
      </c>
      <c r="X29" s="64"/>
    </row>
    <row r="30" spans="2:24" x14ac:dyDescent="0.25">
      <c r="B30" s="635" t="s">
        <v>45</v>
      </c>
      <c r="C30" s="631" t="s">
        <v>46</v>
      </c>
      <c r="D30" s="262">
        <v>0.5</v>
      </c>
      <c r="E30" s="632">
        <f t="shared" si="16"/>
        <v>71.666666666666671</v>
      </c>
      <c r="F30" s="599">
        <v>0.1</v>
      </c>
      <c r="G30" s="647">
        <f t="shared" si="17"/>
        <v>14.333333333333336</v>
      </c>
      <c r="H30" s="648" t="s">
        <v>236</v>
      </c>
      <c r="I30" s="649">
        <f t="shared" si="18"/>
        <v>936.99800000000005</v>
      </c>
      <c r="J30" s="633">
        <f t="shared" si="19"/>
        <v>1171.2474999999999</v>
      </c>
      <c r="U30" s="635" t="s">
        <v>43</v>
      </c>
      <c r="V30" s="631" t="s">
        <v>44</v>
      </c>
      <c r="W30" s="57">
        <v>0</v>
      </c>
      <c r="X30" s="58"/>
    </row>
    <row r="31" spans="2:24" x14ac:dyDescent="0.25">
      <c r="B31" s="635" t="s">
        <v>47</v>
      </c>
      <c r="C31" s="631" t="s">
        <v>48</v>
      </c>
      <c r="D31" s="260">
        <v>0</v>
      </c>
      <c r="E31" s="632">
        <f t="shared" si="16"/>
        <v>0</v>
      </c>
      <c r="F31" s="599">
        <v>0</v>
      </c>
      <c r="G31" s="647">
        <f t="shared" si="17"/>
        <v>0</v>
      </c>
      <c r="H31" s="648" t="s">
        <v>210</v>
      </c>
      <c r="I31" s="649">
        <f t="shared" si="18"/>
        <v>0</v>
      </c>
      <c r="J31" s="633">
        <f t="shared" si="19"/>
        <v>0</v>
      </c>
      <c r="U31" s="635" t="s">
        <v>45</v>
      </c>
      <c r="V31" s="631" t="s">
        <v>46</v>
      </c>
      <c r="W31" s="57">
        <v>0</v>
      </c>
      <c r="X31" s="58"/>
    </row>
    <row r="32" spans="2:24" x14ac:dyDescent="0.25">
      <c r="B32" s="70" t="s">
        <v>214</v>
      </c>
      <c r="C32" s="66" t="s">
        <v>50</v>
      </c>
      <c r="D32" s="260">
        <v>9.75</v>
      </c>
      <c r="E32" s="632">
        <f t="shared" si="16"/>
        <v>1397.5</v>
      </c>
      <c r="F32" s="599">
        <v>9.75</v>
      </c>
      <c r="G32" s="647">
        <f t="shared" si="17"/>
        <v>1397.5</v>
      </c>
      <c r="H32" s="648" t="s">
        <v>210</v>
      </c>
      <c r="I32" s="649">
        <f t="shared" si="18"/>
        <v>91357.304999999993</v>
      </c>
      <c r="J32" s="633">
        <f t="shared" si="19"/>
        <v>114196.63124999999</v>
      </c>
      <c r="U32" s="635" t="s">
        <v>47</v>
      </c>
      <c r="V32" s="631" t="s">
        <v>48</v>
      </c>
      <c r="W32" s="57">
        <v>0</v>
      </c>
      <c r="X32" s="58"/>
    </row>
    <row r="33" spans="2:24" x14ac:dyDescent="0.25">
      <c r="B33" s="635" t="s">
        <v>51</v>
      </c>
      <c r="C33" s="631" t="s">
        <v>52</v>
      </c>
      <c r="D33" s="260">
        <v>0</v>
      </c>
      <c r="E33" s="632">
        <f t="shared" si="16"/>
        <v>0</v>
      </c>
      <c r="F33" s="599">
        <v>0</v>
      </c>
      <c r="G33" s="647">
        <f t="shared" si="17"/>
        <v>0</v>
      </c>
      <c r="H33" s="648" t="s">
        <v>210</v>
      </c>
      <c r="I33" s="649">
        <f t="shared" si="18"/>
        <v>0</v>
      </c>
      <c r="J33" s="633">
        <f t="shared" si="19"/>
        <v>0</v>
      </c>
      <c r="U33" s="70" t="s">
        <v>99</v>
      </c>
      <c r="V33" s="66" t="s">
        <v>50</v>
      </c>
      <c r="W33" s="57">
        <v>320.4074800325219</v>
      </c>
      <c r="X33" s="58"/>
    </row>
    <row r="34" spans="2:24" x14ac:dyDescent="0.25">
      <c r="B34" s="635" t="s">
        <v>53</v>
      </c>
      <c r="C34" s="631" t="s">
        <v>54</v>
      </c>
      <c r="D34" s="260">
        <v>0</v>
      </c>
      <c r="E34" s="632">
        <f t="shared" si="16"/>
        <v>0</v>
      </c>
      <c r="F34" s="599">
        <v>0</v>
      </c>
      <c r="G34" s="647">
        <f t="shared" si="17"/>
        <v>0</v>
      </c>
      <c r="H34" s="648" t="s">
        <v>210</v>
      </c>
      <c r="I34" s="649">
        <f t="shared" si="18"/>
        <v>0</v>
      </c>
      <c r="J34" s="633">
        <f t="shared" si="19"/>
        <v>0</v>
      </c>
      <c r="U34" s="635" t="s">
        <v>51</v>
      </c>
      <c r="V34" s="631" t="s">
        <v>52</v>
      </c>
      <c r="W34" s="57">
        <v>0</v>
      </c>
      <c r="X34" s="58"/>
    </row>
    <row r="35" spans="2:24" x14ac:dyDescent="0.25">
      <c r="B35" s="630" t="s">
        <v>55</v>
      </c>
      <c r="C35" s="631" t="s">
        <v>56</v>
      </c>
      <c r="D35" s="260">
        <v>1</v>
      </c>
      <c r="E35" s="632">
        <f t="shared" si="16"/>
        <v>143.33333333333334</v>
      </c>
      <c r="F35" s="599">
        <v>0.5</v>
      </c>
      <c r="G35" s="647">
        <f t="shared" si="17"/>
        <v>71.666666666666671</v>
      </c>
      <c r="H35" s="648" t="s">
        <v>237</v>
      </c>
      <c r="I35" s="649">
        <f t="shared" si="18"/>
        <v>4684.99</v>
      </c>
      <c r="J35" s="633">
        <f t="shared" si="19"/>
        <v>5856.2374999999993</v>
      </c>
      <c r="U35" s="635" t="s">
        <v>53</v>
      </c>
      <c r="V35" s="631" t="s">
        <v>54</v>
      </c>
      <c r="W35" s="57">
        <v>0</v>
      </c>
      <c r="X35" s="58"/>
    </row>
    <row r="36" spans="2:24" x14ac:dyDescent="0.25">
      <c r="B36" s="630" t="s">
        <v>57</v>
      </c>
      <c r="C36" s="631" t="s">
        <v>58</v>
      </c>
      <c r="D36" s="260">
        <v>0.5</v>
      </c>
      <c r="E36" s="632">
        <f t="shared" si="16"/>
        <v>71.666666666666671</v>
      </c>
      <c r="F36" s="599">
        <v>0.3</v>
      </c>
      <c r="G36" s="647">
        <f t="shared" si="17"/>
        <v>43</v>
      </c>
      <c r="H36" s="648" t="s">
        <v>238</v>
      </c>
      <c r="I36" s="649">
        <f t="shared" si="18"/>
        <v>2810.9939999999997</v>
      </c>
      <c r="J36" s="633">
        <f t="shared" si="19"/>
        <v>3513.7424999999994</v>
      </c>
      <c r="U36" s="630" t="s">
        <v>55</v>
      </c>
      <c r="V36" s="631" t="s">
        <v>56</v>
      </c>
      <c r="W36" s="57">
        <v>0</v>
      </c>
      <c r="X36" s="58"/>
    </row>
    <row r="37" spans="2:24" x14ac:dyDescent="0.25">
      <c r="B37" s="624" t="s">
        <v>59</v>
      </c>
      <c r="C37" s="625" t="s">
        <v>60</v>
      </c>
      <c r="D37" s="261">
        <f t="shared" ref="D37:E37" si="20">SUM(D38:D40)</f>
        <v>6</v>
      </c>
      <c r="E37" s="634">
        <f t="shared" si="20"/>
        <v>860</v>
      </c>
      <c r="F37" s="577">
        <f>SUM(F38:F40)</f>
        <v>6</v>
      </c>
      <c r="G37" s="627">
        <f>F37*(1720/12)</f>
        <v>860</v>
      </c>
      <c r="H37" s="628" t="s">
        <v>239</v>
      </c>
      <c r="I37" s="629">
        <f>SUM(I38:I40)</f>
        <v>56219.88</v>
      </c>
      <c r="J37" s="629">
        <f>SUM(J38:J40)</f>
        <v>70274.849999999991</v>
      </c>
      <c r="U37" s="630" t="s">
        <v>57</v>
      </c>
      <c r="V37" s="631" t="s">
        <v>58</v>
      </c>
      <c r="W37" s="57">
        <v>0</v>
      </c>
      <c r="X37" s="58"/>
    </row>
    <row r="38" spans="2:24" x14ac:dyDescent="0.25">
      <c r="B38" s="65" t="s">
        <v>61</v>
      </c>
      <c r="C38" s="66" t="s">
        <v>62</v>
      </c>
      <c r="D38" s="260">
        <v>2.5</v>
      </c>
      <c r="E38" s="632">
        <f t="shared" ref="E38:E40" si="21">D38*1720/12</f>
        <v>358.33333333333331</v>
      </c>
      <c r="F38" s="599">
        <v>3</v>
      </c>
      <c r="G38" s="647">
        <f t="shared" ref="G38:G40" si="22">F38*(1720/12)</f>
        <v>430</v>
      </c>
      <c r="H38" s="648" t="s">
        <v>240</v>
      </c>
      <c r="I38" s="649">
        <f t="shared" ref="I38:I40" si="23">F38*9369.98</f>
        <v>28109.94</v>
      </c>
      <c r="J38" s="633">
        <f t="shared" ref="J38:J40" si="24">I38*1.25</f>
        <v>35137.424999999996</v>
      </c>
      <c r="U38" s="624" t="s">
        <v>59</v>
      </c>
      <c r="V38" s="625" t="s">
        <v>60</v>
      </c>
      <c r="W38" s="59">
        <f>SUM(W39:W41)</f>
        <v>33402.479793390412</v>
      </c>
      <c r="X38" s="626"/>
    </row>
    <row r="39" spans="2:24" x14ac:dyDescent="0.25">
      <c r="B39" s="65" t="s">
        <v>215</v>
      </c>
      <c r="C39" s="66" t="s">
        <v>64</v>
      </c>
      <c r="D39" s="260">
        <v>2.5</v>
      </c>
      <c r="E39" s="632">
        <f t="shared" si="21"/>
        <v>358.33333333333331</v>
      </c>
      <c r="F39" s="599">
        <v>2.5</v>
      </c>
      <c r="G39" s="647">
        <f t="shared" si="22"/>
        <v>358.33333333333337</v>
      </c>
      <c r="H39" s="650"/>
      <c r="I39" s="649">
        <f t="shared" si="23"/>
        <v>23424.949999999997</v>
      </c>
      <c r="J39" s="633">
        <f t="shared" si="24"/>
        <v>29281.187499999996</v>
      </c>
      <c r="U39" s="65" t="s">
        <v>61</v>
      </c>
      <c r="V39" s="66" t="s">
        <v>62</v>
      </c>
      <c r="W39" s="57">
        <v>33402.479793390412</v>
      </c>
      <c r="X39" s="58"/>
    </row>
    <row r="40" spans="2:24" ht="22.5" x14ac:dyDescent="0.25">
      <c r="B40" s="65" t="s">
        <v>65</v>
      </c>
      <c r="C40" s="66" t="s">
        <v>66</v>
      </c>
      <c r="D40" s="260">
        <v>1</v>
      </c>
      <c r="E40" s="632">
        <f t="shared" si="21"/>
        <v>143.33333333333334</v>
      </c>
      <c r="F40" s="599">
        <v>0.5</v>
      </c>
      <c r="G40" s="647">
        <f t="shared" si="22"/>
        <v>71.666666666666671</v>
      </c>
      <c r="H40" s="648" t="s">
        <v>241</v>
      </c>
      <c r="I40" s="649">
        <f t="shared" si="23"/>
        <v>4684.99</v>
      </c>
      <c r="J40" s="633">
        <f t="shared" si="24"/>
        <v>5856.2374999999993</v>
      </c>
      <c r="U40" s="65" t="s">
        <v>100</v>
      </c>
      <c r="V40" s="66" t="s">
        <v>64</v>
      </c>
      <c r="W40" s="57">
        <v>0</v>
      </c>
      <c r="X40" s="58"/>
    </row>
    <row r="41" spans="2:24" ht="22.5" x14ac:dyDescent="0.25">
      <c r="B41" s="624" t="s">
        <v>67</v>
      </c>
      <c r="C41" s="625" t="s">
        <v>68</v>
      </c>
      <c r="D41" s="261">
        <f t="shared" ref="D41:E41" si="25">SUM(D42:D44)</f>
        <v>1</v>
      </c>
      <c r="E41" s="634">
        <f t="shared" si="25"/>
        <v>143.33333333333334</v>
      </c>
      <c r="F41" s="577">
        <f>SUM(F42:F44)</f>
        <v>1</v>
      </c>
      <c r="G41" s="627">
        <f>F41*(1720/12)</f>
        <v>143.33333333333334</v>
      </c>
      <c r="H41" s="628" t="s">
        <v>239</v>
      </c>
      <c r="I41" s="629">
        <f>SUM(I42:I44)</f>
        <v>9369.98</v>
      </c>
      <c r="J41" s="629">
        <f>SUM(J42:J44)</f>
        <v>11712.474999999999</v>
      </c>
      <c r="U41" s="65" t="s">
        <v>65</v>
      </c>
      <c r="V41" s="66" t="s">
        <v>66</v>
      </c>
      <c r="W41" s="57">
        <v>0</v>
      </c>
      <c r="X41" s="58"/>
    </row>
    <row r="42" spans="2:24" x14ac:dyDescent="0.25">
      <c r="B42" s="630" t="s">
        <v>69</v>
      </c>
      <c r="C42" s="631" t="s">
        <v>70</v>
      </c>
      <c r="D42" s="260">
        <v>0</v>
      </c>
      <c r="E42" s="632">
        <f t="shared" ref="E42:E44" si="26">D42*1720/12</f>
        <v>0</v>
      </c>
      <c r="F42" s="599">
        <v>0.4</v>
      </c>
      <c r="G42" s="647">
        <f t="shared" ref="G42:G44" si="27">F42*(1720/12)</f>
        <v>57.333333333333343</v>
      </c>
      <c r="H42" s="648" t="s">
        <v>242</v>
      </c>
      <c r="I42" s="649">
        <f t="shared" ref="I42:I44" si="28">F42*9369.98</f>
        <v>3747.9920000000002</v>
      </c>
      <c r="J42" s="633">
        <f t="shared" ref="J42:J44" si="29">I42*1.25</f>
        <v>4684.99</v>
      </c>
      <c r="U42" s="624" t="s">
        <v>67</v>
      </c>
      <c r="V42" s="625" t="s">
        <v>68</v>
      </c>
      <c r="W42" s="59">
        <f>SUM(W43:W45)</f>
        <v>5847.4365105935249</v>
      </c>
      <c r="X42" s="626"/>
    </row>
    <row r="43" spans="2:24" x14ac:dyDescent="0.25">
      <c r="B43" s="630" t="s">
        <v>71</v>
      </c>
      <c r="C43" s="631" t="s">
        <v>72</v>
      </c>
      <c r="D43" s="260">
        <v>0.5</v>
      </c>
      <c r="E43" s="632">
        <f t="shared" si="26"/>
        <v>71.666666666666671</v>
      </c>
      <c r="F43" s="599">
        <v>0.3</v>
      </c>
      <c r="G43" s="647">
        <f t="shared" si="27"/>
        <v>43</v>
      </c>
      <c r="H43" s="648" t="s">
        <v>243</v>
      </c>
      <c r="I43" s="649">
        <f t="shared" si="28"/>
        <v>2810.9939999999997</v>
      </c>
      <c r="J43" s="633">
        <f t="shared" si="29"/>
        <v>3513.7424999999994</v>
      </c>
      <c r="U43" s="61" t="s">
        <v>69</v>
      </c>
      <c r="V43" s="62" t="s">
        <v>70</v>
      </c>
      <c r="W43" s="63">
        <v>4886.2140704959593</v>
      </c>
      <c r="X43" s="64"/>
    </row>
    <row r="44" spans="2:24" x14ac:dyDescent="0.25">
      <c r="B44" s="630" t="s">
        <v>73</v>
      </c>
      <c r="C44" s="631" t="s">
        <v>74</v>
      </c>
      <c r="D44" s="260">
        <v>0.5</v>
      </c>
      <c r="E44" s="632">
        <f t="shared" si="26"/>
        <v>71.666666666666671</v>
      </c>
      <c r="F44" s="599">
        <v>0.3</v>
      </c>
      <c r="G44" s="647">
        <f t="shared" si="27"/>
        <v>43</v>
      </c>
      <c r="H44" s="648" t="s">
        <v>244</v>
      </c>
      <c r="I44" s="649">
        <f t="shared" si="28"/>
        <v>2810.9939999999997</v>
      </c>
      <c r="J44" s="633">
        <f t="shared" si="29"/>
        <v>3513.7424999999994</v>
      </c>
      <c r="U44" s="630" t="s">
        <v>71</v>
      </c>
      <c r="V44" s="631" t="s">
        <v>72</v>
      </c>
      <c r="W44" s="57">
        <v>961.22244009756571</v>
      </c>
      <c r="X44" s="58"/>
    </row>
    <row r="45" spans="2:24" x14ac:dyDescent="0.25">
      <c r="B45" s="624" t="s">
        <v>75</v>
      </c>
      <c r="C45" s="625" t="s">
        <v>76</v>
      </c>
      <c r="D45" s="261">
        <f t="shared" ref="D45:E45" si="30">SUM(D46:D48)</f>
        <v>0</v>
      </c>
      <c r="E45" s="634">
        <f t="shared" si="30"/>
        <v>0</v>
      </c>
      <c r="F45" s="577">
        <f>SUM(F46:F48)</f>
        <v>1.1000000000000001</v>
      </c>
      <c r="G45" s="627">
        <f>F45*(1720/12)</f>
        <v>157.66666666666669</v>
      </c>
      <c r="H45" s="628" t="s">
        <v>245</v>
      </c>
      <c r="I45" s="629">
        <f>SUM(I46:I48)</f>
        <v>10306.977999999999</v>
      </c>
      <c r="J45" s="629">
        <f>SUM(J46:J48)</f>
        <v>12883.722499999998</v>
      </c>
      <c r="U45" s="630" t="s">
        <v>73</v>
      </c>
      <c r="V45" s="631" t="s">
        <v>74</v>
      </c>
      <c r="W45" s="57">
        <v>0</v>
      </c>
      <c r="X45" s="58"/>
    </row>
    <row r="46" spans="2:24" x14ac:dyDescent="0.25">
      <c r="B46" s="630" t="s">
        <v>77</v>
      </c>
      <c r="C46" s="631" t="s">
        <v>78</v>
      </c>
      <c r="D46" s="260">
        <v>0</v>
      </c>
      <c r="E46" s="632">
        <f t="shared" ref="E46:E48" si="31">D46*1720/12</f>
        <v>0</v>
      </c>
      <c r="F46" s="599">
        <v>0.5</v>
      </c>
      <c r="G46" s="647">
        <f t="shared" ref="G46:G48" si="32">F46*(1720/12)</f>
        <v>71.666666666666671</v>
      </c>
      <c r="H46" s="648" t="s">
        <v>246</v>
      </c>
      <c r="I46" s="649">
        <f t="shared" ref="I46:I48" si="33">F46*9369.98</f>
        <v>4684.99</v>
      </c>
      <c r="J46" s="633">
        <f t="shared" ref="J46:J48" si="34">I46*1.25</f>
        <v>5856.2374999999993</v>
      </c>
      <c r="U46" s="624" t="s">
        <v>75</v>
      </c>
      <c r="V46" s="625" t="s">
        <v>76</v>
      </c>
      <c r="W46" s="59">
        <f>SUM(W47:W49)</f>
        <v>1682.13927017074</v>
      </c>
      <c r="X46" s="626"/>
    </row>
    <row r="47" spans="2:24" x14ac:dyDescent="0.25">
      <c r="B47" s="630" t="s">
        <v>79</v>
      </c>
      <c r="C47" s="631" t="s">
        <v>80</v>
      </c>
      <c r="D47" s="260">
        <v>0</v>
      </c>
      <c r="E47" s="632">
        <f t="shared" si="31"/>
        <v>0</v>
      </c>
      <c r="F47" s="599">
        <v>0.5</v>
      </c>
      <c r="G47" s="647">
        <f t="shared" si="32"/>
        <v>71.666666666666671</v>
      </c>
      <c r="H47" s="648" t="s">
        <v>247</v>
      </c>
      <c r="I47" s="649">
        <f t="shared" si="33"/>
        <v>4684.99</v>
      </c>
      <c r="J47" s="633">
        <f t="shared" si="34"/>
        <v>5856.2374999999993</v>
      </c>
      <c r="U47" s="61" t="s">
        <v>77</v>
      </c>
      <c r="V47" s="62" t="s">
        <v>78</v>
      </c>
      <c r="W47" s="63">
        <v>240.30561002439143</v>
      </c>
      <c r="X47" s="64"/>
    </row>
    <row r="48" spans="2:24" x14ac:dyDescent="0.25">
      <c r="B48" s="635" t="s">
        <v>81</v>
      </c>
      <c r="C48" s="631" t="s">
        <v>82</v>
      </c>
      <c r="D48" s="260">
        <v>0</v>
      </c>
      <c r="E48" s="632">
        <f t="shared" si="31"/>
        <v>0</v>
      </c>
      <c r="F48" s="599">
        <v>0.1</v>
      </c>
      <c r="G48" s="647">
        <f t="shared" si="32"/>
        <v>14.333333333333336</v>
      </c>
      <c r="H48" s="648" t="s">
        <v>248</v>
      </c>
      <c r="I48" s="649">
        <f t="shared" si="33"/>
        <v>936.99800000000005</v>
      </c>
      <c r="J48" s="633">
        <f t="shared" si="34"/>
        <v>1171.2474999999999</v>
      </c>
      <c r="U48" s="61" t="s">
        <v>79</v>
      </c>
      <c r="V48" s="62" t="s">
        <v>80</v>
      </c>
      <c r="W48" s="64">
        <v>720.91683007317431</v>
      </c>
      <c r="X48" s="64"/>
    </row>
    <row r="49" spans="2:24" ht="15.75" thickBot="1" x14ac:dyDescent="0.3">
      <c r="B49" s="654" t="s">
        <v>249</v>
      </c>
      <c r="C49" s="636" t="s">
        <v>84</v>
      </c>
      <c r="D49" s="263">
        <f>D11+D15+D20+D27+D37+D41+D45</f>
        <v>25.75</v>
      </c>
      <c r="E49" s="652">
        <f t="shared" ref="E49" si="35">E11+E15+E20+E27+E37+E41+E45</f>
        <v>3690.8333333333335</v>
      </c>
      <c r="F49" s="587">
        <f>(F11+F15+F20+F27+F37+F41+F45)</f>
        <v>25.750000000000004</v>
      </c>
      <c r="G49" s="637">
        <f>(G11+G15+G20+G27+G37+G41+G45)</f>
        <v>3690.8333333333339</v>
      </c>
      <c r="H49" s="653"/>
      <c r="I49" s="638">
        <f>(I11+I15+I20+I27+I37+I41+I45)</f>
        <v>241276.98500000002</v>
      </c>
      <c r="J49" s="638">
        <f>(J11+J15+J20+J27+J37+J41+J45)</f>
        <v>301596.2312499999</v>
      </c>
      <c r="U49" s="61" t="s">
        <v>81</v>
      </c>
      <c r="V49" s="62" t="s">
        <v>82</v>
      </c>
      <c r="W49" s="64">
        <v>720.91683007317431</v>
      </c>
      <c r="X49" s="64"/>
    </row>
    <row r="50" spans="2:24" ht="15.75" thickBot="1" x14ac:dyDescent="0.3">
      <c r="U50" s="636" t="s">
        <v>84</v>
      </c>
      <c r="V50" s="618" t="s">
        <v>84</v>
      </c>
      <c r="W50" s="72">
        <f>SUM(W12+W16+W21+W28+W38+W42+W46)</f>
        <v>71651.122722272718</v>
      </c>
      <c r="X50" s="73"/>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6882F-79A5-4375-B1B5-4FE1DB72BAE3}">
  <dimension ref="A1:M96"/>
  <sheetViews>
    <sheetView topLeftCell="A34" workbookViewId="0">
      <selection activeCell="J60" sqref="J60"/>
    </sheetView>
  </sheetViews>
  <sheetFormatPr baseColWidth="10" defaultColWidth="9.140625" defaultRowHeight="15" x14ac:dyDescent="0.25"/>
  <cols>
    <col min="2" max="2" width="59.28515625" customWidth="1"/>
    <col min="4" max="4" width="15.85546875" customWidth="1"/>
    <col min="5" max="5" width="6.42578125" customWidth="1"/>
    <col min="6" max="6" width="14.140625" style="74" customWidth="1"/>
    <col min="7" max="7" width="12.5703125" style="74" customWidth="1"/>
    <col min="8" max="8" width="14.42578125" style="4" customWidth="1"/>
    <col min="9" max="9" width="26.7109375" customWidth="1"/>
    <col min="10" max="10" width="15.5703125" customWidth="1"/>
    <col min="11" max="11" width="21.140625" customWidth="1"/>
  </cols>
  <sheetData>
    <row r="1" spans="1:7" x14ac:dyDescent="0.25">
      <c r="F1" s="6"/>
      <c r="G1" s="45"/>
    </row>
    <row r="2" spans="1:7" x14ac:dyDescent="0.25">
      <c r="A2" s="2"/>
      <c r="B2" s="2"/>
      <c r="C2" s="3"/>
      <c r="D2" s="95" t="s">
        <v>0</v>
      </c>
      <c r="E2" s="47"/>
      <c r="F2" s="6"/>
      <c r="G2" s="6"/>
    </row>
    <row r="3" spans="1:7" x14ac:dyDescent="0.25">
      <c r="A3" s="2"/>
      <c r="B3" s="2"/>
      <c r="C3" s="3"/>
      <c r="D3" s="95" t="s">
        <v>146</v>
      </c>
      <c r="E3" s="48"/>
      <c r="F3" s="6"/>
      <c r="G3" s="6"/>
    </row>
    <row r="4" spans="1:7" x14ac:dyDescent="0.25">
      <c r="A4" s="2"/>
      <c r="B4" s="2"/>
      <c r="C4" s="3"/>
      <c r="D4" s="95" t="s">
        <v>88</v>
      </c>
      <c r="E4" s="49"/>
    </row>
    <row r="5" spans="1:7" x14ac:dyDescent="0.25">
      <c r="A5" s="2"/>
      <c r="B5" s="2" t="s">
        <v>101</v>
      </c>
      <c r="C5" s="50" t="s">
        <v>3</v>
      </c>
      <c r="D5" s="95" t="s">
        <v>97</v>
      </c>
      <c r="E5" s="49"/>
    </row>
    <row r="6" spans="1:7" x14ac:dyDescent="0.25">
      <c r="A6" s="2"/>
      <c r="B6" s="2"/>
      <c r="C6" s="50" t="s">
        <v>4</v>
      </c>
      <c r="D6" s="46" t="s">
        <v>84</v>
      </c>
      <c r="E6" s="49"/>
    </row>
    <row r="7" spans="1:7" x14ac:dyDescent="0.25">
      <c r="A7" s="2"/>
      <c r="B7" s="191" t="s">
        <v>141</v>
      </c>
      <c r="C7" s="50" t="s">
        <v>148</v>
      </c>
      <c r="D7" s="46">
        <v>0</v>
      </c>
      <c r="E7" s="49"/>
    </row>
    <row r="8" spans="1:7" x14ac:dyDescent="0.25">
      <c r="A8" s="2"/>
      <c r="B8" s="51" t="s">
        <v>7</v>
      </c>
      <c r="C8" s="52" t="s">
        <v>8</v>
      </c>
      <c r="D8" s="53">
        <f>SUM(D9:D11)*1.25</f>
        <v>1875.625</v>
      </c>
      <c r="E8" s="54"/>
    </row>
    <row r="9" spans="1:7" x14ac:dyDescent="0.25">
      <c r="B9" s="55" t="s">
        <v>9</v>
      </c>
      <c r="C9" s="56" t="s">
        <v>10</v>
      </c>
      <c r="D9" s="57">
        <v>780.13</v>
      </c>
      <c r="E9" s="57"/>
    </row>
    <row r="10" spans="1:7" ht="15" customHeight="1" x14ac:dyDescent="0.25">
      <c r="B10" s="55" t="s">
        <v>11</v>
      </c>
      <c r="C10" s="56" t="s">
        <v>12</v>
      </c>
      <c r="D10" s="57">
        <v>194.2</v>
      </c>
      <c r="E10" s="58"/>
    </row>
    <row r="11" spans="1:7" ht="15" customHeight="1" x14ac:dyDescent="0.25">
      <c r="B11" s="55" t="s">
        <v>13</v>
      </c>
      <c r="C11" s="56" t="s">
        <v>14</v>
      </c>
      <c r="D11" s="57">
        <v>526.16999999999996</v>
      </c>
      <c r="E11" s="58"/>
    </row>
    <row r="12" spans="1:7" ht="15" customHeight="1" x14ac:dyDescent="0.25">
      <c r="A12" s="2"/>
      <c r="B12" s="51" t="s">
        <v>15</v>
      </c>
      <c r="C12" s="52" t="s">
        <v>16</v>
      </c>
      <c r="D12" s="59">
        <f>SUM(D13:D16)*1.25</f>
        <v>174.28750000000002</v>
      </c>
      <c r="E12" s="60"/>
    </row>
    <row r="13" spans="1:7" ht="15" customHeight="1" x14ac:dyDescent="0.25">
      <c r="A13" s="2"/>
      <c r="B13" s="55" t="s">
        <v>17</v>
      </c>
      <c r="C13" s="56" t="s">
        <v>18</v>
      </c>
      <c r="D13" s="57">
        <v>0</v>
      </c>
      <c r="E13" s="58"/>
    </row>
    <row r="14" spans="1:7" ht="15" customHeight="1" x14ac:dyDescent="0.25">
      <c r="A14" s="2"/>
      <c r="B14" s="55" t="s">
        <v>19</v>
      </c>
      <c r="C14" s="56" t="s">
        <v>20</v>
      </c>
      <c r="D14" s="57">
        <v>0</v>
      </c>
      <c r="E14" s="58"/>
    </row>
    <row r="15" spans="1:7" ht="15" customHeight="1" x14ac:dyDescent="0.25">
      <c r="B15" s="55" t="s">
        <v>21</v>
      </c>
      <c r="C15" s="56" t="s">
        <v>22</v>
      </c>
      <c r="D15" s="57">
        <v>139.43</v>
      </c>
      <c r="E15" s="58"/>
    </row>
    <row r="16" spans="1:7" ht="15" customHeight="1" x14ac:dyDescent="0.25">
      <c r="A16" s="2"/>
      <c r="B16" s="55" t="s">
        <v>23</v>
      </c>
      <c r="C16" s="56" t="s">
        <v>24</v>
      </c>
      <c r="D16" s="57">
        <v>0</v>
      </c>
      <c r="E16" s="58"/>
    </row>
    <row r="17" spans="1:5" ht="15" customHeight="1" x14ac:dyDescent="0.25">
      <c r="A17" s="2"/>
      <c r="B17" s="51" t="s">
        <v>25</v>
      </c>
      <c r="C17" s="52" t="s">
        <v>26</v>
      </c>
      <c r="D17" s="59">
        <f>SUM(D18:D23)*1.25</f>
        <v>2002.375</v>
      </c>
      <c r="E17" s="60"/>
    </row>
    <row r="18" spans="1:5" ht="15" customHeight="1" x14ac:dyDescent="0.25">
      <c r="A18" s="2"/>
      <c r="B18" s="55" t="s">
        <v>27</v>
      </c>
      <c r="C18" s="56" t="s">
        <v>28</v>
      </c>
      <c r="D18" s="57">
        <v>1601.9</v>
      </c>
      <c r="E18" s="58"/>
    </row>
    <row r="19" spans="1:5" ht="15" customHeight="1" x14ac:dyDescent="0.25">
      <c r="A19" s="2"/>
      <c r="B19" s="55" t="s">
        <v>29</v>
      </c>
      <c r="C19" s="56" t="s">
        <v>30</v>
      </c>
      <c r="D19" s="57">
        <v>0</v>
      </c>
      <c r="E19" s="58"/>
    </row>
    <row r="20" spans="1:5" ht="15" customHeight="1" x14ac:dyDescent="0.25">
      <c r="A20" s="2"/>
      <c r="B20" s="55" t="s">
        <v>31</v>
      </c>
      <c r="C20" s="56" t="s">
        <v>32</v>
      </c>
      <c r="D20" s="57">
        <v>0</v>
      </c>
      <c r="E20" s="58"/>
    </row>
    <row r="21" spans="1:5" ht="15" customHeight="1" x14ac:dyDescent="0.25">
      <c r="A21" s="2"/>
      <c r="B21" s="55" t="s">
        <v>33</v>
      </c>
      <c r="C21" s="56" t="s">
        <v>34</v>
      </c>
      <c r="D21" s="57">
        <v>0</v>
      </c>
      <c r="E21" s="58"/>
    </row>
    <row r="22" spans="1:5" ht="15" customHeight="1" x14ac:dyDescent="0.25">
      <c r="A22" s="2"/>
      <c r="B22" s="55" t="s">
        <v>35</v>
      </c>
      <c r="C22" s="56" t="s">
        <v>36</v>
      </c>
      <c r="D22" s="57">
        <v>0</v>
      </c>
      <c r="E22" s="58"/>
    </row>
    <row r="23" spans="1:5" ht="15" customHeight="1" x14ac:dyDescent="0.25">
      <c r="A23" s="2"/>
      <c r="B23" s="65" t="s">
        <v>37</v>
      </c>
      <c r="C23" s="66" t="s">
        <v>38</v>
      </c>
      <c r="D23" s="57">
        <v>0</v>
      </c>
      <c r="E23" s="58"/>
    </row>
    <row r="24" spans="1:5" ht="15" customHeight="1" x14ac:dyDescent="0.25">
      <c r="A24" s="2"/>
      <c r="B24" s="51" t="s">
        <v>39</v>
      </c>
      <c r="C24" s="52" t="s">
        <v>40</v>
      </c>
      <c r="D24" s="59">
        <f>SUM(D25:D33)*1.25</f>
        <v>58.099999999999994</v>
      </c>
      <c r="E24" s="67"/>
    </row>
    <row r="25" spans="1:5" ht="15" customHeight="1" x14ac:dyDescent="0.25">
      <c r="A25" s="2"/>
      <c r="B25" s="69" t="s">
        <v>102</v>
      </c>
      <c r="C25" s="56" t="s">
        <v>42</v>
      </c>
      <c r="D25" s="57">
        <v>46.48</v>
      </c>
      <c r="E25" s="58"/>
    </row>
    <row r="26" spans="1:5" ht="15" customHeight="1" x14ac:dyDescent="0.25">
      <c r="A26" s="2"/>
      <c r="B26" s="69" t="s">
        <v>43</v>
      </c>
      <c r="C26" s="56" t="s">
        <v>44</v>
      </c>
      <c r="D26" s="57">
        <v>0</v>
      </c>
      <c r="E26" s="58"/>
    </row>
    <row r="27" spans="1:5" ht="15" customHeight="1" x14ac:dyDescent="0.25">
      <c r="A27" s="2"/>
      <c r="B27" s="69" t="s">
        <v>45</v>
      </c>
      <c r="C27" s="56" t="s">
        <v>46</v>
      </c>
      <c r="D27" s="57">
        <v>0</v>
      </c>
      <c r="E27" s="58"/>
    </row>
    <row r="28" spans="1:5" ht="15" customHeight="1" x14ac:dyDescent="0.25">
      <c r="A28" s="2"/>
      <c r="B28" s="69" t="s">
        <v>47</v>
      </c>
      <c r="C28" s="56" t="s">
        <v>48</v>
      </c>
      <c r="D28" s="57">
        <v>0</v>
      </c>
      <c r="E28" s="58"/>
    </row>
    <row r="29" spans="1:5" ht="15" customHeight="1" x14ac:dyDescent="0.25">
      <c r="A29" s="2"/>
      <c r="B29" s="70" t="s">
        <v>99</v>
      </c>
      <c r="C29" s="66" t="s">
        <v>50</v>
      </c>
      <c r="D29" s="57">
        <v>0</v>
      </c>
      <c r="E29" s="58"/>
    </row>
    <row r="30" spans="1:5" ht="15" customHeight="1" x14ac:dyDescent="0.25">
      <c r="A30" s="2"/>
      <c r="B30" s="69" t="s">
        <v>51</v>
      </c>
      <c r="C30" s="56" t="s">
        <v>52</v>
      </c>
      <c r="D30" s="57">
        <v>0</v>
      </c>
      <c r="E30" s="58"/>
    </row>
    <row r="31" spans="1:5" ht="15" customHeight="1" x14ac:dyDescent="0.25">
      <c r="A31" s="2"/>
      <c r="B31" s="69" t="s">
        <v>53</v>
      </c>
      <c r="C31" s="56" t="s">
        <v>54</v>
      </c>
      <c r="D31" s="57">
        <v>0</v>
      </c>
      <c r="E31" s="58"/>
    </row>
    <row r="32" spans="1:5" ht="15" customHeight="1" x14ac:dyDescent="0.25">
      <c r="A32" s="2"/>
      <c r="B32" s="55" t="s">
        <v>55</v>
      </c>
      <c r="C32" s="56" t="s">
        <v>56</v>
      </c>
      <c r="D32" s="57">
        <v>0</v>
      </c>
      <c r="E32" s="58"/>
    </row>
    <row r="33" spans="1:5" ht="15" customHeight="1" x14ac:dyDescent="0.25">
      <c r="A33" s="2"/>
      <c r="B33" s="55" t="s">
        <v>57</v>
      </c>
      <c r="C33" s="56" t="s">
        <v>58</v>
      </c>
      <c r="D33" s="57">
        <v>0</v>
      </c>
      <c r="E33" s="58"/>
    </row>
    <row r="34" spans="1:5" ht="15" customHeight="1" x14ac:dyDescent="0.25">
      <c r="A34" s="2"/>
      <c r="B34" s="51" t="s">
        <v>59</v>
      </c>
      <c r="C34" s="52" t="s">
        <v>60</v>
      </c>
      <c r="D34" s="59">
        <f>SUM(D35:D37)*1.25</f>
        <v>87.15</v>
      </c>
      <c r="E34" s="67"/>
    </row>
    <row r="35" spans="1:5" ht="15" customHeight="1" x14ac:dyDescent="0.25">
      <c r="A35" s="2"/>
      <c r="B35" s="65" t="s">
        <v>61</v>
      </c>
      <c r="C35" s="66" t="s">
        <v>62</v>
      </c>
      <c r="D35" s="57">
        <v>69.72</v>
      </c>
      <c r="E35" s="58"/>
    </row>
    <row r="36" spans="1:5" ht="15" customHeight="1" x14ac:dyDescent="0.25">
      <c r="A36" s="2"/>
      <c r="B36" s="65" t="s">
        <v>100</v>
      </c>
      <c r="C36" s="66" t="s">
        <v>64</v>
      </c>
      <c r="D36" s="57">
        <v>0</v>
      </c>
      <c r="E36" s="58"/>
    </row>
    <row r="37" spans="1:5" ht="15" customHeight="1" x14ac:dyDescent="0.25">
      <c r="A37" s="2"/>
      <c r="B37" s="65" t="s">
        <v>65</v>
      </c>
      <c r="C37" s="66" t="s">
        <v>66</v>
      </c>
      <c r="D37" s="57">
        <v>0</v>
      </c>
      <c r="E37" s="58"/>
    </row>
    <row r="38" spans="1:5" ht="15" customHeight="1" x14ac:dyDescent="0.25">
      <c r="A38" s="2"/>
      <c r="B38" s="51" t="s">
        <v>67</v>
      </c>
      <c r="C38" s="52" t="s">
        <v>68</v>
      </c>
      <c r="D38" s="59">
        <f>SUM(D39:D41)*1.25</f>
        <v>25103.862499999999</v>
      </c>
      <c r="E38" s="67"/>
    </row>
    <row r="39" spans="1:5" ht="15" customHeight="1" x14ac:dyDescent="0.25">
      <c r="A39" s="2"/>
      <c r="B39" s="55" t="s">
        <v>69</v>
      </c>
      <c r="C39" s="56" t="s">
        <v>70</v>
      </c>
      <c r="D39" s="57">
        <f>9569.4+7278.1</f>
        <v>16847.5</v>
      </c>
      <c r="E39" s="58"/>
    </row>
    <row r="40" spans="1:5" ht="15" customHeight="1" x14ac:dyDescent="0.25">
      <c r="A40" s="2"/>
      <c r="B40" s="55" t="s">
        <v>71</v>
      </c>
      <c r="C40" s="56" t="s">
        <v>72</v>
      </c>
      <c r="D40" s="57">
        <f>3235.59</f>
        <v>3235.59</v>
      </c>
      <c r="E40" s="58"/>
    </row>
    <row r="41" spans="1:5" ht="15" customHeight="1" x14ac:dyDescent="0.25">
      <c r="A41" s="2"/>
      <c r="B41" s="55" t="s">
        <v>73</v>
      </c>
      <c r="C41" s="56" t="s">
        <v>74</v>
      </c>
      <c r="D41" s="57">
        <v>0</v>
      </c>
      <c r="E41" s="58"/>
    </row>
    <row r="42" spans="1:5" ht="15" customHeight="1" x14ac:dyDescent="0.25">
      <c r="A42" s="2"/>
      <c r="B42" s="51" t="s">
        <v>75</v>
      </c>
      <c r="C42" s="52" t="s">
        <v>76</v>
      </c>
      <c r="D42" s="59">
        <f>SUM(D43:D45)*1.25</f>
        <v>0</v>
      </c>
      <c r="E42" s="67"/>
    </row>
    <row r="43" spans="1:5" ht="15" customHeight="1" x14ac:dyDescent="0.25">
      <c r="A43" s="2"/>
      <c r="B43" s="55" t="s">
        <v>77</v>
      </c>
      <c r="C43" s="56" t="s">
        <v>78</v>
      </c>
      <c r="D43" s="57">
        <v>0</v>
      </c>
      <c r="E43" s="58"/>
    </row>
    <row r="44" spans="1:5" ht="15" customHeight="1" x14ac:dyDescent="0.25">
      <c r="A44" s="2"/>
      <c r="B44" s="55" t="s">
        <v>79</v>
      </c>
      <c r="C44" s="56" t="s">
        <v>80</v>
      </c>
      <c r="D44" s="75">
        <v>0</v>
      </c>
      <c r="E44" s="58"/>
    </row>
    <row r="45" spans="1:5" ht="15" customHeight="1" thickBot="1" x14ac:dyDescent="0.3">
      <c r="A45" s="2"/>
      <c r="B45" s="69" t="s">
        <v>81</v>
      </c>
      <c r="C45" s="56" t="s">
        <v>82</v>
      </c>
      <c r="D45" s="75">
        <v>0</v>
      </c>
      <c r="E45" s="58"/>
    </row>
    <row r="46" spans="1:5" ht="15" customHeight="1" thickBot="1" x14ac:dyDescent="0.3">
      <c r="A46" s="2"/>
      <c r="B46" s="71" t="s">
        <v>83</v>
      </c>
      <c r="C46" s="3" t="s">
        <v>84</v>
      </c>
      <c r="D46" s="72">
        <f>D8+D12+D17+D24+D34+D38+D42</f>
        <v>29301.399999999998</v>
      </c>
      <c r="E46" s="73"/>
    </row>
    <row r="47" spans="1:5" ht="15" customHeight="1" x14ac:dyDescent="0.25"/>
    <row r="49" spans="2:13" x14ac:dyDescent="0.25">
      <c r="D49" s="2"/>
      <c r="F49" s="76"/>
    </row>
    <row r="50" spans="2:13" x14ac:dyDescent="0.25">
      <c r="F50" s="77"/>
    </row>
    <row r="51" spans="2:13" x14ac:dyDescent="0.25">
      <c r="B51" s="612" t="s">
        <v>84</v>
      </c>
      <c r="C51" s="612"/>
      <c r="D51" s="612"/>
      <c r="E51" s="612"/>
      <c r="F51" s="612"/>
      <c r="G51" s="612"/>
      <c r="H51" s="612"/>
      <c r="I51" s="612"/>
      <c r="J51" s="642" t="s">
        <v>194</v>
      </c>
      <c r="K51" s="651" t="s">
        <v>194</v>
      </c>
    </row>
    <row r="52" spans="2:13" x14ac:dyDescent="0.25">
      <c r="B52" s="612"/>
      <c r="C52" s="612"/>
      <c r="D52" s="617"/>
      <c r="E52" s="612"/>
      <c r="F52" s="612"/>
      <c r="G52" s="612"/>
      <c r="H52" s="612"/>
      <c r="I52" s="612"/>
      <c r="J52" s="644" t="s">
        <v>195</v>
      </c>
      <c r="K52" s="623" t="s">
        <v>196</v>
      </c>
    </row>
    <row r="53" spans="2:13" x14ac:dyDescent="0.25">
      <c r="B53" s="616"/>
      <c r="C53" s="618"/>
      <c r="D53" s="645" t="s">
        <v>197</v>
      </c>
      <c r="E53" s="646" t="s">
        <v>197</v>
      </c>
      <c r="F53" s="612"/>
      <c r="G53" s="620"/>
      <c r="H53" s="620"/>
      <c r="I53" s="620"/>
      <c r="J53" s="643" t="s">
        <v>198</v>
      </c>
      <c r="K53" s="621" t="s">
        <v>198</v>
      </c>
    </row>
    <row r="54" spans="2:13" x14ac:dyDescent="0.25">
      <c r="B54" s="616"/>
      <c r="C54" s="618"/>
      <c r="D54" s="645" t="s">
        <v>199</v>
      </c>
      <c r="E54" s="646" t="s">
        <v>199</v>
      </c>
      <c r="F54" s="612"/>
      <c r="G54" s="639" t="s">
        <v>194</v>
      </c>
      <c r="H54" s="639" t="s">
        <v>194</v>
      </c>
      <c r="I54" s="639" t="s">
        <v>194</v>
      </c>
      <c r="J54" s="667">
        <v>3020</v>
      </c>
      <c r="K54" s="622">
        <v>3020</v>
      </c>
      <c r="M54" t="s">
        <v>431</v>
      </c>
    </row>
    <row r="55" spans="2:13" x14ac:dyDescent="0.25">
      <c r="B55" s="616"/>
      <c r="C55" s="618"/>
      <c r="D55" s="645" t="s">
        <v>200</v>
      </c>
      <c r="E55" s="646" t="s">
        <v>200</v>
      </c>
      <c r="F55" s="612"/>
      <c r="G55" s="640" t="s">
        <v>201</v>
      </c>
      <c r="H55" s="640" t="s">
        <v>201</v>
      </c>
      <c r="I55" s="640"/>
      <c r="J55" s="644" t="s">
        <v>201</v>
      </c>
      <c r="K55" s="623" t="s">
        <v>201</v>
      </c>
    </row>
    <row r="56" spans="2:13" x14ac:dyDescent="0.25">
      <c r="B56" s="616"/>
      <c r="C56" s="619" t="s">
        <v>3</v>
      </c>
      <c r="D56" s="645" t="s">
        <v>84</v>
      </c>
      <c r="E56" s="646" t="s">
        <v>84</v>
      </c>
      <c r="F56" s="658" t="s">
        <v>430</v>
      </c>
      <c r="G56" s="640" t="s">
        <v>83</v>
      </c>
      <c r="H56" s="640" t="s">
        <v>83</v>
      </c>
      <c r="I56" s="641" t="s">
        <v>202</v>
      </c>
      <c r="J56" s="644" t="s">
        <v>203</v>
      </c>
      <c r="K56" s="623" t="s">
        <v>204</v>
      </c>
    </row>
    <row r="57" spans="2:13" x14ac:dyDescent="0.25">
      <c r="B57" s="616"/>
      <c r="C57" s="619" t="s">
        <v>4</v>
      </c>
      <c r="D57" s="645" t="s">
        <v>95</v>
      </c>
      <c r="E57" s="646" t="s">
        <v>205</v>
      </c>
      <c r="F57" s="612"/>
      <c r="G57" s="640" t="s">
        <v>206</v>
      </c>
      <c r="H57" s="640" t="s">
        <v>207</v>
      </c>
      <c r="I57" s="640"/>
      <c r="J57" s="644" t="s">
        <v>208</v>
      </c>
      <c r="K57" s="623" t="s">
        <v>208</v>
      </c>
    </row>
    <row r="58" spans="2:13" x14ac:dyDescent="0.25">
      <c r="B58" s="624" t="s">
        <v>7</v>
      </c>
      <c r="C58" s="625" t="s">
        <v>8</v>
      </c>
      <c r="D58" s="655">
        <v>2.25</v>
      </c>
      <c r="E58" s="626">
        <v>322.5</v>
      </c>
      <c r="F58" s="661">
        <v>0.32789999999999997</v>
      </c>
      <c r="G58" s="664">
        <v>0.32789999999999997</v>
      </c>
      <c r="H58" s="627">
        <v>46.998999999999995</v>
      </c>
      <c r="I58" s="628"/>
      <c r="J58" s="629">
        <v>990.25800000000004</v>
      </c>
      <c r="K58" s="629">
        <v>1237.8225000000002</v>
      </c>
    </row>
    <row r="59" spans="2:13" x14ac:dyDescent="0.25">
      <c r="B59" s="630" t="s">
        <v>9</v>
      </c>
      <c r="C59" s="631" t="s">
        <v>10</v>
      </c>
      <c r="D59" s="614">
        <v>1</v>
      </c>
      <c r="E59" s="632">
        <v>143.33333333333334</v>
      </c>
      <c r="F59" s="659">
        <v>0.1744</v>
      </c>
      <c r="G59" s="657">
        <v>0.1744</v>
      </c>
      <c r="H59" s="647">
        <v>24.997333333333334</v>
      </c>
      <c r="I59" s="648"/>
      <c r="J59" s="649">
        <v>526.68799999999999</v>
      </c>
      <c r="K59" s="633">
        <v>658.36</v>
      </c>
    </row>
    <row r="60" spans="2:13" x14ac:dyDescent="0.25">
      <c r="B60" s="630" t="s">
        <v>11</v>
      </c>
      <c r="C60" s="631" t="s">
        <v>12</v>
      </c>
      <c r="D60" s="614">
        <v>0.25</v>
      </c>
      <c r="E60" s="632">
        <v>35.833333333333336</v>
      </c>
      <c r="F60" s="659">
        <v>4.19E-2</v>
      </c>
      <c r="G60" s="657">
        <v>4.19E-2</v>
      </c>
      <c r="H60" s="647">
        <v>6.0056666666666674</v>
      </c>
      <c r="I60" s="648"/>
      <c r="J60" s="649">
        <v>126.538</v>
      </c>
      <c r="K60" s="633">
        <v>158.17249999999999</v>
      </c>
    </row>
    <row r="61" spans="2:13" x14ac:dyDescent="0.25">
      <c r="B61" s="630" t="s">
        <v>13</v>
      </c>
      <c r="C61" s="631" t="s">
        <v>14</v>
      </c>
      <c r="D61" s="614">
        <v>1</v>
      </c>
      <c r="E61" s="632">
        <v>143.33333333333334</v>
      </c>
      <c r="F61" s="659">
        <v>0.1116</v>
      </c>
      <c r="G61" s="657">
        <v>0.1116</v>
      </c>
      <c r="H61" s="647">
        <v>15.996000000000002</v>
      </c>
      <c r="I61" s="648"/>
      <c r="J61" s="649">
        <v>337.03200000000004</v>
      </c>
      <c r="K61" s="633">
        <v>421.29000000000008</v>
      </c>
    </row>
    <row r="62" spans="2:13" ht="22.5" x14ac:dyDescent="0.25">
      <c r="B62" s="624" t="s">
        <v>15</v>
      </c>
      <c r="C62" s="625" t="s">
        <v>16</v>
      </c>
      <c r="D62" s="655">
        <v>2.5</v>
      </c>
      <c r="E62" s="634">
        <v>358.33333333333331</v>
      </c>
      <c r="F62" s="662">
        <v>4.19E-2</v>
      </c>
      <c r="G62" s="664">
        <v>1.5419</v>
      </c>
      <c r="H62" s="627">
        <v>221.00566666666668</v>
      </c>
      <c r="I62" s="628"/>
      <c r="J62" s="629">
        <v>4656.5380000000005</v>
      </c>
      <c r="K62" s="629">
        <v>5820.6724999999997</v>
      </c>
    </row>
    <row r="63" spans="2:13" ht="22.5" x14ac:dyDescent="0.25">
      <c r="B63" s="630" t="s">
        <v>17</v>
      </c>
      <c r="C63" s="631" t="s">
        <v>18</v>
      </c>
      <c r="D63" s="614">
        <v>1.25</v>
      </c>
      <c r="E63" s="632">
        <v>179.16666666666666</v>
      </c>
      <c r="F63" s="660"/>
      <c r="G63" s="657">
        <v>1.25</v>
      </c>
      <c r="H63" s="647">
        <v>179.16666666666669</v>
      </c>
      <c r="I63" s="648"/>
      <c r="J63" s="649">
        <v>3775</v>
      </c>
      <c r="K63" s="633">
        <v>4718.75</v>
      </c>
    </row>
    <row r="64" spans="2:13" x14ac:dyDescent="0.25">
      <c r="B64" s="630" t="s">
        <v>19</v>
      </c>
      <c r="C64" s="631" t="s">
        <v>20</v>
      </c>
      <c r="D64" s="614">
        <v>0</v>
      </c>
      <c r="E64" s="632">
        <v>0</v>
      </c>
      <c r="F64" s="660"/>
      <c r="G64" s="657">
        <v>0</v>
      </c>
      <c r="H64" s="647">
        <v>0</v>
      </c>
      <c r="I64" s="648"/>
      <c r="J64" s="649">
        <v>0</v>
      </c>
      <c r="K64" s="633">
        <v>0</v>
      </c>
    </row>
    <row r="65" spans="2:11" x14ac:dyDescent="0.25">
      <c r="B65" s="630" t="s">
        <v>21</v>
      </c>
      <c r="C65" s="631" t="s">
        <v>22</v>
      </c>
      <c r="D65" s="614">
        <v>1</v>
      </c>
      <c r="E65" s="632">
        <v>143.33333333333334</v>
      </c>
      <c r="F65" s="660">
        <v>4.19E-2</v>
      </c>
      <c r="G65" s="657">
        <v>4.19E-2</v>
      </c>
      <c r="H65" s="647">
        <v>6.0056666666666674</v>
      </c>
      <c r="I65" s="648"/>
      <c r="J65" s="649">
        <v>126.538</v>
      </c>
      <c r="K65" s="633">
        <v>158.17249999999999</v>
      </c>
    </row>
    <row r="66" spans="2:11" x14ac:dyDescent="0.25">
      <c r="B66" s="630" t="s">
        <v>23</v>
      </c>
      <c r="C66" s="631" t="s">
        <v>24</v>
      </c>
      <c r="D66" s="614">
        <v>0.25</v>
      </c>
      <c r="E66" s="632">
        <v>35.833333333333336</v>
      </c>
      <c r="F66" s="660"/>
      <c r="G66" s="657">
        <v>0.25</v>
      </c>
      <c r="H66" s="647">
        <v>35.833333333333336</v>
      </c>
      <c r="I66" s="648"/>
      <c r="J66" s="649">
        <v>755</v>
      </c>
      <c r="K66" s="633">
        <v>943.75</v>
      </c>
    </row>
    <row r="67" spans="2:11" x14ac:dyDescent="0.25">
      <c r="B67" s="624" t="s">
        <v>25</v>
      </c>
      <c r="C67" s="625" t="s">
        <v>26</v>
      </c>
      <c r="D67" s="655">
        <v>2.5</v>
      </c>
      <c r="E67" s="634">
        <v>358.33333333333337</v>
      </c>
      <c r="F67" s="662">
        <v>0.5302</v>
      </c>
      <c r="G67" s="664">
        <v>2.6301999999999999</v>
      </c>
      <c r="H67" s="627">
        <v>376.99533333333335</v>
      </c>
      <c r="I67" s="628"/>
      <c r="J67" s="629">
        <v>7943.2039999999997</v>
      </c>
      <c r="K67" s="629">
        <v>9929.0049999999992</v>
      </c>
    </row>
    <row r="68" spans="2:11" x14ac:dyDescent="0.25">
      <c r="B68" s="630" t="s">
        <v>27</v>
      </c>
      <c r="C68" s="631" t="s">
        <v>28</v>
      </c>
      <c r="D68" s="614">
        <v>0.5</v>
      </c>
      <c r="E68" s="632">
        <v>71.666666666666671</v>
      </c>
      <c r="F68" s="660">
        <v>0.5302</v>
      </c>
      <c r="G68" s="657">
        <v>0.5302</v>
      </c>
      <c r="H68" s="647">
        <v>75.995333333333335</v>
      </c>
      <c r="I68" s="648"/>
      <c r="J68" s="649">
        <v>1601.204</v>
      </c>
      <c r="K68" s="633">
        <v>2001.5049999999999</v>
      </c>
    </row>
    <row r="69" spans="2:11" x14ac:dyDescent="0.25">
      <c r="B69" s="630" t="s">
        <v>29</v>
      </c>
      <c r="C69" s="631" t="s">
        <v>30</v>
      </c>
      <c r="D69" s="614">
        <v>0</v>
      </c>
      <c r="E69" s="632">
        <v>0</v>
      </c>
      <c r="F69" s="660"/>
      <c r="G69" s="657">
        <v>0</v>
      </c>
      <c r="H69" s="647">
        <v>0</v>
      </c>
      <c r="I69" s="648"/>
      <c r="J69" s="649">
        <v>0</v>
      </c>
      <c r="K69" s="633">
        <v>0</v>
      </c>
    </row>
    <row r="70" spans="2:11" x14ac:dyDescent="0.25">
      <c r="B70" s="630" t="s">
        <v>31</v>
      </c>
      <c r="C70" s="631" t="s">
        <v>32</v>
      </c>
      <c r="D70" s="614">
        <v>1</v>
      </c>
      <c r="E70" s="632">
        <v>143.33333333333334</v>
      </c>
      <c r="F70" s="660"/>
      <c r="G70" s="657">
        <v>2</v>
      </c>
      <c r="H70" s="647">
        <v>286.66666666666669</v>
      </c>
      <c r="I70" s="648"/>
      <c r="J70" s="649">
        <v>6040</v>
      </c>
      <c r="K70" s="633">
        <v>7550</v>
      </c>
    </row>
    <row r="71" spans="2:11" x14ac:dyDescent="0.25">
      <c r="B71" s="630" t="s">
        <v>33</v>
      </c>
      <c r="C71" s="631" t="s">
        <v>34</v>
      </c>
      <c r="D71" s="614">
        <v>0</v>
      </c>
      <c r="E71" s="632">
        <v>0</v>
      </c>
      <c r="F71" s="660"/>
      <c r="G71" s="657">
        <v>0</v>
      </c>
      <c r="H71" s="647">
        <v>0</v>
      </c>
      <c r="I71" s="648"/>
      <c r="J71" s="649">
        <v>0</v>
      </c>
      <c r="K71" s="633">
        <v>0</v>
      </c>
    </row>
    <row r="72" spans="2:11" x14ac:dyDescent="0.25">
      <c r="B72" s="630" t="s">
        <v>35</v>
      </c>
      <c r="C72" s="631" t="s">
        <v>36</v>
      </c>
      <c r="D72" s="614">
        <v>0</v>
      </c>
      <c r="E72" s="632">
        <v>0</v>
      </c>
      <c r="F72" s="660"/>
      <c r="G72" s="657">
        <v>0</v>
      </c>
      <c r="H72" s="647">
        <v>0</v>
      </c>
      <c r="I72" s="648"/>
      <c r="J72" s="649">
        <v>0</v>
      </c>
      <c r="K72" s="633">
        <v>0</v>
      </c>
    </row>
    <row r="73" spans="2:11" x14ac:dyDescent="0.25">
      <c r="B73" s="630" t="s">
        <v>37</v>
      </c>
      <c r="C73" s="631" t="s">
        <v>38</v>
      </c>
      <c r="D73" s="614">
        <v>1</v>
      </c>
      <c r="E73" s="632">
        <v>143.33333333333334</v>
      </c>
      <c r="F73" s="660"/>
      <c r="G73" s="657">
        <v>0.1</v>
      </c>
      <c r="H73" s="647">
        <v>14.333333333333336</v>
      </c>
      <c r="I73" s="648"/>
      <c r="J73" s="649">
        <v>302</v>
      </c>
      <c r="K73" s="633">
        <v>377.5</v>
      </c>
    </row>
    <row r="74" spans="2:11" x14ac:dyDescent="0.25">
      <c r="B74" s="624" t="s">
        <v>212</v>
      </c>
      <c r="C74" s="625" t="s">
        <v>40</v>
      </c>
      <c r="D74" s="655">
        <v>8.5</v>
      </c>
      <c r="E74" s="634">
        <v>1218.3333333333335</v>
      </c>
      <c r="F74" s="662">
        <v>1.4E-2</v>
      </c>
      <c r="G74" s="664">
        <v>6.25</v>
      </c>
      <c r="H74" s="627">
        <v>895.83333333333337</v>
      </c>
      <c r="I74" s="628"/>
      <c r="J74" s="629">
        <v>18875</v>
      </c>
      <c r="K74" s="629">
        <v>23593.75</v>
      </c>
    </row>
    <row r="75" spans="2:11" x14ac:dyDescent="0.25">
      <c r="B75" s="635" t="s">
        <v>213</v>
      </c>
      <c r="C75" s="631" t="s">
        <v>42</v>
      </c>
      <c r="D75" s="614">
        <v>0</v>
      </c>
      <c r="E75" s="632">
        <v>0</v>
      </c>
      <c r="F75" s="660">
        <v>1.4E-2</v>
      </c>
      <c r="G75" s="657">
        <v>1.4E-2</v>
      </c>
      <c r="H75" s="647">
        <v>2.0066666666666668</v>
      </c>
      <c r="I75" s="648"/>
      <c r="J75" s="649">
        <v>42.28</v>
      </c>
      <c r="K75" s="633">
        <v>52.85</v>
      </c>
    </row>
    <row r="76" spans="2:11" x14ac:dyDescent="0.25">
      <c r="B76" s="635" t="s">
        <v>43</v>
      </c>
      <c r="C76" s="631" t="s">
        <v>44</v>
      </c>
      <c r="D76" s="614">
        <v>1</v>
      </c>
      <c r="E76" s="632">
        <v>143.33333333333334</v>
      </c>
      <c r="F76" s="660"/>
      <c r="G76" s="657">
        <v>0.3</v>
      </c>
      <c r="H76" s="647">
        <v>43</v>
      </c>
      <c r="I76" s="648"/>
      <c r="J76" s="649">
        <v>906</v>
      </c>
      <c r="K76" s="633">
        <v>1132.5</v>
      </c>
    </row>
    <row r="77" spans="2:11" x14ac:dyDescent="0.25">
      <c r="B77" s="635" t="s">
        <v>45</v>
      </c>
      <c r="C77" s="631" t="s">
        <v>46</v>
      </c>
      <c r="D77" s="614">
        <v>4</v>
      </c>
      <c r="E77" s="632">
        <v>573.33333333333337</v>
      </c>
      <c r="F77" s="660"/>
      <c r="G77" s="657">
        <v>2.2360000000000002</v>
      </c>
      <c r="H77" s="647">
        <v>320.4933333333334</v>
      </c>
      <c r="I77" s="648"/>
      <c r="J77" s="649">
        <v>6752.72</v>
      </c>
      <c r="K77" s="633">
        <v>8440.9</v>
      </c>
    </row>
    <row r="78" spans="2:11" x14ac:dyDescent="0.25">
      <c r="B78" s="635" t="s">
        <v>47</v>
      </c>
      <c r="C78" s="631" t="s">
        <v>48</v>
      </c>
      <c r="D78" s="614">
        <v>0.5</v>
      </c>
      <c r="E78" s="632">
        <v>71.666666666666671</v>
      </c>
      <c r="F78" s="660"/>
      <c r="G78" s="657">
        <v>0.5</v>
      </c>
      <c r="H78" s="647">
        <v>71.666666666666671</v>
      </c>
      <c r="I78" s="648"/>
      <c r="J78" s="649">
        <v>1510</v>
      </c>
      <c r="K78" s="633">
        <v>1887.5</v>
      </c>
    </row>
    <row r="79" spans="2:11" x14ac:dyDescent="0.25">
      <c r="B79" s="635" t="s">
        <v>214</v>
      </c>
      <c r="C79" s="631" t="s">
        <v>50</v>
      </c>
      <c r="D79" s="614">
        <v>0</v>
      </c>
      <c r="E79" s="632">
        <v>0</v>
      </c>
      <c r="F79" s="660"/>
      <c r="G79" s="657">
        <v>0.2</v>
      </c>
      <c r="H79" s="647">
        <v>28.666666666666671</v>
      </c>
      <c r="I79" s="648"/>
      <c r="J79" s="649">
        <v>604</v>
      </c>
      <c r="K79" s="633">
        <v>755</v>
      </c>
    </row>
    <row r="80" spans="2:11" x14ac:dyDescent="0.25">
      <c r="B80" s="635" t="s">
        <v>51</v>
      </c>
      <c r="C80" s="631" t="s">
        <v>52</v>
      </c>
      <c r="D80" s="614">
        <v>2</v>
      </c>
      <c r="E80" s="632">
        <v>286.66666666666669</v>
      </c>
      <c r="F80" s="660"/>
      <c r="G80" s="657">
        <v>2</v>
      </c>
      <c r="H80" s="647">
        <v>286.66666666666669</v>
      </c>
      <c r="I80" s="648"/>
      <c r="J80" s="649">
        <v>6040</v>
      </c>
      <c r="K80" s="633">
        <v>7550</v>
      </c>
    </row>
    <row r="81" spans="2:11" x14ac:dyDescent="0.25">
      <c r="B81" s="635" t="s">
        <v>53</v>
      </c>
      <c r="C81" s="631" t="s">
        <v>54</v>
      </c>
      <c r="D81" s="614">
        <v>0.5</v>
      </c>
      <c r="E81" s="632">
        <v>71.666666666666671</v>
      </c>
      <c r="F81" s="660"/>
      <c r="G81" s="657">
        <v>0.5</v>
      </c>
      <c r="H81" s="647">
        <v>71.666666666666671</v>
      </c>
      <c r="I81" s="648"/>
      <c r="J81" s="649">
        <v>1510</v>
      </c>
      <c r="K81" s="633">
        <v>1887.5</v>
      </c>
    </row>
    <row r="82" spans="2:11" x14ac:dyDescent="0.25">
      <c r="B82" s="630" t="s">
        <v>55</v>
      </c>
      <c r="C82" s="631" t="s">
        <v>56</v>
      </c>
      <c r="D82" s="614">
        <v>0</v>
      </c>
      <c r="E82" s="632">
        <v>0</v>
      </c>
      <c r="F82" s="660"/>
      <c r="G82" s="657">
        <v>0</v>
      </c>
      <c r="H82" s="647">
        <v>0</v>
      </c>
      <c r="I82" s="648"/>
      <c r="J82" s="649">
        <v>0</v>
      </c>
      <c r="K82" s="633">
        <v>0</v>
      </c>
    </row>
    <row r="83" spans="2:11" x14ac:dyDescent="0.25">
      <c r="B83" s="630" t="s">
        <v>57</v>
      </c>
      <c r="C83" s="631" t="s">
        <v>58</v>
      </c>
      <c r="D83" s="614">
        <v>0.5</v>
      </c>
      <c r="E83" s="632">
        <v>71.666666666666671</v>
      </c>
      <c r="F83" s="660"/>
      <c r="G83" s="657">
        <v>0.5</v>
      </c>
      <c r="H83" s="647">
        <v>71.666666666666671</v>
      </c>
      <c r="I83" s="648"/>
      <c r="J83" s="649">
        <v>1510</v>
      </c>
      <c r="K83" s="633">
        <v>1887.5</v>
      </c>
    </row>
    <row r="84" spans="2:11" x14ac:dyDescent="0.25">
      <c r="B84" s="624" t="s">
        <v>59</v>
      </c>
      <c r="C84" s="625" t="s">
        <v>60</v>
      </c>
      <c r="D84" s="655">
        <v>0.75</v>
      </c>
      <c r="E84" s="634">
        <v>107.5</v>
      </c>
      <c r="F84" s="662">
        <v>2.0899999999999998E-2</v>
      </c>
      <c r="G84" s="664">
        <v>0.75</v>
      </c>
      <c r="H84" s="627">
        <v>107.5</v>
      </c>
      <c r="I84" s="628"/>
      <c r="J84" s="629">
        <v>2265</v>
      </c>
      <c r="K84" s="629">
        <v>2831.25</v>
      </c>
    </row>
    <row r="85" spans="2:11" x14ac:dyDescent="0.25">
      <c r="B85" s="630" t="s">
        <v>61</v>
      </c>
      <c r="C85" s="631" t="s">
        <v>62</v>
      </c>
      <c r="D85" s="614">
        <v>0.25</v>
      </c>
      <c r="E85" s="632">
        <v>35.833333333333336</v>
      </c>
      <c r="F85" s="660">
        <v>2.0899999999999998E-2</v>
      </c>
      <c r="G85" s="657">
        <v>0.25</v>
      </c>
      <c r="H85" s="647">
        <v>35.833333333333336</v>
      </c>
      <c r="I85" s="648"/>
      <c r="J85" s="649">
        <v>755</v>
      </c>
      <c r="K85" s="633">
        <v>943.75</v>
      </c>
    </row>
    <row r="86" spans="2:11" ht="22.5" x14ac:dyDescent="0.25">
      <c r="B86" s="630" t="s">
        <v>215</v>
      </c>
      <c r="C86" s="631" t="s">
        <v>64</v>
      </c>
      <c r="D86" s="614">
        <v>0.25</v>
      </c>
      <c r="E86" s="632">
        <v>35.833333333333336</v>
      </c>
      <c r="F86" s="660"/>
      <c r="G86" s="657">
        <v>0.25</v>
      </c>
      <c r="H86" s="647">
        <v>35.833333333333336</v>
      </c>
      <c r="I86" s="650"/>
      <c r="J86" s="649">
        <v>755</v>
      </c>
      <c r="K86" s="633">
        <v>943.75</v>
      </c>
    </row>
    <row r="87" spans="2:11" ht="22.5" x14ac:dyDescent="0.25">
      <c r="B87" s="630" t="s">
        <v>65</v>
      </c>
      <c r="C87" s="631" t="s">
        <v>66</v>
      </c>
      <c r="D87" s="614">
        <v>0.25</v>
      </c>
      <c r="E87" s="632">
        <v>35.833333333333336</v>
      </c>
      <c r="F87" s="660"/>
      <c r="G87" s="657">
        <v>0.25</v>
      </c>
      <c r="H87" s="647">
        <v>35.833333333333336</v>
      </c>
      <c r="I87" s="648"/>
      <c r="J87" s="649">
        <v>755</v>
      </c>
      <c r="K87" s="633">
        <v>943.75</v>
      </c>
    </row>
    <row r="88" spans="2:11" x14ac:dyDescent="0.25">
      <c r="B88" s="624" t="s">
        <v>67</v>
      </c>
      <c r="C88" s="625" t="s">
        <v>68</v>
      </c>
      <c r="D88" s="655">
        <v>7.5</v>
      </c>
      <c r="E88" s="634">
        <v>1075</v>
      </c>
      <c r="F88" s="662">
        <v>3.5023</v>
      </c>
      <c r="G88" s="664">
        <v>10.5</v>
      </c>
      <c r="H88" s="627">
        <v>1505</v>
      </c>
      <c r="I88" s="628"/>
      <c r="J88" s="629">
        <v>31710</v>
      </c>
      <c r="K88" s="629">
        <v>39637.5</v>
      </c>
    </row>
    <row r="89" spans="2:11" x14ac:dyDescent="0.25">
      <c r="B89" s="630" t="s">
        <v>69</v>
      </c>
      <c r="C89" s="631" t="s">
        <v>70</v>
      </c>
      <c r="D89" s="614">
        <v>4</v>
      </c>
      <c r="E89" s="632">
        <v>573.33333333333337</v>
      </c>
      <c r="F89" s="660">
        <v>2.4836999999999998</v>
      </c>
      <c r="G89" s="657">
        <v>4</v>
      </c>
      <c r="H89" s="647">
        <v>573.33333333333337</v>
      </c>
      <c r="I89" s="648"/>
      <c r="J89" s="649">
        <v>12080</v>
      </c>
      <c r="K89" s="633">
        <v>15100</v>
      </c>
    </row>
    <row r="90" spans="2:11" x14ac:dyDescent="0.25">
      <c r="B90" s="630" t="s">
        <v>71</v>
      </c>
      <c r="C90" s="631" t="s">
        <v>72</v>
      </c>
      <c r="D90" s="614">
        <v>3</v>
      </c>
      <c r="E90" s="632">
        <v>430</v>
      </c>
      <c r="F90" s="660">
        <v>1.0185999999999999</v>
      </c>
      <c r="G90" s="657">
        <v>6</v>
      </c>
      <c r="H90" s="647">
        <v>860</v>
      </c>
      <c r="I90" s="648"/>
      <c r="J90" s="649">
        <v>18120</v>
      </c>
      <c r="K90" s="633">
        <v>22650</v>
      </c>
    </row>
    <row r="91" spans="2:11" x14ac:dyDescent="0.25">
      <c r="B91" s="630" t="s">
        <v>73</v>
      </c>
      <c r="C91" s="631" t="s">
        <v>74</v>
      </c>
      <c r="D91" s="614">
        <v>0.5</v>
      </c>
      <c r="E91" s="632">
        <v>71.666666666666671</v>
      </c>
      <c r="F91" s="660"/>
      <c r="G91" s="657">
        <v>0.5</v>
      </c>
      <c r="H91" s="647">
        <v>71.666666666666671</v>
      </c>
      <c r="I91" s="648"/>
      <c r="J91" s="649">
        <v>1510</v>
      </c>
      <c r="K91" s="633">
        <v>1887.5</v>
      </c>
    </row>
    <row r="92" spans="2:11" x14ac:dyDescent="0.25">
      <c r="B92" s="624" t="s">
        <v>75</v>
      </c>
      <c r="C92" s="625" t="s">
        <v>76</v>
      </c>
      <c r="D92" s="655">
        <v>0</v>
      </c>
      <c r="E92" s="634">
        <v>0</v>
      </c>
      <c r="F92" s="662">
        <v>0</v>
      </c>
      <c r="G92" s="664">
        <v>2</v>
      </c>
      <c r="H92" s="627">
        <v>286.66666666666669</v>
      </c>
      <c r="I92" s="628"/>
      <c r="J92" s="629">
        <v>6040</v>
      </c>
      <c r="K92" s="629">
        <v>7550</v>
      </c>
    </row>
    <row r="93" spans="2:11" x14ac:dyDescent="0.25">
      <c r="B93" s="630" t="s">
        <v>77</v>
      </c>
      <c r="C93" s="631" t="s">
        <v>78</v>
      </c>
      <c r="D93" s="614">
        <v>0</v>
      </c>
      <c r="E93" s="632">
        <v>0</v>
      </c>
      <c r="F93" s="660"/>
      <c r="G93" s="666">
        <v>0.5</v>
      </c>
      <c r="H93" s="647">
        <v>71.666666666666671</v>
      </c>
      <c r="I93" s="648"/>
      <c r="J93" s="649">
        <v>1510</v>
      </c>
      <c r="K93" s="633">
        <v>1887.5</v>
      </c>
    </row>
    <row r="94" spans="2:11" x14ac:dyDescent="0.25">
      <c r="B94" s="630" t="s">
        <v>79</v>
      </c>
      <c r="C94" s="631" t="s">
        <v>80</v>
      </c>
      <c r="D94" s="614">
        <v>0</v>
      </c>
      <c r="E94" s="632">
        <v>0</v>
      </c>
      <c r="F94" s="660"/>
      <c r="G94" s="666">
        <v>1.4</v>
      </c>
      <c r="H94" s="647">
        <v>200.66666666666666</v>
      </c>
      <c r="I94" s="648"/>
      <c r="J94" s="649">
        <v>4228</v>
      </c>
      <c r="K94" s="633">
        <v>5285</v>
      </c>
    </row>
    <row r="95" spans="2:11" ht="15.75" thickBot="1" x14ac:dyDescent="0.3">
      <c r="B95" s="635" t="s">
        <v>81</v>
      </c>
      <c r="C95" s="631" t="s">
        <v>82</v>
      </c>
      <c r="D95" s="614">
        <v>0</v>
      </c>
      <c r="E95" s="632">
        <v>0</v>
      </c>
      <c r="F95" s="660"/>
      <c r="G95" s="666">
        <v>0.1</v>
      </c>
      <c r="H95" s="647">
        <v>14.333333333333336</v>
      </c>
      <c r="I95" s="648"/>
      <c r="J95" s="649">
        <v>302</v>
      </c>
      <c r="K95" s="633">
        <v>377.5</v>
      </c>
    </row>
    <row r="96" spans="2:11" ht="15.75" thickBot="1" x14ac:dyDescent="0.3">
      <c r="B96" s="654" t="s">
        <v>249</v>
      </c>
      <c r="C96" s="636" t="s">
        <v>84</v>
      </c>
      <c r="D96" s="656">
        <v>24</v>
      </c>
      <c r="E96" s="652">
        <v>3440</v>
      </c>
      <c r="F96" s="663">
        <v>4.4371999999999998</v>
      </c>
      <c r="G96" s="665">
        <v>24</v>
      </c>
      <c r="H96" s="637">
        <v>3440</v>
      </c>
      <c r="I96" s="653"/>
      <c r="J96" s="638">
        <v>72480</v>
      </c>
      <c r="K96" s="638">
        <v>90600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76C03-E127-4DEB-8139-F0D0EB0ADD21}">
  <dimension ref="A1:AQ50"/>
  <sheetViews>
    <sheetView workbookViewId="0">
      <selection activeCell="H7" sqref="H7"/>
    </sheetView>
  </sheetViews>
  <sheetFormatPr baseColWidth="10" defaultColWidth="9.140625" defaultRowHeight="15" x14ac:dyDescent="0.25"/>
  <cols>
    <col min="1" max="1" width="64" customWidth="1"/>
    <col min="3" max="3" width="5.140625" customWidth="1"/>
    <col min="4" max="4" width="9.140625" hidden="1" customWidth="1"/>
    <col min="5" max="5" width="13.28515625" customWidth="1"/>
    <col min="6" max="6" width="6" style="6" customWidth="1"/>
    <col min="7" max="7" width="21.7109375" style="74" customWidth="1"/>
    <col min="8" max="8" width="13.42578125" style="74" customWidth="1"/>
    <col min="9" max="9" width="14.28515625" style="4" customWidth="1"/>
    <col min="36" max="36" width="4.5703125" customWidth="1"/>
    <col min="37" max="38" width="9.140625" hidden="1" customWidth="1"/>
    <col min="39" max="39" width="76.7109375" customWidth="1"/>
    <col min="40" max="40" width="17.42578125" customWidth="1"/>
    <col min="41" max="41" width="25.140625" customWidth="1"/>
    <col min="42" max="42" width="15.140625" customWidth="1"/>
    <col min="43" max="43" width="24.28515625" customWidth="1"/>
  </cols>
  <sheetData>
    <row r="1" spans="1:43" x14ac:dyDescent="0.25">
      <c r="A1" s="2"/>
      <c r="B1" s="3"/>
      <c r="C1" s="236" t="s">
        <v>197</v>
      </c>
      <c r="D1" s="237" t="s">
        <v>197</v>
      </c>
      <c r="E1" s="215"/>
      <c r="F1" s="215"/>
      <c r="G1" s="215"/>
      <c r="H1" s="233" t="s">
        <v>198</v>
      </c>
      <c r="I1" s="216" t="s">
        <v>198</v>
      </c>
      <c r="AM1" t="s">
        <v>84</v>
      </c>
      <c r="AN1" s="6"/>
      <c r="AO1" s="6"/>
      <c r="AP1" s="6"/>
      <c r="AQ1" s="4"/>
    </row>
    <row r="2" spans="1:43" x14ac:dyDescent="0.25">
      <c r="A2" s="2"/>
      <c r="B2" s="3"/>
      <c r="C2" s="236" t="s">
        <v>199</v>
      </c>
      <c r="D2" s="237" t="s">
        <v>199</v>
      </c>
      <c r="E2" s="229" t="s">
        <v>194</v>
      </c>
      <c r="F2" s="229" t="s">
        <v>194</v>
      </c>
      <c r="G2" s="229" t="s">
        <v>194</v>
      </c>
      <c r="H2" s="234">
        <v>3750</v>
      </c>
      <c r="I2" s="217">
        <v>3750</v>
      </c>
      <c r="K2" t="s">
        <v>432</v>
      </c>
      <c r="AM2" s="2"/>
      <c r="AN2" s="3"/>
      <c r="AO2" s="95" t="s">
        <v>0</v>
      </c>
      <c r="AP2" s="47"/>
      <c r="AQ2" s="95" t="s">
        <v>0</v>
      </c>
    </row>
    <row r="3" spans="1:43" x14ac:dyDescent="0.25">
      <c r="A3" s="2"/>
      <c r="B3" s="3"/>
      <c r="C3" s="236" t="s">
        <v>200</v>
      </c>
      <c r="D3" s="237" t="s">
        <v>200</v>
      </c>
      <c r="E3" s="230" t="s">
        <v>201</v>
      </c>
      <c r="F3" s="230" t="s">
        <v>201</v>
      </c>
      <c r="G3" s="230"/>
      <c r="H3" s="235" t="s">
        <v>201</v>
      </c>
      <c r="I3" s="218" t="s">
        <v>201</v>
      </c>
      <c r="AM3" s="2"/>
      <c r="AN3" s="3"/>
      <c r="AO3" s="95" t="s">
        <v>130</v>
      </c>
      <c r="AP3" s="48"/>
      <c r="AQ3" s="95" t="s">
        <v>147</v>
      </c>
    </row>
    <row r="4" spans="1:43" x14ac:dyDescent="0.25">
      <c r="A4" s="2"/>
      <c r="B4" s="50" t="s">
        <v>3</v>
      </c>
      <c r="C4" s="236" t="s">
        <v>84</v>
      </c>
      <c r="D4" s="237" t="s">
        <v>84</v>
      </c>
      <c r="E4" s="230" t="s">
        <v>83</v>
      </c>
      <c r="F4" s="230" t="s">
        <v>83</v>
      </c>
      <c r="G4" s="231" t="s">
        <v>202</v>
      </c>
      <c r="H4" s="235" t="s">
        <v>203</v>
      </c>
      <c r="I4" s="218" t="s">
        <v>204</v>
      </c>
      <c r="AM4" s="2"/>
      <c r="AN4" s="3"/>
      <c r="AO4" s="95" t="s">
        <v>88</v>
      </c>
      <c r="AP4" s="49"/>
      <c r="AQ4" s="95" t="s">
        <v>88</v>
      </c>
    </row>
    <row r="5" spans="1:43" x14ac:dyDescent="0.25">
      <c r="A5" s="2"/>
      <c r="B5" s="50" t="s">
        <v>4</v>
      </c>
      <c r="C5" s="236" t="s">
        <v>95</v>
      </c>
      <c r="D5" s="237" t="s">
        <v>205</v>
      </c>
      <c r="E5" s="230" t="s">
        <v>206</v>
      </c>
      <c r="F5" s="230" t="s">
        <v>207</v>
      </c>
      <c r="G5" s="230"/>
      <c r="H5" s="235" t="s">
        <v>208</v>
      </c>
      <c r="I5" s="218" t="s">
        <v>208</v>
      </c>
      <c r="AM5" s="2" t="s">
        <v>103</v>
      </c>
      <c r="AN5" s="50" t="s">
        <v>3</v>
      </c>
      <c r="AO5" s="95" t="s">
        <v>97</v>
      </c>
      <c r="AP5" s="49"/>
      <c r="AQ5" s="95" t="s">
        <v>97</v>
      </c>
    </row>
    <row r="6" spans="1:43" ht="90" x14ac:dyDescent="0.25">
      <c r="A6" s="51" t="s">
        <v>7</v>
      </c>
      <c r="B6" s="52" t="s">
        <v>8</v>
      </c>
      <c r="C6" s="247">
        <f t="shared" ref="C6:D6" si="0">SUM(C7:C9)</f>
        <v>2.25</v>
      </c>
      <c r="D6" s="67">
        <f t="shared" si="0"/>
        <v>322.5</v>
      </c>
      <c r="E6" s="220">
        <f>SUM(E7:E9)</f>
        <v>1.7163189841624222</v>
      </c>
      <c r="F6" s="225">
        <f>E6*(1720/12)</f>
        <v>246.00572106328053</v>
      </c>
      <c r="G6" s="221" t="s">
        <v>217</v>
      </c>
      <c r="H6" s="222">
        <f>SUM(H7:H9)</f>
        <v>16081.874555222214</v>
      </c>
      <c r="I6" s="222">
        <f>SUM(I7:I9)</f>
        <v>20102.343194027766</v>
      </c>
      <c r="AM6" s="2"/>
      <c r="AN6" s="50" t="s">
        <v>4</v>
      </c>
      <c r="AO6" s="95"/>
      <c r="AP6" s="49"/>
      <c r="AQ6" s="95"/>
    </row>
    <row r="7" spans="1:43" ht="90" x14ac:dyDescent="0.25">
      <c r="A7" s="55" t="s">
        <v>9</v>
      </c>
      <c r="B7" s="56" t="s">
        <v>10</v>
      </c>
      <c r="C7" s="213">
        <v>0.25</v>
      </c>
      <c r="D7" s="223">
        <f>C7*1720/12</f>
        <v>35.833333333333336</v>
      </c>
      <c r="E7" s="238">
        <f>F7/143.33</f>
        <v>0.13953812879369287</v>
      </c>
      <c r="F7" s="239">
        <v>20</v>
      </c>
      <c r="G7" s="240" t="s">
        <v>218</v>
      </c>
      <c r="H7" s="241">
        <f>E7*9369.98</f>
        <v>1307.4694760343264</v>
      </c>
      <c r="I7" s="224">
        <f>H7*1.25</f>
        <v>1634.336845042908</v>
      </c>
      <c r="AM7" s="191" t="s">
        <v>141</v>
      </c>
      <c r="AN7" s="50" t="s">
        <v>148</v>
      </c>
      <c r="AO7" s="46">
        <v>0</v>
      </c>
      <c r="AP7" s="49"/>
      <c r="AQ7" s="46">
        <v>0</v>
      </c>
    </row>
    <row r="8" spans="1:43" ht="15" customHeight="1" x14ac:dyDescent="0.25">
      <c r="A8" s="55" t="s">
        <v>11</v>
      </c>
      <c r="B8" s="56" t="s">
        <v>12</v>
      </c>
      <c r="C8" s="213">
        <v>1</v>
      </c>
      <c r="D8" s="223">
        <f t="shared" ref="D8:D9" si="1">C8*1720/12</f>
        <v>143.33333333333334</v>
      </c>
      <c r="E8" s="238">
        <f t="shared" ref="E8:E9" si="2">F8/143.33</f>
        <v>0.57908323449382537</v>
      </c>
      <c r="F8" s="239">
        <v>83</v>
      </c>
      <c r="G8" s="240" t="s">
        <v>219</v>
      </c>
      <c r="H8" s="241">
        <f t="shared" ref="H8:H9" si="3">E8*9369.98</f>
        <v>5425.998325542454</v>
      </c>
      <c r="I8" s="224">
        <f t="shared" ref="I8:I9" si="4">H8*1.25</f>
        <v>6782.4979069280671</v>
      </c>
      <c r="AM8" s="51" t="s">
        <v>7</v>
      </c>
      <c r="AN8" s="52" t="s">
        <v>8</v>
      </c>
      <c r="AO8" s="53">
        <f>SUM(AO9:AO11)</f>
        <v>5458.7341963636372</v>
      </c>
      <c r="AP8" s="54"/>
      <c r="AQ8" s="53">
        <f>SUM(AQ9:AQ11)</f>
        <v>6823.4177454545461</v>
      </c>
    </row>
    <row r="9" spans="1:43" ht="15" customHeight="1" x14ac:dyDescent="0.25">
      <c r="A9" s="55" t="s">
        <v>13</v>
      </c>
      <c r="B9" s="56" t="s">
        <v>14</v>
      </c>
      <c r="C9" s="213">
        <v>1</v>
      </c>
      <c r="D9" s="223">
        <f t="shared" si="1"/>
        <v>143.33333333333334</v>
      </c>
      <c r="E9" s="238">
        <f t="shared" si="2"/>
        <v>0.99769762087490399</v>
      </c>
      <c r="F9" s="239">
        <v>143</v>
      </c>
      <c r="G9" s="240" t="s">
        <v>220</v>
      </c>
      <c r="H9" s="241">
        <f t="shared" si="3"/>
        <v>9348.4067536454331</v>
      </c>
      <c r="I9" s="224">
        <f t="shared" si="4"/>
        <v>11685.508442056791</v>
      </c>
      <c r="AM9" s="55" t="s">
        <v>9</v>
      </c>
      <c r="AN9" s="56" t="s">
        <v>10</v>
      </c>
      <c r="AO9" s="57">
        <v>406.9445454545455</v>
      </c>
      <c r="AP9" s="58"/>
      <c r="AQ9" s="57">
        <f>SUM(AO9:AP9)*1.25</f>
        <v>508.68068181818188</v>
      </c>
    </row>
    <row r="10" spans="1:43" ht="15" customHeight="1" x14ac:dyDescent="0.25">
      <c r="A10" s="51" t="s">
        <v>15</v>
      </c>
      <c r="B10" s="52" t="s">
        <v>16</v>
      </c>
      <c r="C10" s="247">
        <f t="shared" ref="C10" si="5">SUM(C11:C14)</f>
        <v>2.5</v>
      </c>
      <c r="D10" s="225">
        <f t="shared" ref="D10" si="6">SUM(D11:D14)</f>
        <v>358.33333333333331</v>
      </c>
      <c r="E10" s="220">
        <f>SUM( E11:E14)</f>
        <v>2.5</v>
      </c>
      <c r="F10" s="225">
        <f>E10*(1720/12)</f>
        <v>358.33333333333337</v>
      </c>
      <c r="G10" s="221" t="s">
        <v>220</v>
      </c>
      <c r="H10" s="222">
        <f>SUM(H11:H14)</f>
        <v>23424.949999999997</v>
      </c>
      <c r="I10" s="222">
        <f>SUM(I11:I14)</f>
        <v>29281.1875</v>
      </c>
      <c r="AM10" s="55" t="s">
        <v>11</v>
      </c>
      <c r="AN10" s="56" t="s">
        <v>12</v>
      </c>
      <c r="AO10" s="57">
        <v>2033.1410454545455</v>
      </c>
      <c r="AP10" s="58"/>
      <c r="AQ10" s="57">
        <f>SUM(AO10:AP10)*1.25</f>
        <v>2541.4263068181817</v>
      </c>
    </row>
    <row r="11" spans="1:43" ht="15" customHeight="1" x14ac:dyDescent="0.25">
      <c r="A11" s="55" t="s">
        <v>17</v>
      </c>
      <c r="B11" s="56" t="s">
        <v>18</v>
      </c>
      <c r="C11" s="213">
        <v>1.25</v>
      </c>
      <c r="D11" s="223">
        <f t="shared" ref="D11:D14" si="7">C11*1720/12</f>
        <v>179.16666666666666</v>
      </c>
      <c r="E11" s="238">
        <f>C11</f>
        <v>1.25</v>
      </c>
      <c r="F11" s="239">
        <f t="shared" ref="F11:F14" si="8">E11*(1720/12)</f>
        <v>179.16666666666669</v>
      </c>
      <c r="G11" s="240"/>
      <c r="H11" s="241">
        <f t="shared" ref="H11:H14" si="9">E11*9369.98</f>
        <v>11712.474999999999</v>
      </c>
      <c r="I11" s="224">
        <f t="shared" ref="I11:I14" si="10">H11*1.25</f>
        <v>14640.593749999998</v>
      </c>
      <c r="AM11" s="55" t="s">
        <v>13</v>
      </c>
      <c r="AN11" s="56" t="s">
        <v>14</v>
      </c>
      <c r="AO11" s="57">
        <v>3018.6486054545458</v>
      </c>
      <c r="AP11" s="58"/>
      <c r="AQ11" s="57">
        <f>SUM(AO11:AP11)*1.25</f>
        <v>3773.3107568181822</v>
      </c>
    </row>
    <row r="12" spans="1:43" ht="15" customHeight="1" x14ac:dyDescent="0.25">
      <c r="A12" s="55" t="s">
        <v>19</v>
      </c>
      <c r="B12" s="56" t="s">
        <v>20</v>
      </c>
      <c r="C12" s="213">
        <v>0</v>
      </c>
      <c r="D12" s="223">
        <f t="shared" si="7"/>
        <v>0</v>
      </c>
      <c r="E12" s="238">
        <f t="shared" ref="E12:E14" si="11">C12</f>
        <v>0</v>
      </c>
      <c r="F12" s="239">
        <f t="shared" si="8"/>
        <v>0</v>
      </c>
      <c r="G12" s="240"/>
      <c r="H12" s="241">
        <f t="shared" si="9"/>
        <v>0</v>
      </c>
      <c r="I12" s="224">
        <f t="shared" si="10"/>
        <v>0</v>
      </c>
      <c r="AM12" s="51" t="s">
        <v>15</v>
      </c>
      <c r="AN12" s="52" t="s">
        <v>16</v>
      </c>
      <c r="AO12" s="53">
        <f>SUM(AO13:AO15)</f>
        <v>2969.5443909090909</v>
      </c>
      <c r="AP12" s="60"/>
      <c r="AQ12" s="53">
        <f>SUM(AQ13:AQ15)</f>
        <v>3711.9304886363634</v>
      </c>
    </row>
    <row r="13" spans="1:43" ht="15" customHeight="1" x14ac:dyDescent="0.25">
      <c r="A13" s="55" t="s">
        <v>21</v>
      </c>
      <c r="B13" s="56" t="s">
        <v>22</v>
      </c>
      <c r="C13" s="213">
        <v>1</v>
      </c>
      <c r="D13" s="223">
        <f t="shared" si="7"/>
        <v>143.33333333333334</v>
      </c>
      <c r="E13" s="238">
        <f t="shared" si="11"/>
        <v>1</v>
      </c>
      <c r="F13" s="239">
        <f t="shared" si="8"/>
        <v>143.33333333333334</v>
      </c>
      <c r="G13" s="240"/>
      <c r="H13" s="241">
        <f t="shared" si="9"/>
        <v>9369.98</v>
      </c>
      <c r="I13" s="224">
        <f t="shared" si="10"/>
        <v>11712.474999999999</v>
      </c>
      <c r="AM13" s="55" t="s">
        <v>17</v>
      </c>
      <c r="AN13" s="56" t="s">
        <v>18</v>
      </c>
      <c r="AO13" s="57">
        <v>1453.0095454545456</v>
      </c>
      <c r="AP13" s="58"/>
      <c r="AQ13" s="57">
        <f>SUM(AO13)*1.25</f>
        <v>1816.2619318181819</v>
      </c>
    </row>
    <row r="14" spans="1:43" ht="15" customHeight="1" x14ac:dyDescent="0.25">
      <c r="A14" s="55" t="s">
        <v>23</v>
      </c>
      <c r="B14" s="56" t="s">
        <v>24</v>
      </c>
      <c r="C14" s="213">
        <v>0.25</v>
      </c>
      <c r="D14" s="223">
        <f t="shared" si="7"/>
        <v>35.833333333333336</v>
      </c>
      <c r="E14" s="238">
        <f t="shared" si="11"/>
        <v>0.25</v>
      </c>
      <c r="F14" s="239">
        <f t="shared" si="8"/>
        <v>35.833333333333336</v>
      </c>
      <c r="G14" s="240"/>
      <c r="H14" s="241">
        <f t="shared" si="9"/>
        <v>2342.4949999999999</v>
      </c>
      <c r="I14" s="224">
        <f t="shared" si="10"/>
        <v>2928.1187499999996</v>
      </c>
      <c r="AM14" s="55" t="s">
        <v>19</v>
      </c>
      <c r="AN14" s="56" t="s">
        <v>20</v>
      </c>
      <c r="AO14" s="57">
        <v>0</v>
      </c>
      <c r="AP14" s="58"/>
      <c r="AQ14" s="57">
        <f>SUM(AO14)*1.25</f>
        <v>0</v>
      </c>
    </row>
    <row r="15" spans="1:43" ht="15" customHeight="1" x14ac:dyDescent="0.25">
      <c r="A15" s="51" t="s">
        <v>25</v>
      </c>
      <c r="B15" s="52" t="s">
        <v>26</v>
      </c>
      <c r="C15" s="247">
        <f t="shared" ref="C15" si="12">SUM(C16:C21)</f>
        <v>3.5</v>
      </c>
      <c r="D15" s="225">
        <f t="shared" ref="D15" si="13">SUM(D16:D21)</f>
        <v>501.66666666666669</v>
      </c>
      <c r="E15" s="220">
        <f>SUM(E16:E21)</f>
        <v>3.5</v>
      </c>
      <c r="F15" s="225">
        <f>E15*(1720/12)</f>
        <v>501.66666666666669</v>
      </c>
      <c r="G15" s="221" t="s">
        <v>220</v>
      </c>
      <c r="H15" s="222">
        <f>SUM(H16:H21)</f>
        <v>32794.93</v>
      </c>
      <c r="I15" s="222">
        <f>SUM(I16:I21)</f>
        <v>40993.662499999991</v>
      </c>
      <c r="AM15" s="55" t="s">
        <v>21</v>
      </c>
      <c r="AN15" s="56" t="s">
        <v>22</v>
      </c>
      <c r="AO15" s="57">
        <v>1516.5348454545453</v>
      </c>
      <c r="AP15" s="58"/>
      <c r="AQ15" s="57">
        <f>SUM(AO15)*1.25</f>
        <v>1895.6685568181817</v>
      </c>
    </row>
    <row r="16" spans="1:43" ht="15" customHeight="1" x14ac:dyDescent="0.25">
      <c r="A16" s="55" t="s">
        <v>27</v>
      </c>
      <c r="B16" s="56" t="s">
        <v>28</v>
      </c>
      <c r="C16" s="213">
        <v>0.5</v>
      </c>
      <c r="D16" s="223">
        <f t="shared" ref="D16:D21" si="14">C16*1720/12</f>
        <v>71.666666666666671</v>
      </c>
      <c r="E16" s="238">
        <f>C16</f>
        <v>0.5</v>
      </c>
      <c r="F16" s="239">
        <f t="shared" ref="F16:F21" si="15">E16*(1720/12)</f>
        <v>71.666666666666671</v>
      </c>
      <c r="G16" s="240"/>
      <c r="H16" s="241">
        <f t="shared" ref="H16:H21" si="16">E16*9369.98</f>
        <v>4684.99</v>
      </c>
      <c r="I16" s="224">
        <f t="shared" ref="I16:I21" si="17">H16*1.25</f>
        <v>5856.2374999999993</v>
      </c>
      <c r="AM16" s="55" t="s">
        <v>23</v>
      </c>
      <c r="AN16" s="56" t="s">
        <v>24</v>
      </c>
      <c r="AO16" s="57">
        <v>199.31414545454547</v>
      </c>
      <c r="AP16" s="58"/>
      <c r="AQ16" s="57">
        <f>SUM(AO16)*1.25</f>
        <v>249.14268181818184</v>
      </c>
    </row>
    <row r="17" spans="1:43" ht="15" customHeight="1" x14ac:dyDescent="0.25">
      <c r="A17" s="55" t="s">
        <v>29</v>
      </c>
      <c r="B17" s="56" t="s">
        <v>30</v>
      </c>
      <c r="C17" s="213">
        <v>0</v>
      </c>
      <c r="D17" s="223">
        <f t="shared" si="14"/>
        <v>0</v>
      </c>
      <c r="E17" s="238">
        <f t="shared" ref="E17:E21" si="18">C17</f>
        <v>0</v>
      </c>
      <c r="F17" s="239">
        <f t="shared" si="15"/>
        <v>0</v>
      </c>
      <c r="G17" s="240"/>
      <c r="H17" s="241">
        <f t="shared" si="16"/>
        <v>0</v>
      </c>
      <c r="I17" s="224">
        <f t="shared" si="17"/>
        <v>0</v>
      </c>
      <c r="AM17" s="51" t="s">
        <v>25</v>
      </c>
      <c r="AN17" s="52" t="s">
        <v>26</v>
      </c>
      <c r="AO17" s="53">
        <f>SUM(AO18:AO20)</f>
        <v>769.92836545454543</v>
      </c>
      <c r="AP17" s="60"/>
      <c r="AQ17" s="53">
        <f>SUM(AQ18:AQ20)</f>
        <v>962.41045681818173</v>
      </c>
    </row>
    <row r="18" spans="1:43" ht="15" customHeight="1" x14ac:dyDescent="0.25">
      <c r="A18" s="55" t="s">
        <v>31</v>
      </c>
      <c r="B18" s="56" t="s">
        <v>32</v>
      </c>
      <c r="C18" s="213">
        <v>1</v>
      </c>
      <c r="D18" s="223">
        <f t="shared" si="14"/>
        <v>143.33333333333334</v>
      </c>
      <c r="E18" s="238">
        <f t="shared" si="18"/>
        <v>1</v>
      </c>
      <c r="F18" s="239">
        <f t="shared" si="15"/>
        <v>143.33333333333334</v>
      </c>
      <c r="G18" s="257"/>
      <c r="H18" s="241">
        <f t="shared" si="16"/>
        <v>9369.98</v>
      </c>
      <c r="I18" s="224">
        <f t="shared" si="17"/>
        <v>11712.474999999999</v>
      </c>
      <c r="AM18" s="55" t="s">
        <v>27</v>
      </c>
      <c r="AN18" s="56" t="s">
        <v>28</v>
      </c>
      <c r="AO18" s="57">
        <v>769.92836545454543</v>
      </c>
      <c r="AP18" s="58"/>
      <c r="AQ18" s="57">
        <f t="shared" ref="AQ18:AQ23" si="19">SUM(AO18)*1.25</f>
        <v>962.41045681818173</v>
      </c>
    </row>
    <row r="19" spans="1:43" ht="15" customHeight="1" x14ac:dyDescent="0.25">
      <c r="A19" s="55" t="s">
        <v>33</v>
      </c>
      <c r="B19" s="56" t="s">
        <v>34</v>
      </c>
      <c r="C19" s="213">
        <v>0</v>
      </c>
      <c r="D19" s="223">
        <f t="shared" si="14"/>
        <v>0</v>
      </c>
      <c r="E19" s="238">
        <f t="shared" si="18"/>
        <v>0</v>
      </c>
      <c r="F19" s="239">
        <f t="shared" si="15"/>
        <v>0</v>
      </c>
      <c r="G19" s="240"/>
      <c r="H19" s="241">
        <f t="shared" si="16"/>
        <v>0</v>
      </c>
      <c r="I19" s="224">
        <f t="shared" si="17"/>
        <v>0</v>
      </c>
      <c r="AM19" s="55" t="s">
        <v>29</v>
      </c>
      <c r="AN19" s="56" t="s">
        <v>30</v>
      </c>
      <c r="AO19" s="57">
        <v>0</v>
      </c>
      <c r="AP19" s="58"/>
      <c r="AQ19" s="57">
        <f t="shared" si="19"/>
        <v>0</v>
      </c>
    </row>
    <row r="20" spans="1:43" ht="15" customHeight="1" x14ac:dyDescent="0.25">
      <c r="A20" s="55" t="s">
        <v>35</v>
      </c>
      <c r="B20" s="56" t="s">
        <v>36</v>
      </c>
      <c r="C20" s="213">
        <v>0</v>
      </c>
      <c r="D20" s="223">
        <f t="shared" si="14"/>
        <v>0</v>
      </c>
      <c r="E20" s="238">
        <f t="shared" si="18"/>
        <v>0</v>
      </c>
      <c r="F20" s="239">
        <f t="shared" si="15"/>
        <v>0</v>
      </c>
      <c r="G20" s="240"/>
      <c r="H20" s="241">
        <f t="shared" si="16"/>
        <v>0</v>
      </c>
      <c r="I20" s="224">
        <f t="shared" si="17"/>
        <v>0</v>
      </c>
      <c r="AM20" s="55" t="s">
        <v>31</v>
      </c>
      <c r="AN20" s="56" t="s">
        <v>32</v>
      </c>
      <c r="AO20" s="57">
        <v>0</v>
      </c>
      <c r="AP20" s="58"/>
      <c r="AQ20" s="57">
        <f t="shared" si="19"/>
        <v>0</v>
      </c>
    </row>
    <row r="21" spans="1:43" ht="15" customHeight="1" x14ac:dyDescent="0.25">
      <c r="A21" s="249" t="s">
        <v>37</v>
      </c>
      <c r="B21" s="250" t="s">
        <v>38</v>
      </c>
      <c r="C21" s="213">
        <v>2</v>
      </c>
      <c r="D21" s="223">
        <f t="shared" si="14"/>
        <v>286.66666666666669</v>
      </c>
      <c r="E21" s="238">
        <f t="shared" si="18"/>
        <v>2</v>
      </c>
      <c r="F21" s="239">
        <f t="shared" si="15"/>
        <v>286.66666666666669</v>
      </c>
      <c r="G21" s="240"/>
      <c r="H21" s="241">
        <f t="shared" si="16"/>
        <v>18739.96</v>
      </c>
      <c r="I21" s="224">
        <f t="shared" si="17"/>
        <v>23424.949999999997</v>
      </c>
      <c r="AM21" s="55" t="s">
        <v>33</v>
      </c>
      <c r="AN21" s="56" t="s">
        <v>34</v>
      </c>
      <c r="AO21" s="57">
        <v>0</v>
      </c>
      <c r="AP21" s="58"/>
      <c r="AQ21" s="57">
        <f t="shared" si="19"/>
        <v>0</v>
      </c>
    </row>
    <row r="22" spans="1:43" ht="15" customHeight="1" x14ac:dyDescent="0.25">
      <c r="A22" s="51" t="s">
        <v>212</v>
      </c>
      <c r="B22" s="52" t="s">
        <v>40</v>
      </c>
      <c r="C22" s="247">
        <f t="shared" ref="C22" si="20">SUM(C23:C31)</f>
        <v>7</v>
      </c>
      <c r="D22" s="225">
        <f t="shared" ref="D22" si="21">SUM(D23:D31)</f>
        <v>1003.3333333333334</v>
      </c>
      <c r="E22" s="220">
        <f>SUM(E23:E31)</f>
        <v>7</v>
      </c>
      <c r="F22" s="225">
        <f>E22*(1720/12)</f>
        <v>1003.3333333333334</v>
      </c>
      <c r="G22" s="221" t="s">
        <v>220</v>
      </c>
      <c r="H22" s="222">
        <f>SUM(H23:H31)</f>
        <v>65589.86</v>
      </c>
      <c r="I22" s="222">
        <f>SUM(I23:I31)</f>
        <v>81987.324999999997</v>
      </c>
      <c r="AM22" s="55" t="s">
        <v>35</v>
      </c>
      <c r="AN22" s="56" t="s">
        <v>36</v>
      </c>
      <c r="AO22" s="57">
        <v>0</v>
      </c>
      <c r="AP22" s="58"/>
      <c r="AQ22" s="57">
        <f t="shared" si="19"/>
        <v>0</v>
      </c>
    </row>
    <row r="23" spans="1:43" ht="15" customHeight="1" x14ac:dyDescent="0.25">
      <c r="A23" s="69" t="s">
        <v>213</v>
      </c>
      <c r="B23" s="56" t="s">
        <v>42</v>
      </c>
      <c r="C23" s="213">
        <v>0</v>
      </c>
      <c r="D23" s="223">
        <f t="shared" ref="D23:D31" si="22">C23*1720/12</f>
        <v>0</v>
      </c>
      <c r="E23" s="238">
        <f>C23</f>
        <v>0</v>
      </c>
      <c r="F23" s="239">
        <f t="shared" ref="F23:F31" si="23">E23*(1720/12)</f>
        <v>0</v>
      </c>
      <c r="G23" s="240"/>
      <c r="H23" s="241">
        <f t="shared" ref="H23:H31" si="24">E23*9369.98</f>
        <v>0</v>
      </c>
      <c r="I23" s="224">
        <f t="shared" ref="I23:I31" si="25">H23*1.25</f>
        <v>0</v>
      </c>
      <c r="AM23" s="65" t="s">
        <v>37</v>
      </c>
      <c r="AN23" s="66" t="s">
        <v>38</v>
      </c>
      <c r="AO23" s="57">
        <v>0</v>
      </c>
      <c r="AP23" s="58"/>
      <c r="AQ23" s="57">
        <f t="shared" si="19"/>
        <v>0</v>
      </c>
    </row>
    <row r="24" spans="1:43" ht="15" customHeight="1" x14ac:dyDescent="0.25">
      <c r="A24" s="251" t="s">
        <v>43</v>
      </c>
      <c r="B24" s="250" t="s">
        <v>44</v>
      </c>
      <c r="C24" s="213">
        <v>1</v>
      </c>
      <c r="D24" s="223">
        <f t="shared" si="22"/>
        <v>143.33333333333334</v>
      </c>
      <c r="E24" s="238">
        <f t="shared" ref="E24:E31" si="26">C24</f>
        <v>1</v>
      </c>
      <c r="F24" s="239">
        <f t="shared" si="23"/>
        <v>143.33333333333334</v>
      </c>
      <c r="G24" s="240"/>
      <c r="H24" s="241">
        <f t="shared" si="24"/>
        <v>9369.98</v>
      </c>
      <c r="I24" s="224">
        <f t="shared" si="25"/>
        <v>11712.474999999999</v>
      </c>
      <c r="AM24" s="51" t="s">
        <v>39</v>
      </c>
      <c r="AN24" s="52" t="s">
        <v>40</v>
      </c>
      <c r="AO24" s="53">
        <f>SUM(AO25:AO33)</f>
        <v>476.15574545454547</v>
      </c>
      <c r="AP24" s="67"/>
      <c r="AQ24" s="53">
        <f>SUM(AQ25:AQ33)</f>
        <v>595.19468181818183</v>
      </c>
    </row>
    <row r="25" spans="1:43" ht="15" customHeight="1" x14ac:dyDescent="0.25">
      <c r="A25" s="69" t="s">
        <v>45</v>
      </c>
      <c r="B25" s="56" t="s">
        <v>46</v>
      </c>
      <c r="C25" s="213">
        <v>0.5</v>
      </c>
      <c r="D25" s="223">
        <f t="shared" si="22"/>
        <v>71.666666666666671</v>
      </c>
      <c r="E25" s="238">
        <f t="shared" si="26"/>
        <v>0.5</v>
      </c>
      <c r="F25" s="239">
        <f t="shared" si="23"/>
        <v>71.666666666666671</v>
      </c>
      <c r="G25" s="240"/>
      <c r="H25" s="241">
        <f t="shared" si="24"/>
        <v>4684.99</v>
      </c>
      <c r="I25" s="224">
        <f t="shared" si="25"/>
        <v>5856.2374999999993</v>
      </c>
      <c r="AM25" s="69" t="s">
        <v>102</v>
      </c>
      <c r="AN25" s="56" t="s">
        <v>42</v>
      </c>
      <c r="AO25" s="57">
        <v>0</v>
      </c>
      <c r="AP25" s="58"/>
      <c r="AQ25" s="57">
        <f t="shared" ref="AQ25:AQ33" si="27">SUM(AO25)*1.25</f>
        <v>0</v>
      </c>
    </row>
    <row r="26" spans="1:43" ht="15" customHeight="1" x14ac:dyDescent="0.25">
      <c r="A26" s="69" t="s">
        <v>47</v>
      </c>
      <c r="B26" s="56" t="s">
        <v>48</v>
      </c>
      <c r="C26" s="213">
        <v>0.5</v>
      </c>
      <c r="D26" s="223">
        <f t="shared" si="22"/>
        <v>71.666666666666671</v>
      </c>
      <c r="E26" s="238">
        <f t="shared" si="26"/>
        <v>0.5</v>
      </c>
      <c r="F26" s="239">
        <f t="shared" si="23"/>
        <v>71.666666666666671</v>
      </c>
      <c r="G26" s="240"/>
      <c r="H26" s="241">
        <f t="shared" si="24"/>
        <v>4684.99</v>
      </c>
      <c r="I26" s="224">
        <f t="shared" si="25"/>
        <v>5856.2374999999993</v>
      </c>
      <c r="AM26" s="69" t="s">
        <v>43</v>
      </c>
      <c r="AN26" s="56" t="s">
        <v>44</v>
      </c>
      <c r="AO26" s="57">
        <v>0</v>
      </c>
      <c r="AP26" s="58"/>
      <c r="AQ26" s="57">
        <f t="shared" si="27"/>
        <v>0</v>
      </c>
    </row>
    <row r="27" spans="1:43" ht="15" customHeight="1" x14ac:dyDescent="0.25">
      <c r="A27" s="251" t="s">
        <v>214</v>
      </c>
      <c r="B27" s="250" t="s">
        <v>50</v>
      </c>
      <c r="C27" s="213">
        <v>0</v>
      </c>
      <c r="D27" s="223">
        <f t="shared" si="22"/>
        <v>0</v>
      </c>
      <c r="E27" s="238">
        <f t="shared" si="26"/>
        <v>0</v>
      </c>
      <c r="F27" s="239">
        <f t="shared" si="23"/>
        <v>0</v>
      </c>
      <c r="G27" s="240"/>
      <c r="H27" s="241">
        <f t="shared" si="24"/>
        <v>0</v>
      </c>
      <c r="I27" s="224">
        <f t="shared" si="25"/>
        <v>0</v>
      </c>
      <c r="AM27" s="69" t="s">
        <v>45</v>
      </c>
      <c r="AN27" s="56" t="s">
        <v>46</v>
      </c>
      <c r="AO27" s="57">
        <v>0</v>
      </c>
      <c r="AP27" s="58"/>
      <c r="AQ27" s="57">
        <f t="shared" si="27"/>
        <v>0</v>
      </c>
    </row>
    <row r="28" spans="1:43" ht="15" customHeight="1" x14ac:dyDescent="0.25">
      <c r="A28" s="69" t="s">
        <v>51</v>
      </c>
      <c r="B28" s="56" t="s">
        <v>52</v>
      </c>
      <c r="C28" s="213">
        <v>0</v>
      </c>
      <c r="D28" s="223">
        <f t="shared" si="22"/>
        <v>0</v>
      </c>
      <c r="E28" s="238">
        <f t="shared" si="26"/>
        <v>0</v>
      </c>
      <c r="F28" s="239">
        <f t="shared" si="23"/>
        <v>0</v>
      </c>
      <c r="G28" s="240"/>
      <c r="H28" s="241">
        <f t="shared" si="24"/>
        <v>0</v>
      </c>
      <c r="I28" s="224">
        <f t="shared" si="25"/>
        <v>0</v>
      </c>
      <c r="AM28" s="69" t="s">
        <v>47</v>
      </c>
      <c r="AN28" s="56" t="s">
        <v>48</v>
      </c>
      <c r="AO28" s="57">
        <v>0</v>
      </c>
      <c r="AP28" s="58"/>
      <c r="AQ28" s="57">
        <f t="shared" si="27"/>
        <v>0</v>
      </c>
    </row>
    <row r="29" spans="1:43" ht="15" customHeight="1" x14ac:dyDescent="0.25">
      <c r="A29" s="69" t="s">
        <v>53</v>
      </c>
      <c r="B29" s="56" t="s">
        <v>54</v>
      </c>
      <c r="C29" s="213">
        <v>0.5</v>
      </c>
      <c r="D29" s="223">
        <f t="shared" si="22"/>
        <v>71.666666666666671</v>
      </c>
      <c r="E29" s="238">
        <f t="shared" si="26"/>
        <v>0.5</v>
      </c>
      <c r="F29" s="239">
        <f t="shared" si="23"/>
        <v>71.666666666666671</v>
      </c>
      <c r="G29" s="240"/>
      <c r="H29" s="241">
        <f t="shared" si="24"/>
        <v>4684.99</v>
      </c>
      <c r="I29" s="224">
        <f t="shared" si="25"/>
        <v>5856.2374999999993</v>
      </c>
      <c r="AM29" s="70" t="s">
        <v>99</v>
      </c>
      <c r="AN29" s="66" t="s">
        <v>50</v>
      </c>
      <c r="AO29" s="57">
        <v>0</v>
      </c>
      <c r="AP29" s="58"/>
      <c r="AQ29" s="57">
        <f t="shared" si="27"/>
        <v>0</v>
      </c>
    </row>
    <row r="30" spans="1:43" ht="15" customHeight="1" x14ac:dyDescent="0.25">
      <c r="A30" s="55" t="s">
        <v>55</v>
      </c>
      <c r="B30" s="56" t="s">
        <v>56</v>
      </c>
      <c r="C30" s="213">
        <v>4</v>
      </c>
      <c r="D30" s="223">
        <f t="shared" si="22"/>
        <v>573.33333333333337</v>
      </c>
      <c r="E30" s="238">
        <f t="shared" si="26"/>
        <v>4</v>
      </c>
      <c r="F30" s="239">
        <f t="shared" si="23"/>
        <v>573.33333333333337</v>
      </c>
      <c r="G30" s="258" t="s">
        <v>221</v>
      </c>
      <c r="H30" s="241">
        <f>E30*9369.98</f>
        <v>37479.919999999998</v>
      </c>
      <c r="I30" s="224">
        <f t="shared" si="25"/>
        <v>46849.899999999994</v>
      </c>
      <c r="AM30" s="69" t="s">
        <v>51</v>
      </c>
      <c r="AN30" s="56" t="s">
        <v>52</v>
      </c>
      <c r="AO30" s="57">
        <v>0</v>
      </c>
      <c r="AP30" s="58"/>
      <c r="AQ30" s="57">
        <f t="shared" si="27"/>
        <v>0</v>
      </c>
    </row>
    <row r="31" spans="1:43" ht="15" customHeight="1" x14ac:dyDescent="0.25">
      <c r="A31" s="55" t="s">
        <v>57</v>
      </c>
      <c r="B31" s="56" t="s">
        <v>58</v>
      </c>
      <c r="C31" s="213">
        <v>0.5</v>
      </c>
      <c r="D31" s="223">
        <f t="shared" si="22"/>
        <v>71.666666666666671</v>
      </c>
      <c r="E31" s="238">
        <f t="shared" si="26"/>
        <v>0.5</v>
      </c>
      <c r="F31" s="239">
        <f t="shared" si="23"/>
        <v>71.666666666666671</v>
      </c>
      <c r="G31" s="240"/>
      <c r="H31" s="241">
        <f t="shared" si="24"/>
        <v>4684.99</v>
      </c>
      <c r="I31" s="224">
        <f t="shared" si="25"/>
        <v>5856.2374999999993</v>
      </c>
      <c r="AM31" s="69" t="s">
        <v>53</v>
      </c>
      <c r="AN31" s="56" t="s">
        <v>54</v>
      </c>
      <c r="AO31" s="57">
        <v>0</v>
      </c>
      <c r="AP31" s="58"/>
      <c r="AQ31" s="57">
        <f t="shared" si="27"/>
        <v>0</v>
      </c>
    </row>
    <row r="32" spans="1:43" ht="15" customHeight="1" x14ac:dyDescent="0.25">
      <c r="A32" s="51" t="s">
        <v>59</v>
      </c>
      <c r="B32" s="52" t="s">
        <v>60</v>
      </c>
      <c r="C32" s="247">
        <f t="shared" ref="C32" si="28">SUM(C33:C35)</f>
        <v>0.75</v>
      </c>
      <c r="D32" s="225">
        <f t="shared" ref="D32" si="29">SUM(D33:D35)</f>
        <v>107.5</v>
      </c>
      <c r="E32" s="220">
        <f>SUM(E33:E35)</f>
        <v>0.75</v>
      </c>
      <c r="F32" s="225">
        <f>E32*(1720/12)</f>
        <v>107.5</v>
      </c>
      <c r="G32" s="221" t="s">
        <v>220</v>
      </c>
      <c r="H32" s="222">
        <f>SUM(H33:H35)</f>
        <v>7027.4849999999997</v>
      </c>
      <c r="I32" s="222">
        <f>SUM(I33:I35)</f>
        <v>8784.3562499999989</v>
      </c>
      <c r="AM32" s="55" t="s">
        <v>55</v>
      </c>
      <c r="AN32" s="56" t="s">
        <v>56</v>
      </c>
      <c r="AO32" s="57">
        <v>476.15574545454547</v>
      </c>
      <c r="AP32" s="58"/>
      <c r="AQ32" s="57">
        <f t="shared" si="27"/>
        <v>595.19468181818183</v>
      </c>
    </row>
    <row r="33" spans="1:43" ht="15" customHeight="1" x14ac:dyDescent="0.25">
      <c r="A33" s="249" t="s">
        <v>61</v>
      </c>
      <c r="B33" s="250" t="s">
        <v>62</v>
      </c>
      <c r="C33" s="213">
        <v>0.25</v>
      </c>
      <c r="D33" s="223">
        <f t="shared" ref="D33:D35" si="30">C33*1720/12</f>
        <v>35.833333333333336</v>
      </c>
      <c r="E33" s="238">
        <f>C33</f>
        <v>0.25</v>
      </c>
      <c r="F33" s="239">
        <f t="shared" ref="F33:F35" si="31">E33*(1720/12)</f>
        <v>35.833333333333336</v>
      </c>
      <c r="G33" s="240"/>
      <c r="H33" s="241">
        <f t="shared" ref="H33:H35" si="32">E33*9369.98</f>
        <v>2342.4949999999999</v>
      </c>
      <c r="I33" s="224">
        <f t="shared" ref="I33:I35" si="33">H33*1.25</f>
        <v>2928.1187499999996</v>
      </c>
      <c r="AM33" s="55" t="s">
        <v>57</v>
      </c>
      <c r="AN33" s="56" t="s">
        <v>58</v>
      </c>
      <c r="AO33" s="57">
        <v>0</v>
      </c>
      <c r="AP33" s="58"/>
      <c r="AQ33" s="57">
        <f t="shared" si="27"/>
        <v>0</v>
      </c>
    </row>
    <row r="34" spans="1:43" ht="15" customHeight="1" x14ac:dyDescent="0.25">
      <c r="A34" s="249" t="s">
        <v>215</v>
      </c>
      <c r="B34" s="250" t="s">
        <v>64</v>
      </c>
      <c r="C34" s="213">
        <v>0.25</v>
      </c>
      <c r="D34" s="223">
        <f t="shared" si="30"/>
        <v>35.833333333333336</v>
      </c>
      <c r="E34" s="238">
        <f t="shared" ref="E34:E35" si="34">C34</f>
        <v>0.25</v>
      </c>
      <c r="F34" s="239">
        <f t="shared" si="31"/>
        <v>35.833333333333336</v>
      </c>
      <c r="G34" s="242"/>
      <c r="H34" s="241">
        <f t="shared" si="32"/>
        <v>2342.4949999999999</v>
      </c>
      <c r="I34" s="224">
        <f t="shared" si="33"/>
        <v>2928.1187499999996</v>
      </c>
      <c r="AM34" s="51" t="s">
        <v>59</v>
      </c>
      <c r="AN34" s="52" t="s">
        <v>60</v>
      </c>
      <c r="AO34" s="53">
        <f>SUM(AO35:AO37)</f>
        <v>560.07208545454557</v>
      </c>
      <c r="AP34" s="67"/>
      <c r="AQ34" s="53">
        <f>SUM(AQ35:AQ37)</f>
        <v>700.09010681818199</v>
      </c>
    </row>
    <row r="35" spans="1:43" ht="15" customHeight="1" x14ac:dyDescent="0.25">
      <c r="A35" s="249" t="s">
        <v>65</v>
      </c>
      <c r="B35" s="250" t="s">
        <v>66</v>
      </c>
      <c r="C35" s="213">
        <v>0.25</v>
      </c>
      <c r="D35" s="223">
        <f t="shared" si="30"/>
        <v>35.833333333333336</v>
      </c>
      <c r="E35" s="238">
        <f t="shared" si="34"/>
        <v>0.25</v>
      </c>
      <c r="F35" s="239">
        <f t="shared" si="31"/>
        <v>35.833333333333336</v>
      </c>
      <c r="G35" s="240"/>
      <c r="H35" s="241">
        <f t="shared" si="32"/>
        <v>2342.4949999999999</v>
      </c>
      <c r="I35" s="224">
        <f t="shared" si="33"/>
        <v>2928.1187499999996</v>
      </c>
      <c r="AM35" s="65" t="s">
        <v>61</v>
      </c>
      <c r="AN35" s="66" t="s">
        <v>62</v>
      </c>
      <c r="AO35" s="57">
        <v>560.07208545454557</v>
      </c>
      <c r="AP35" s="58"/>
      <c r="AQ35" s="57">
        <f>SUM(AO35)*1.25</f>
        <v>700.09010681818199</v>
      </c>
    </row>
    <row r="36" spans="1:43" ht="15" customHeight="1" x14ac:dyDescent="0.25">
      <c r="A36" s="51" t="s">
        <v>67</v>
      </c>
      <c r="B36" s="52" t="s">
        <v>68</v>
      </c>
      <c r="C36" s="247">
        <f t="shared" ref="C36" si="35">SUM(C37:C39)</f>
        <v>2</v>
      </c>
      <c r="D36" s="225">
        <f t="shared" ref="D36" si="36">SUM(D37:D39)</f>
        <v>286.66666666666669</v>
      </c>
      <c r="E36" s="220">
        <f>SUM(E37:E39)</f>
        <v>2.5299999999999998</v>
      </c>
      <c r="F36" s="225">
        <f>E36*(1720/12)</f>
        <v>362.63333333333333</v>
      </c>
      <c r="G36" s="221" t="s">
        <v>222</v>
      </c>
      <c r="H36" s="222">
        <f>SUM(H37:H39)</f>
        <v>23706.049399999996</v>
      </c>
      <c r="I36" s="222">
        <f>SUM(I37:I39)</f>
        <v>29632.561749999997</v>
      </c>
      <c r="AM36" s="65" t="s">
        <v>100</v>
      </c>
      <c r="AN36" s="66" t="s">
        <v>64</v>
      </c>
      <c r="AO36" s="57">
        <v>0</v>
      </c>
      <c r="AP36" s="58"/>
      <c r="AQ36" s="57">
        <f>SUM(AO36)*1.25</f>
        <v>0</v>
      </c>
    </row>
    <row r="37" spans="1:43" ht="15" customHeight="1" x14ac:dyDescent="0.25">
      <c r="A37" s="55" t="s">
        <v>69</v>
      </c>
      <c r="B37" s="56" t="s">
        <v>70</v>
      </c>
      <c r="C37" s="213">
        <v>0.5</v>
      </c>
      <c r="D37" s="223">
        <f t="shared" ref="D37:D39" si="37">C37*1720/12</f>
        <v>71.666666666666671</v>
      </c>
      <c r="E37" s="238">
        <v>0.85</v>
      </c>
      <c r="F37" s="239">
        <f t="shared" ref="F37:F39" si="38">E37*(1720/12)</f>
        <v>121.83333333333334</v>
      </c>
      <c r="G37" s="240" t="s">
        <v>223</v>
      </c>
      <c r="H37" s="241">
        <f t="shared" ref="H37:H39" si="39">E37*9369.98</f>
        <v>7964.4829999999993</v>
      </c>
      <c r="I37" s="224">
        <f t="shared" ref="I37:I39" si="40">H37*1.25</f>
        <v>9955.6037499999984</v>
      </c>
      <c r="AM37" s="65" t="s">
        <v>65</v>
      </c>
      <c r="AN37" s="66" t="s">
        <v>66</v>
      </c>
      <c r="AO37" s="57">
        <v>0</v>
      </c>
      <c r="AP37" s="58"/>
      <c r="AQ37" s="57">
        <f>SUM(AO37)*1.25</f>
        <v>0</v>
      </c>
    </row>
    <row r="38" spans="1:43" ht="15" customHeight="1" x14ac:dyDescent="0.25">
      <c r="A38" s="55" t="s">
        <v>71</v>
      </c>
      <c r="B38" s="56" t="s">
        <v>72</v>
      </c>
      <c r="C38" s="213">
        <v>1</v>
      </c>
      <c r="D38" s="223">
        <f t="shared" si="37"/>
        <v>143.33333333333334</v>
      </c>
      <c r="E38" s="238">
        <v>1.18</v>
      </c>
      <c r="F38" s="239">
        <f t="shared" si="38"/>
        <v>169.13333333333333</v>
      </c>
      <c r="G38" s="240" t="s">
        <v>224</v>
      </c>
      <c r="H38" s="241">
        <f t="shared" si="39"/>
        <v>11056.576399999998</v>
      </c>
      <c r="I38" s="224">
        <f t="shared" si="40"/>
        <v>13820.720499999998</v>
      </c>
      <c r="AM38" s="51" t="s">
        <v>67</v>
      </c>
      <c r="AN38" s="52" t="s">
        <v>68</v>
      </c>
      <c r="AO38" s="53">
        <f>SUM(AO39:AO41)</f>
        <v>2670.2062909090901</v>
      </c>
      <c r="AP38" s="67"/>
      <c r="AQ38" s="53">
        <f>SUM(AQ39:AQ41)</f>
        <v>3337.7578636363628</v>
      </c>
    </row>
    <row r="39" spans="1:43" ht="15" customHeight="1" x14ac:dyDescent="0.25">
      <c r="A39" s="55" t="s">
        <v>73</v>
      </c>
      <c r="B39" s="56" t="s">
        <v>74</v>
      </c>
      <c r="C39" s="213">
        <v>0.5</v>
      </c>
      <c r="D39" s="223">
        <f t="shared" si="37"/>
        <v>71.666666666666671</v>
      </c>
      <c r="E39" s="238">
        <v>0.5</v>
      </c>
      <c r="F39" s="239">
        <f t="shared" si="38"/>
        <v>71.666666666666671</v>
      </c>
      <c r="G39" s="240" t="s">
        <v>220</v>
      </c>
      <c r="H39" s="241">
        <f t="shared" si="39"/>
        <v>4684.99</v>
      </c>
      <c r="I39" s="224">
        <f t="shared" si="40"/>
        <v>5856.2374999999993</v>
      </c>
      <c r="AM39" s="55" t="s">
        <v>69</v>
      </c>
      <c r="AN39" s="56" t="s">
        <v>70</v>
      </c>
      <c r="AO39" s="57">
        <v>367.39574545454548</v>
      </c>
      <c r="AP39" s="58"/>
      <c r="AQ39" s="57">
        <f>SUM(AO39)*1.25</f>
        <v>459.24468181818185</v>
      </c>
    </row>
    <row r="40" spans="1:43" ht="15" customHeight="1" x14ac:dyDescent="0.25">
      <c r="A40" s="51" t="s">
        <v>75</v>
      </c>
      <c r="B40" s="52" t="s">
        <v>76</v>
      </c>
      <c r="C40" s="247">
        <f t="shared" ref="C40" si="41">SUM(C41:C43)</f>
        <v>0</v>
      </c>
      <c r="D40" s="225">
        <f t="shared" ref="D40" si="42">SUM(D41:D43)</f>
        <v>0</v>
      </c>
      <c r="E40" s="220">
        <f>SUM(E41:E43)</f>
        <v>0</v>
      </c>
      <c r="F40" s="225">
        <f>E40*(1720/12)</f>
        <v>0</v>
      </c>
      <c r="G40" s="221" t="s">
        <v>220</v>
      </c>
      <c r="H40" s="222">
        <f>SUM(H41:H43)</f>
        <v>0</v>
      </c>
      <c r="I40" s="222">
        <f>SUM(I41:I43)</f>
        <v>0</v>
      </c>
      <c r="AM40" s="55" t="s">
        <v>71</v>
      </c>
      <c r="AN40" s="56" t="s">
        <v>72</v>
      </c>
      <c r="AO40" s="57">
        <v>2302.8105454545448</v>
      </c>
      <c r="AP40" s="58"/>
      <c r="AQ40" s="57">
        <f>SUM(AO40)*1.25</f>
        <v>2878.5131818181808</v>
      </c>
    </row>
    <row r="41" spans="1:43" ht="15" customHeight="1" x14ac:dyDescent="0.25">
      <c r="A41" s="55" t="s">
        <v>77</v>
      </c>
      <c r="B41" s="56" t="s">
        <v>78</v>
      </c>
      <c r="C41" s="213">
        <v>0</v>
      </c>
      <c r="D41" s="223">
        <f t="shared" ref="D41:D43" si="43">C41*1720/12</f>
        <v>0</v>
      </c>
      <c r="E41" s="238">
        <f>C41</f>
        <v>0</v>
      </c>
      <c r="F41" s="239">
        <f t="shared" ref="F41:F43" si="44">E41*(1720/12)</f>
        <v>0</v>
      </c>
      <c r="G41" s="240"/>
      <c r="H41" s="241">
        <f t="shared" ref="H41:H43" si="45">E41*9369.98</f>
        <v>0</v>
      </c>
      <c r="I41" s="224">
        <f t="shared" ref="I41:I43" si="46">H41*1.25</f>
        <v>0</v>
      </c>
      <c r="AM41" s="55" t="s">
        <v>73</v>
      </c>
      <c r="AN41" s="56" t="s">
        <v>74</v>
      </c>
      <c r="AO41" s="57">
        <v>0</v>
      </c>
      <c r="AP41" s="58"/>
      <c r="AQ41" s="57">
        <f>SUM(AO41)*1.25</f>
        <v>0</v>
      </c>
    </row>
    <row r="42" spans="1:43" ht="15" customHeight="1" x14ac:dyDescent="0.25">
      <c r="A42" s="55" t="s">
        <v>79</v>
      </c>
      <c r="B42" s="56" t="s">
        <v>80</v>
      </c>
      <c r="C42" s="213">
        <v>0</v>
      </c>
      <c r="D42" s="223">
        <f t="shared" si="43"/>
        <v>0</v>
      </c>
      <c r="E42" s="238">
        <f t="shared" ref="E42:E43" si="47">C42</f>
        <v>0</v>
      </c>
      <c r="F42" s="239">
        <f t="shared" si="44"/>
        <v>0</v>
      </c>
      <c r="G42" s="240"/>
      <c r="H42" s="241">
        <f t="shared" si="45"/>
        <v>0</v>
      </c>
      <c r="I42" s="224">
        <f t="shared" si="46"/>
        <v>0</v>
      </c>
      <c r="AM42" s="51" t="s">
        <v>75</v>
      </c>
      <c r="AN42" s="52" t="s">
        <v>76</v>
      </c>
      <c r="AO42" s="53">
        <f>SUM(AO43:AO45)</f>
        <v>0</v>
      </c>
      <c r="AP42" s="67"/>
      <c r="AQ42" s="53">
        <f>SUM(AQ43:AQ45)</f>
        <v>0</v>
      </c>
    </row>
    <row r="43" spans="1:43" ht="15" customHeight="1" thickBot="1" x14ac:dyDescent="0.3">
      <c r="A43" s="69" t="s">
        <v>81</v>
      </c>
      <c r="B43" s="56" t="s">
        <v>82</v>
      </c>
      <c r="C43" s="213">
        <v>0</v>
      </c>
      <c r="D43" s="223">
        <f t="shared" si="43"/>
        <v>0</v>
      </c>
      <c r="E43" s="238">
        <f t="shared" si="47"/>
        <v>0</v>
      </c>
      <c r="F43" s="239">
        <f t="shared" si="44"/>
        <v>0</v>
      </c>
      <c r="G43" s="240"/>
      <c r="H43" s="241">
        <f t="shared" si="45"/>
        <v>0</v>
      </c>
      <c r="I43" s="224">
        <f t="shared" si="46"/>
        <v>0</v>
      </c>
      <c r="AM43" s="55" t="s">
        <v>77</v>
      </c>
      <c r="AN43" s="56" t="s">
        <v>78</v>
      </c>
      <c r="AO43" s="57">
        <v>0</v>
      </c>
      <c r="AP43" s="58"/>
      <c r="AQ43" s="57">
        <f>SUM(AO43)*1.25</f>
        <v>0</v>
      </c>
    </row>
    <row r="44" spans="1:43" ht="15" customHeight="1" thickBot="1" x14ac:dyDescent="0.3">
      <c r="A44" s="246" t="s">
        <v>216</v>
      </c>
      <c r="B44" s="71" t="s">
        <v>84</v>
      </c>
      <c r="C44" s="248">
        <f t="shared" ref="C44:D44" si="48">C6+C10+C15+C22+C32+C36+C40</f>
        <v>18</v>
      </c>
      <c r="D44" s="244">
        <f t="shared" si="48"/>
        <v>2580</v>
      </c>
      <c r="E44" s="226">
        <f>(E6+E10+E15+E22+E32+E36+E40)</f>
        <v>17.996318984162421</v>
      </c>
      <c r="F44" s="227">
        <f>(F6+F10+F15+F22+F32+F36+F40)</f>
        <v>2579.4723877299471</v>
      </c>
      <c r="G44" s="245"/>
      <c r="H44" s="228">
        <f>(H6+H10+H15+H22+H32+H36+H40)</f>
        <v>168625.14895522219</v>
      </c>
      <c r="I44" s="228">
        <f>(I6+I10+I15+I22+I32+I36+I40)</f>
        <v>210781.43619402777</v>
      </c>
      <c r="AM44" s="55" t="s">
        <v>79</v>
      </c>
      <c r="AN44" s="56" t="s">
        <v>80</v>
      </c>
      <c r="AO44" s="75">
        <v>0</v>
      </c>
      <c r="AP44" s="58"/>
      <c r="AQ44" s="57">
        <f>SUM(AO44)*1.25</f>
        <v>0</v>
      </c>
    </row>
    <row r="45" spans="1:43" ht="15" customHeight="1" thickBot="1" x14ac:dyDescent="0.3">
      <c r="D45" s="2"/>
      <c r="AM45" s="69" t="s">
        <v>81</v>
      </c>
      <c r="AN45" s="56" t="s">
        <v>82</v>
      </c>
      <c r="AO45" s="75">
        <v>0</v>
      </c>
      <c r="AP45" s="58"/>
      <c r="AQ45" s="57">
        <f>SUM(AO45)*1.25</f>
        <v>0</v>
      </c>
    </row>
    <row r="46" spans="1:43" ht="15" customHeight="1" thickBot="1" x14ac:dyDescent="0.3">
      <c r="D46" s="2"/>
      <c r="AM46" s="71" t="s">
        <v>83</v>
      </c>
      <c r="AN46" s="3" t="s">
        <v>84</v>
      </c>
      <c r="AO46" s="72">
        <f>SUM(AO8+AO12+AO17+AO24+AO34+AO38+AO42)</f>
        <v>12904.641074545456</v>
      </c>
      <c r="AP46" s="73"/>
      <c r="AQ46" s="72">
        <f>SUM(AQ8+AQ12+AQ17+AQ24+AQ34+AQ38+AQ42)</f>
        <v>16130.80134318182</v>
      </c>
    </row>
    <row r="47" spans="1:43" ht="15" customHeight="1" thickBot="1" x14ac:dyDescent="0.3">
      <c r="D47" s="2"/>
      <c r="AN47" s="6"/>
      <c r="AO47" s="72"/>
      <c r="AP47" s="74"/>
      <c r="AQ47" s="4"/>
    </row>
    <row r="48" spans="1:43" x14ac:dyDescent="0.25">
      <c r="D48" s="2"/>
    </row>
    <row r="49" spans="4:7" x14ac:dyDescent="0.25">
      <c r="D49" s="2"/>
    </row>
    <row r="50" spans="4:7" x14ac:dyDescent="0.25">
      <c r="G50" s="78"/>
    </row>
  </sheetData>
  <pageMargins left="0.7" right="0.7" top="0.75" bottom="0.75" header="0.3" footer="0.3"/>
  <pageSetup paperSize="9" orientation="portrait" horizontalDpi="4294967293"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77F68-75F7-4351-8530-62F5EC8380D4}">
  <dimension ref="A1:AC48"/>
  <sheetViews>
    <sheetView tabSelected="1" workbookViewId="0">
      <selection activeCell="H10" sqref="H10"/>
    </sheetView>
  </sheetViews>
  <sheetFormatPr baseColWidth="10" defaultColWidth="9.140625" defaultRowHeight="15" x14ac:dyDescent="0.25"/>
  <cols>
    <col min="1" max="1" width="71.7109375" customWidth="1"/>
    <col min="2" max="2" width="8.42578125" customWidth="1"/>
    <col min="4" max="4" width="17.5703125" style="6" customWidth="1"/>
    <col min="5" max="5" width="52.140625" customWidth="1"/>
    <col min="6" max="6" width="9" style="6" customWidth="1"/>
    <col min="7" max="7" width="24.28515625" customWidth="1"/>
    <col min="8" max="8" width="13.5703125" customWidth="1"/>
    <col min="9" max="9" width="12.140625" customWidth="1"/>
    <col min="11" max="11" width="25.85546875" customWidth="1"/>
    <col min="12" max="12" width="13.85546875" customWidth="1"/>
    <col min="13" max="13" width="17.7109375" customWidth="1"/>
    <col min="16" max="16" width="63.140625" customWidth="1"/>
    <col min="20" max="20" width="10.85546875" customWidth="1"/>
    <col min="21" max="21" width="12.85546875" customWidth="1"/>
    <col min="24" max="24" width="12.85546875" customWidth="1"/>
  </cols>
  <sheetData>
    <row r="1" spans="1:29" x14ac:dyDescent="0.25">
      <c r="B1" s="6"/>
      <c r="C1" s="213"/>
      <c r="D1" s="74"/>
      <c r="E1" s="74"/>
      <c r="F1" s="74"/>
      <c r="G1" s="74"/>
      <c r="H1" s="74"/>
      <c r="I1" s="74"/>
      <c r="P1" s="2"/>
      <c r="Q1" s="3"/>
      <c r="R1" s="95" t="s">
        <v>0</v>
      </c>
    </row>
    <row r="2" spans="1:29" x14ac:dyDescent="0.25">
      <c r="A2" t="s">
        <v>84</v>
      </c>
      <c r="B2" s="6"/>
      <c r="C2" s="213"/>
      <c r="D2" s="74"/>
      <c r="E2" s="74"/>
      <c r="F2" s="74"/>
      <c r="G2" s="74"/>
      <c r="H2" s="232" t="s">
        <v>194</v>
      </c>
      <c r="I2" s="243" t="s">
        <v>194</v>
      </c>
      <c r="R2" s="612"/>
      <c r="S2" s="613"/>
      <c r="T2" s="613"/>
      <c r="U2" s="45"/>
      <c r="V2" s="4"/>
      <c r="W2" s="612"/>
      <c r="X2" s="612">
        <v>1.25</v>
      </c>
      <c r="Y2" s="612"/>
      <c r="Z2" s="612"/>
      <c r="AA2" s="612"/>
      <c r="AB2" s="612"/>
      <c r="AC2" s="612"/>
    </row>
    <row r="3" spans="1:29" ht="18.75" x14ac:dyDescent="0.3">
      <c r="B3" s="6"/>
      <c r="C3" s="214"/>
      <c r="D3" s="74"/>
      <c r="E3" s="74"/>
      <c r="F3" s="74"/>
      <c r="G3" s="74"/>
      <c r="H3" s="235" t="s">
        <v>195</v>
      </c>
      <c r="I3" s="218" t="s">
        <v>196</v>
      </c>
      <c r="R3" s="613"/>
      <c r="S3" s="613"/>
      <c r="T3" s="613"/>
      <c r="U3" s="90"/>
      <c r="V3" s="4"/>
      <c r="W3" s="90" t="s">
        <v>90</v>
      </c>
      <c r="X3" s="612"/>
      <c r="Y3" s="612"/>
      <c r="Z3" s="612"/>
      <c r="AA3" s="612"/>
      <c r="AB3" s="612"/>
      <c r="AC3" s="612"/>
    </row>
    <row r="4" spans="1:29" x14ac:dyDescent="0.25">
      <c r="A4" s="2"/>
      <c r="B4" s="3"/>
      <c r="C4" s="236" t="s">
        <v>197</v>
      </c>
      <c r="D4" s="237" t="s">
        <v>197</v>
      </c>
      <c r="E4" s="215"/>
      <c r="F4" s="215"/>
      <c r="G4" s="215"/>
      <c r="H4" s="233" t="s">
        <v>198</v>
      </c>
      <c r="I4" s="216" t="s">
        <v>198</v>
      </c>
      <c r="R4" s="612" t="s">
        <v>84</v>
      </c>
      <c r="S4" s="613"/>
      <c r="T4" s="613"/>
      <c r="U4" s="613"/>
      <c r="V4" s="4"/>
      <c r="W4" s="612" t="s">
        <v>84</v>
      </c>
      <c r="X4" s="612"/>
      <c r="Y4" s="612"/>
      <c r="Z4" s="612"/>
      <c r="AA4" s="612"/>
      <c r="AB4" s="612"/>
      <c r="AC4" s="612"/>
    </row>
    <row r="5" spans="1:29" x14ac:dyDescent="0.25">
      <c r="A5" s="2"/>
      <c r="B5" s="3"/>
      <c r="C5" s="236" t="s">
        <v>199</v>
      </c>
      <c r="D5" s="237" t="s">
        <v>199</v>
      </c>
      <c r="E5" s="229" t="s">
        <v>194</v>
      </c>
      <c r="F5" s="229" t="s">
        <v>194</v>
      </c>
      <c r="G5" s="229" t="s">
        <v>194</v>
      </c>
      <c r="H5" s="234">
        <v>8500</v>
      </c>
      <c r="I5" s="217">
        <v>8500</v>
      </c>
      <c r="K5" t="s">
        <v>431</v>
      </c>
      <c r="R5" s="616"/>
      <c r="S5" s="618"/>
      <c r="T5" s="46" t="s">
        <v>0</v>
      </c>
      <c r="U5" s="47"/>
      <c r="V5" s="4"/>
      <c r="W5" s="612"/>
      <c r="X5" s="612"/>
      <c r="Y5" s="612"/>
      <c r="Z5" s="612"/>
      <c r="AA5" s="612"/>
      <c r="AB5" s="612"/>
      <c r="AC5" s="612"/>
    </row>
    <row r="6" spans="1:29" x14ac:dyDescent="0.25">
      <c r="A6" s="2"/>
      <c r="B6" s="3"/>
      <c r="C6" s="236" t="s">
        <v>200</v>
      </c>
      <c r="D6" s="237" t="s">
        <v>200</v>
      </c>
      <c r="E6" s="230" t="s">
        <v>201</v>
      </c>
      <c r="F6" s="230" t="s">
        <v>201</v>
      </c>
      <c r="G6" s="230"/>
      <c r="H6" s="235" t="s">
        <v>201</v>
      </c>
      <c r="I6" s="218" t="s">
        <v>201</v>
      </c>
      <c r="R6" s="616"/>
      <c r="S6" s="618"/>
      <c r="T6" s="46" t="s">
        <v>1</v>
      </c>
      <c r="U6" s="48"/>
      <c r="V6" s="4"/>
      <c r="W6" s="612"/>
      <c r="X6" s="612"/>
      <c r="Y6" s="612"/>
      <c r="Z6" s="612"/>
      <c r="AA6" s="612"/>
      <c r="AB6" s="612"/>
      <c r="AC6" s="612"/>
    </row>
    <row r="7" spans="1:29" x14ac:dyDescent="0.25">
      <c r="A7" s="2"/>
      <c r="B7" s="50" t="s">
        <v>3</v>
      </c>
      <c r="C7" s="236" t="s">
        <v>84</v>
      </c>
      <c r="D7" s="237" t="s">
        <v>84</v>
      </c>
      <c r="E7" s="230" t="s">
        <v>83</v>
      </c>
      <c r="F7" s="230" t="s">
        <v>83</v>
      </c>
      <c r="G7" s="231" t="s">
        <v>202</v>
      </c>
      <c r="H7" s="235" t="s">
        <v>203</v>
      </c>
      <c r="I7" s="218" t="s">
        <v>204</v>
      </c>
      <c r="R7" s="616"/>
      <c r="S7" s="618"/>
      <c r="T7" s="46" t="s">
        <v>88</v>
      </c>
      <c r="U7" s="49"/>
      <c r="V7" s="4"/>
      <c r="W7" s="612"/>
      <c r="X7" s="612"/>
      <c r="Y7" s="612"/>
      <c r="Z7" s="612"/>
      <c r="AA7" s="612"/>
      <c r="AB7" s="612"/>
      <c r="AC7" s="612"/>
    </row>
    <row r="8" spans="1:29" x14ac:dyDescent="0.25">
      <c r="A8" s="2"/>
      <c r="B8" s="50" t="s">
        <v>4</v>
      </c>
      <c r="C8" s="236" t="s">
        <v>95</v>
      </c>
      <c r="D8" s="237" t="s">
        <v>205</v>
      </c>
      <c r="E8" s="230" t="s">
        <v>206</v>
      </c>
      <c r="F8" s="230" t="s">
        <v>207</v>
      </c>
      <c r="G8" s="230"/>
      <c r="H8" s="235" t="s">
        <v>208</v>
      </c>
      <c r="I8" s="218" t="s">
        <v>208</v>
      </c>
      <c r="R8" s="616" t="s">
        <v>104</v>
      </c>
      <c r="S8" s="619" t="s">
        <v>3</v>
      </c>
      <c r="T8" s="46" t="s">
        <v>105</v>
      </c>
      <c r="U8" s="49"/>
      <c r="V8" s="1" t="s">
        <v>451</v>
      </c>
      <c r="W8" s="612"/>
      <c r="X8" s="612"/>
      <c r="Y8" s="612"/>
      <c r="Z8" s="612"/>
      <c r="AA8" s="612"/>
      <c r="AB8" s="612"/>
      <c r="AC8" s="612"/>
    </row>
    <row r="9" spans="1:29" ht="15" customHeight="1" x14ac:dyDescent="0.25">
      <c r="A9" s="51" t="s">
        <v>7</v>
      </c>
      <c r="B9" s="52" t="s">
        <v>8</v>
      </c>
      <c r="C9" s="247">
        <f t="shared" ref="C9" si="0">SUM(C10:C12)</f>
        <v>3.25</v>
      </c>
      <c r="D9" s="67">
        <f t="shared" ref="D9" si="1">SUM(D10:D12)</f>
        <v>465.83333333333337</v>
      </c>
      <c r="E9" s="220">
        <f>SUM(E10:E12)</f>
        <v>1.2</v>
      </c>
      <c r="F9" s="219">
        <f>E9*(1720/12)</f>
        <v>172</v>
      </c>
      <c r="G9" s="221" t="s">
        <v>225</v>
      </c>
      <c r="H9" s="222">
        <f>SUM(H10:H12)</f>
        <v>10200</v>
      </c>
      <c r="I9" s="222">
        <f>SUM(I10:I12)</f>
        <v>12750</v>
      </c>
      <c r="R9" s="616"/>
      <c r="S9" s="619" t="s">
        <v>4</v>
      </c>
      <c r="T9" s="46" t="s">
        <v>84</v>
      </c>
      <c r="U9" s="49"/>
      <c r="V9" s="1" t="s">
        <v>452</v>
      </c>
      <c r="W9" s="612"/>
      <c r="X9" s="612"/>
      <c r="Y9" s="612"/>
      <c r="Z9" s="612"/>
      <c r="AA9" s="612"/>
      <c r="AB9" s="612"/>
      <c r="AC9" s="612"/>
    </row>
    <row r="10" spans="1:29" ht="15" customHeight="1" x14ac:dyDescent="0.25">
      <c r="A10" s="55" t="s">
        <v>9</v>
      </c>
      <c r="B10" s="56" t="s">
        <v>10</v>
      </c>
      <c r="C10" s="213">
        <v>0.25</v>
      </c>
      <c r="D10" s="223">
        <f>C10*1720/12</f>
        <v>35.833333333333336</v>
      </c>
      <c r="E10" s="238">
        <v>0.1</v>
      </c>
      <c r="F10" s="239">
        <f>E10*(1720/12)</f>
        <v>14.333333333333336</v>
      </c>
      <c r="G10" s="240" t="s">
        <v>226</v>
      </c>
      <c r="H10" s="241">
        <f>E10*$H$5</f>
        <v>850</v>
      </c>
      <c r="I10" s="224">
        <f>H10*1.25</f>
        <v>1062.5</v>
      </c>
      <c r="R10" s="624" t="s">
        <v>7</v>
      </c>
      <c r="S10" s="625" t="s">
        <v>8</v>
      </c>
      <c r="T10" s="53">
        <f>SUM(T11:T13)*1.25</f>
        <v>12627.337499999998</v>
      </c>
      <c r="U10" s="54"/>
      <c r="V10" s="1" t="s">
        <v>453</v>
      </c>
      <c r="W10" s="612"/>
      <c r="X10" s="82">
        <f>SUM(X11:X13)</f>
        <v>12627.3375</v>
      </c>
      <c r="Y10" s="612" t="s">
        <v>84</v>
      </c>
      <c r="Z10" s="612"/>
      <c r="AA10" s="612"/>
      <c r="AB10" s="612"/>
      <c r="AC10" s="612"/>
    </row>
    <row r="11" spans="1:29" ht="15" customHeight="1" x14ac:dyDescent="0.25">
      <c r="A11" s="55" t="s">
        <v>11</v>
      </c>
      <c r="B11" s="56" t="s">
        <v>12</v>
      </c>
      <c r="C11" s="213">
        <v>1</v>
      </c>
      <c r="D11" s="223">
        <f t="shared" ref="D11:D12" si="2">C11*1720/12</f>
        <v>143.33333333333334</v>
      </c>
      <c r="E11" s="238">
        <v>0.6</v>
      </c>
      <c r="F11" s="239">
        <f t="shared" ref="F11:F12" si="3">E11*(1720/12)</f>
        <v>86</v>
      </c>
      <c r="G11" s="240" t="s">
        <v>227</v>
      </c>
      <c r="H11" s="241">
        <f t="shared" ref="H11:H12" si="4">E11*$H$5</f>
        <v>5100</v>
      </c>
      <c r="I11" s="224">
        <f t="shared" ref="I11:I12" si="5">H11*1.25</f>
        <v>6375</v>
      </c>
      <c r="R11" s="630" t="s">
        <v>9</v>
      </c>
      <c r="S11" s="631" t="s">
        <v>10</v>
      </c>
      <c r="T11" s="57">
        <v>0</v>
      </c>
      <c r="U11" s="58"/>
      <c r="V11" s="669" t="s">
        <v>453</v>
      </c>
      <c r="W11" s="612"/>
      <c r="X11" s="82">
        <f>T11*$X$2</f>
        <v>0</v>
      </c>
      <c r="Y11" s="612"/>
      <c r="Z11" s="612"/>
      <c r="AA11" s="612"/>
      <c r="AB11" s="612"/>
      <c r="AC11" s="612"/>
    </row>
    <row r="12" spans="1:29" ht="15" customHeight="1" x14ac:dyDescent="0.25">
      <c r="A12" s="55" t="s">
        <v>13</v>
      </c>
      <c r="B12" s="56" t="s">
        <v>14</v>
      </c>
      <c r="C12" s="213">
        <v>2</v>
      </c>
      <c r="D12" s="223">
        <f t="shared" si="2"/>
        <v>286.66666666666669</v>
      </c>
      <c r="E12" s="238">
        <v>0.5</v>
      </c>
      <c r="F12" s="239">
        <f t="shared" si="3"/>
        <v>71.666666666666671</v>
      </c>
      <c r="G12" s="240" t="s">
        <v>227</v>
      </c>
      <c r="H12" s="241">
        <f t="shared" si="4"/>
        <v>4250</v>
      </c>
      <c r="I12" s="224">
        <f t="shared" si="5"/>
        <v>5312.5</v>
      </c>
      <c r="R12" s="630" t="s">
        <v>11</v>
      </c>
      <c r="S12" s="631" t="s">
        <v>12</v>
      </c>
      <c r="T12" s="57">
        <f>4056.67</f>
        <v>4056.67</v>
      </c>
      <c r="U12" s="58"/>
      <c r="V12" s="669" t="s">
        <v>453</v>
      </c>
      <c r="W12" s="612"/>
      <c r="X12" s="82">
        <f t="shared" ref="X12:X47" si="6">T12*$X$2</f>
        <v>5070.8374999999996</v>
      </c>
      <c r="Y12" s="612"/>
      <c r="Z12" s="612"/>
      <c r="AA12" s="612"/>
      <c r="AB12" s="612"/>
      <c r="AC12" s="612"/>
    </row>
    <row r="13" spans="1:29" ht="15" customHeight="1" x14ac:dyDescent="0.25">
      <c r="A13" s="51" t="s">
        <v>15</v>
      </c>
      <c r="B13" s="52" t="s">
        <v>16</v>
      </c>
      <c r="C13" s="247">
        <f t="shared" ref="C13" si="7">SUM(C14:C17)</f>
        <v>0.5</v>
      </c>
      <c r="D13" s="225">
        <f t="shared" ref="D13" si="8">SUM(D14:D17)</f>
        <v>71.666666666666671</v>
      </c>
      <c r="E13" s="220">
        <f>SUM( E14:E17)</f>
        <v>0.5</v>
      </c>
      <c r="F13" s="219">
        <f>E13*(1720/12)</f>
        <v>71.666666666666671</v>
      </c>
      <c r="G13" s="221" t="s">
        <v>228</v>
      </c>
      <c r="H13" s="222">
        <f>SUM(H14:H17)</f>
        <v>4250</v>
      </c>
      <c r="I13" s="222">
        <f>SUM(I14:I17)</f>
        <v>5312.5</v>
      </c>
      <c r="R13" s="630" t="s">
        <v>13</v>
      </c>
      <c r="S13" s="631" t="s">
        <v>14</v>
      </c>
      <c r="T13" s="57">
        <f>6045.2</f>
        <v>6045.2</v>
      </c>
      <c r="U13" s="58"/>
      <c r="V13" s="669" t="s">
        <v>453</v>
      </c>
      <c r="W13" s="612"/>
      <c r="X13" s="82">
        <f t="shared" si="6"/>
        <v>7556.5</v>
      </c>
      <c r="Y13" s="612"/>
      <c r="Z13" s="612"/>
      <c r="AA13" s="612"/>
      <c r="AB13" s="612"/>
      <c r="AC13" s="612"/>
    </row>
    <row r="14" spans="1:29" ht="15" customHeight="1" x14ac:dyDescent="0.25">
      <c r="A14" s="55" t="s">
        <v>17</v>
      </c>
      <c r="B14" s="56" t="s">
        <v>18</v>
      </c>
      <c r="C14" s="213">
        <v>0.25</v>
      </c>
      <c r="D14" s="223">
        <f t="shared" ref="D14:D17" si="9">C14*1720/12</f>
        <v>35.833333333333336</v>
      </c>
      <c r="E14" s="238">
        <v>0.25</v>
      </c>
      <c r="F14" s="239">
        <f t="shared" ref="F14:F17" si="10">E14*(1720/12)</f>
        <v>35.833333333333336</v>
      </c>
      <c r="G14" s="240" t="s">
        <v>259</v>
      </c>
      <c r="H14" s="241">
        <f>E14*$H$5</f>
        <v>2125</v>
      </c>
      <c r="I14" s="224">
        <f t="shared" ref="I14:I17" si="11">H14*1.25</f>
        <v>2656.25</v>
      </c>
      <c r="R14" s="624" t="s">
        <v>15</v>
      </c>
      <c r="S14" s="625" t="s">
        <v>16</v>
      </c>
      <c r="T14" s="59">
        <v>0</v>
      </c>
      <c r="U14" s="60"/>
      <c r="V14" s="1" t="s">
        <v>453</v>
      </c>
      <c r="W14" s="612"/>
      <c r="X14" s="82">
        <f>SUM(X15:X18)</f>
        <v>0</v>
      </c>
      <c r="Y14" s="612"/>
      <c r="Z14" s="612"/>
      <c r="AA14" s="612"/>
      <c r="AB14" s="612"/>
      <c r="AC14" s="612"/>
    </row>
    <row r="15" spans="1:29" ht="15" customHeight="1" x14ac:dyDescent="0.25">
      <c r="A15" s="55" t="s">
        <v>19</v>
      </c>
      <c r="B15" s="56" t="s">
        <v>20</v>
      </c>
      <c r="C15" s="213">
        <v>0</v>
      </c>
      <c r="D15" s="223">
        <f t="shared" si="9"/>
        <v>0</v>
      </c>
      <c r="E15" s="238">
        <v>0</v>
      </c>
      <c r="F15" s="239">
        <f t="shared" si="10"/>
        <v>0</v>
      </c>
      <c r="G15" s="240" t="s">
        <v>259</v>
      </c>
      <c r="H15" s="241">
        <f t="shared" ref="H15:H17" si="12">E15*$H$5</f>
        <v>0</v>
      </c>
      <c r="I15" s="224">
        <f t="shared" si="11"/>
        <v>0</v>
      </c>
      <c r="R15" s="630" t="s">
        <v>17</v>
      </c>
      <c r="S15" s="631" t="s">
        <v>18</v>
      </c>
      <c r="T15" s="57">
        <v>0</v>
      </c>
      <c r="U15" s="58"/>
      <c r="V15" s="669" t="s">
        <v>453</v>
      </c>
      <c r="W15" s="612"/>
      <c r="X15" s="82">
        <f t="shared" si="6"/>
        <v>0</v>
      </c>
      <c r="Y15" s="612"/>
      <c r="Z15" s="612"/>
      <c r="AA15" s="612"/>
      <c r="AB15" s="612"/>
      <c r="AC15" s="612"/>
    </row>
    <row r="16" spans="1:29" ht="15" customHeight="1" x14ac:dyDescent="0.25">
      <c r="A16" s="55" t="s">
        <v>21</v>
      </c>
      <c r="B16" s="56" t="s">
        <v>22</v>
      </c>
      <c r="C16" s="213">
        <v>0</v>
      </c>
      <c r="D16" s="223">
        <f t="shared" si="9"/>
        <v>0</v>
      </c>
      <c r="E16" s="238">
        <v>0</v>
      </c>
      <c r="F16" s="239">
        <f t="shared" si="10"/>
        <v>0</v>
      </c>
      <c r="G16" s="240" t="s">
        <v>259</v>
      </c>
      <c r="H16" s="241">
        <f t="shared" si="12"/>
        <v>0</v>
      </c>
      <c r="I16" s="224">
        <f t="shared" si="11"/>
        <v>0</v>
      </c>
      <c r="R16" s="630" t="s">
        <v>19</v>
      </c>
      <c r="S16" s="631" t="s">
        <v>20</v>
      </c>
      <c r="T16" s="57">
        <v>0</v>
      </c>
      <c r="U16" s="58"/>
      <c r="V16" s="669" t="s">
        <v>453</v>
      </c>
      <c r="W16" s="612"/>
      <c r="X16" s="82">
        <f t="shared" si="6"/>
        <v>0</v>
      </c>
      <c r="Y16" s="612"/>
      <c r="Z16" s="612"/>
      <c r="AA16" s="612"/>
      <c r="AB16" s="612"/>
      <c r="AC16" s="612"/>
    </row>
    <row r="17" spans="1:29" ht="15" customHeight="1" x14ac:dyDescent="0.25">
      <c r="A17" s="55" t="s">
        <v>23</v>
      </c>
      <c r="B17" s="56" t="s">
        <v>24</v>
      </c>
      <c r="C17" s="213">
        <v>0.25</v>
      </c>
      <c r="D17" s="223">
        <f t="shared" si="9"/>
        <v>35.833333333333336</v>
      </c>
      <c r="E17" s="238">
        <v>0.25</v>
      </c>
      <c r="F17" s="239">
        <f t="shared" si="10"/>
        <v>35.833333333333336</v>
      </c>
      <c r="G17" s="240" t="s">
        <v>259</v>
      </c>
      <c r="H17" s="241">
        <f t="shared" si="12"/>
        <v>2125</v>
      </c>
      <c r="I17" s="224">
        <f t="shared" si="11"/>
        <v>2656.25</v>
      </c>
      <c r="R17" s="630" t="s">
        <v>21</v>
      </c>
      <c r="S17" s="631" t="s">
        <v>22</v>
      </c>
      <c r="T17" s="57">
        <v>0</v>
      </c>
      <c r="U17" s="58"/>
      <c r="V17" s="669" t="s">
        <v>453</v>
      </c>
      <c r="W17" s="612"/>
      <c r="X17" s="82">
        <f t="shared" si="6"/>
        <v>0</v>
      </c>
      <c r="Y17" s="612"/>
      <c r="Z17" s="612"/>
      <c r="AA17" s="612"/>
      <c r="AB17" s="612"/>
      <c r="AC17" s="612"/>
    </row>
    <row r="18" spans="1:29" ht="15" customHeight="1" x14ac:dyDescent="0.25">
      <c r="A18" s="51" t="s">
        <v>25</v>
      </c>
      <c r="B18" s="52" t="s">
        <v>26</v>
      </c>
      <c r="C18" s="247">
        <f t="shared" ref="C18" si="13">SUM(C19:C24)</f>
        <v>3.5</v>
      </c>
      <c r="D18" s="225">
        <f t="shared" ref="D18" si="14">SUM(D19:D24)</f>
        <v>501.66666666666669</v>
      </c>
      <c r="E18" s="220">
        <f>SUM(E19:E24)</f>
        <v>3.5</v>
      </c>
      <c r="F18" s="219">
        <f>E18*(1720/12)</f>
        <v>501.66666666666669</v>
      </c>
      <c r="G18" s="221" t="s">
        <v>230</v>
      </c>
      <c r="H18" s="222">
        <f>SUM(H19:H24)</f>
        <v>29750</v>
      </c>
      <c r="I18" s="222">
        <f>SUM(I19:I24)</f>
        <v>37187.5</v>
      </c>
      <c r="R18" s="630" t="s">
        <v>23</v>
      </c>
      <c r="S18" s="631" t="s">
        <v>24</v>
      </c>
      <c r="T18" s="57">
        <v>0</v>
      </c>
      <c r="U18" s="58"/>
      <c r="V18" s="669" t="s">
        <v>453</v>
      </c>
      <c r="W18" s="612"/>
      <c r="X18" s="82">
        <f t="shared" si="6"/>
        <v>0</v>
      </c>
      <c r="Y18" s="612"/>
      <c r="Z18" s="612"/>
      <c r="AA18" s="612"/>
      <c r="AB18" s="612"/>
      <c r="AC18" s="612"/>
    </row>
    <row r="19" spans="1:29" ht="15" customHeight="1" x14ac:dyDescent="0.25">
      <c r="A19" s="55" t="s">
        <v>27</v>
      </c>
      <c r="B19" s="56" t="s">
        <v>28</v>
      </c>
      <c r="C19" s="213">
        <v>0.5</v>
      </c>
      <c r="D19" s="223">
        <f t="shared" ref="D19:D24" si="15">C19*1720/12</f>
        <v>71.666666666666671</v>
      </c>
      <c r="E19" s="238">
        <v>0.5</v>
      </c>
      <c r="F19" s="239">
        <f t="shared" ref="F19:F24" si="16">E19*(1720/12)</f>
        <v>71.666666666666671</v>
      </c>
      <c r="G19" s="240" t="s">
        <v>259</v>
      </c>
      <c r="H19" s="241">
        <f>E19*$H$5</f>
        <v>4250</v>
      </c>
      <c r="I19" s="224">
        <f t="shared" ref="I19:I24" si="17">H19*1.25</f>
        <v>5312.5</v>
      </c>
      <c r="R19" s="624" t="s">
        <v>25</v>
      </c>
      <c r="S19" s="625" t="s">
        <v>26</v>
      </c>
      <c r="T19" s="59">
        <v>0</v>
      </c>
      <c r="U19" s="60"/>
      <c r="V19" s="1" t="s">
        <v>453</v>
      </c>
      <c r="W19" s="612"/>
      <c r="X19" s="82">
        <f>SUM(X20:X25)</f>
        <v>0</v>
      </c>
      <c r="Y19" s="612"/>
      <c r="Z19" s="612"/>
      <c r="AA19" s="612"/>
      <c r="AB19" s="612"/>
      <c r="AC19" s="612"/>
    </row>
    <row r="20" spans="1:29" ht="15" customHeight="1" x14ac:dyDescent="0.25">
      <c r="A20" s="55" t="s">
        <v>29</v>
      </c>
      <c r="B20" s="56" t="s">
        <v>30</v>
      </c>
      <c r="C20" s="213">
        <v>0</v>
      </c>
      <c r="D20" s="223">
        <f t="shared" si="15"/>
        <v>0</v>
      </c>
      <c r="E20" s="238">
        <v>0</v>
      </c>
      <c r="F20" s="239">
        <f t="shared" si="16"/>
        <v>0</v>
      </c>
      <c r="G20" s="240" t="s">
        <v>259</v>
      </c>
      <c r="H20" s="241">
        <f t="shared" ref="H20:H24" si="18">E20*$H$5</f>
        <v>0</v>
      </c>
      <c r="I20" s="224">
        <f t="shared" si="17"/>
        <v>0</v>
      </c>
      <c r="R20" s="630" t="s">
        <v>27</v>
      </c>
      <c r="S20" s="631" t="s">
        <v>28</v>
      </c>
      <c r="T20" s="57">
        <v>0</v>
      </c>
      <c r="U20" s="58"/>
      <c r="V20" s="669" t="s">
        <v>453</v>
      </c>
      <c r="W20" s="612"/>
      <c r="X20" s="82">
        <f t="shared" si="6"/>
        <v>0</v>
      </c>
      <c r="Y20" s="612"/>
      <c r="Z20" s="612"/>
      <c r="AA20" s="612"/>
      <c r="AB20" s="612"/>
      <c r="AC20" s="612"/>
    </row>
    <row r="21" spans="1:29" ht="15" customHeight="1" x14ac:dyDescent="0.25">
      <c r="A21" s="55" t="s">
        <v>31</v>
      </c>
      <c r="B21" s="56" t="s">
        <v>32</v>
      </c>
      <c r="C21" s="213">
        <v>1</v>
      </c>
      <c r="D21" s="223">
        <f t="shared" si="15"/>
        <v>143.33333333333334</v>
      </c>
      <c r="E21" s="238">
        <v>1</v>
      </c>
      <c r="F21" s="239">
        <f t="shared" si="16"/>
        <v>143.33333333333334</v>
      </c>
      <c r="G21" s="240" t="s">
        <v>259</v>
      </c>
      <c r="H21" s="241">
        <f t="shared" si="18"/>
        <v>8500</v>
      </c>
      <c r="I21" s="224">
        <f t="shared" si="17"/>
        <v>10625</v>
      </c>
      <c r="R21" s="630" t="s">
        <v>29</v>
      </c>
      <c r="S21" s="631" t="s">
        <v>30</v>
      </c>
      <c r="T21" s="57">
        <v>0</v>
      </c>
      <c r="U21" s="58"/>
      <c r="V21" s="669" t="s">
        <v>453</v>
      </c>
      <c r="W21" s="612"/>
      <c r="X21" s="82">
        <f t="shared" si="6"/>
        <v>0</v>
      </c>
      <c r="Y21" s="612"/>
      <c r="Z21" s="612"/>
      <c r="AA21" s="612"/>
      <c r="AB21" s="612"/>
      <c r="AC21" s="612"/>
    </row>
    <row r="22" spans="1:29" ht="15" customHeight="1" x14ac:dyDescent="0.25">
      <c r="A22" s="55" t="s">
        <v>33</v>
      </c>
      <c r="B22" s="56" t="s">
        <v>34</v>
      </c>
      <c r="C22" s="213">
        <v>0</v>
      </c>
      <c r="D22" s="223">
        <f t="shared" si="15"/>
        <v>0</v>
      </c>
      <c r="E22" s="238">
        <v>0</v>
      </c>
      <c r="F22" s="239">
        <f t="shared" si="16"/>
        <v>0</v>
      </c>
      <c r="G22" s="240" t="s">
        <v>259</v>
      </c>
      <c r="H22" s="241">
        <f t="shared" si="18"/>
        <v>0</v>
      </c>
      <c r="I22" s="224">
        <f t="shared" si="17"/>
        <v>0</v>
      </c>
      <c r="R22" s="630" t="s">
        <v>31</v>
      </c>
      <c r="S22" s="631" t="s">
        <v>32</v>
      </c>
      <c r="T22" s="57">
        <v>0</v>
      </c>
      <c r="U22" s="58"/>
      <c r="V22" s="669" t="s">
        <v>453</v>
      </c>
      <c r="W22" s="612"/>
      <c r="X22" s="82">
        <f t="shared" si="6"/>
        <v>0</v>
      </c>
      <c r="Y22" s="612"/>
      <c r="Z22" s="612"/>
      <c r="AA22" s="612"/>
      <c r="AB22" s="612"/>
      <c r="AC22" s="612"/>
    </row>
    <row r="23" spans="1:29" ht="15" customHeight="1" x14ac:dyDescent="0.25">
      <c r="A23" s="55" t="s">
        <v>35</v>
      </c>
      <c r="B23" s="56" t="s">
        <v>36</v>
      </c>
      <c r="C23" s="213">
        <v>0</v>
      </c>
      <c r="D23" s="223">
        <f t="shared" si="15"/>
        <v>0</v>
      </c>
      <c r="E23" s="238">
        <v>0</v>
      </c>
      <c r="F23" s="239">
        <f t="shared" si="16"/>
        <v>0</v>
      </c>
      <c r="G23" s="240" t="s">
        <v>259</v>
      </c>
      <c r="H23" s="241">
        <f t="shared" si="18"/>
        <v>0</v>
      </c>
      <c r="I23" s="224">
        <f t="shared" si="17"/>
        <v>0</v>
      </c>
      <c r="R23" s="630" t="s">
        <v>33</v>
      </c>
      <c r="S23" s="631" t="s">
        <v>34</v>
      </c>
      <c r="T23" s="57">
        <v>0</v>
      </c>
      <c r="U23" s="58"/>
      <c r="V23" s="669" t="s">
        <v>453</v>
      </c>
      <c r="W23" s="612"/>
      <c r="X23" s="82">
        <f t="shared" si="6"/>
        <v>0</v>
      </c>
      <c r="Y23" s="612"/>
      <c r="Z23" s="612"/>
      <c r="AA23" s="612"/>
      <c r="AB23" s="612" t="s">
        <v>8</v>
      </c>
      <c r="AC23" s="82">
        <f>SUM(T10)</f>
        <v>12627.337499999998</v>
      </c>
    </row>
    <row r="24" spans="1:29" ht="15" customHeight="1" x14ac:dyDescent="0.25">
      <c r="A24" s="249" t="s">
        <v>37</v>
      </c>
      <c r="B24" s="250" t="s">
        <v>38</v>
      </c>
      <c r="C24" s="213">
        <v>2</v>
      </c>
      <c r="D24" s="223">
        <f t="shared" si="15"/>
        <v>286.66666666666669</v>
      </c>
      <c r="E24" s="238">
        <v>2</v>
      </c>
      <c r="F24" s="239">
        <f t="shared" si="16"/>
        <v>286.66666666666669</v>
      </c>
      <c r="G24" s="240" t="s">
        <v>259</v>
      </c>
      <c r="H24" s="241">
        <f t="shared" si="18"/>
        <v>17000</v>
      </c>
      <c r="I24" s="224">
        <f t="shared" si="17"/>
        <v>21250</v>
      </c>
      <c r="R24" s="630" t="s">
        <v>35</v>
      </c>
      <c r="S24" s="631" t="s">
        <v>36</v>
      </c>
      <c r="T24" s="57">
        <v>0</v>
      </c>
      <c r="U24" s="58"/>
      <c r="V24" s="669" t="s">
        <v>453</v>
      </c>
      <c r="W24" s="612"/>
      <c r="X24" s="82">
        <f t="shared" si="6"/>
        <v>0</v>
      </c>
      <c r="Y24" s="612"/>
      <c r="Z24" s="612"/>
      <c r="AA24" s="612"/>
      <c r="AB24" s="612" t="s">
        <v>16</v>
      </c>
      <c r="AC24" s="82">
        <f>SUM(T14)</f>
        <v>0</v>
      </c>
    </row>
    <row r="25" spans="1:29" ht="15" customHeight="1" x14ac:dyDescent="0.25">
      <c r="A25" s="51" t="s">
        <v>212</v>
      </c>
      <c r="B25" s="52" t="s">
        <v>40</v>
      </c>
      <c r="C25" s="247">
        <f t="shared" ref="C25" si="19">SUM(C26:C34)</f>
        <v>8</v>
      </c>
      <c r="D25" s="225">
        <f t="shared" ref="D25" si="20">SUM(D26:D34)</f>
        <v>1146.6666666666667</v>
      </c>
      <c r="E25" s="220">
        <f>SUM(E26:E34)</f>
        <v>8</v>
      </c>
      <c r="F25" s="219">
        <f>E25*(1720/12)</f>
        <v>1146.6666666666667</v>
      </c>
      <c r="G25" s="221" t="s">
        <v>234</v>
      </c>
      <c r="H25" s="222">
        <f>SUM(H26:H34)</f>
        <v>68000</v>
      </c>
      <c r="I25" s="222">
        <f>SUM(I26:I34)</f>
        <v>85000</v>
      </c>
      <c r="R25" s="65" t="s">
        <v>37</v>
      </c>
      <c r="S25" s="66" t="s">
        <v>38</v>
      </c>
      <c r="T25" s="57">
        <v>0</v>
      </c>
      <c r="U25" s="58"/>
      <c r="V25" s="669" t="s">
        <v>453</v>
      </c>
      <c r="W25" s="612"/>
      <c r="X25" s="82">
        <f t="shared" si="6"/>
        <v>0</v>
      </c>
      <c r="Y25" s="612"/>
      <c r="Z25" s="612"/>
      <c r="AA25" s="612"/>
      <c r="AB25" s="612" t="s">
        <v>26</v>
      </c>
      <c r="AC25" s="82">
        <f>SUM(T19)</f>
        <v>0</v>
      </c>
    </row>
    <row r="26" spans="1:29" ht="15" customHeight="1" x14ac:dyDescent="0.25">
      <c r="A26" s="69" t="s">
        <v>213</v>
      </c>
      <c r="B26" s="56" t="s">
        <v>42</v>
      </c>
      <c r="C26" s="213">
        <v>2.5</v>
      </c>
      <c r="D26" s="223">
        <f t="shared" ref="D26:D34" si="21">C26*1720/12</f>
        <v>358.33333333333331</v>
      </c>
      <c r="E26" s="238">
        <v>2.5</v>
      </c>
      <c r="F26" s="239">
        <f t="shared" ref="F26:F34" si="22">E26*(1720/12)</f>
        <v>358.33333333333337</v>
      </c>
      <c r="G26" s="240" t="s">
        <v>259</v>
      </c>
      <c r="H26" s="241">
        <f>E26*$H$5</f>
        <v>21250</v>
      </c>
      <c r="I26" s="224">
        <f t="shared" ref="I26:I34" si="23">H26*1.25</f>
        <v>26562.5</v>
      </c>
      <c r="R26" s="624" t="s">
        <v>39</v>
      </c>
      <c r="S26" s="625" t="s">
        <v>40</v>
      </c>
      <c r="T26" s="59">
        <f>SUM(T27:U35)*1.25</f>
        <v>4120.2875000000004</v>
      </c>
      <c r="U26" s="626"/>
      <c r="V26" s="1" t="s">
        <v>453</v>
      </c>
      <c r="W26" s="68" t="s">
        <v>84</v>
      </c>
      <c r="X26" s="82">
        <f>SUM(X27:X35)</f>
        <v>4120.2875000000004</v>
      </c>
      <c r="Y26" s="612"/>
      <c r="Z26" s="612"/>
      <c r="AA26" s="612"/>
      <c r="AB26" s="612" t="s">
        <v>40</v>
      </c>
      <c r="AC26" s="82">
        <f>SUM(T26)</f>
        <v>4120.2875000000004</v>
      </c>
    </row>
    <row r="27" spans="1:29" ht="15" customHeight="1" x14ac:dyDescent="0.25">
      <c r="A27" s="251" t="s">
        <v>43</v>
      </c>
      <c r="B27" s="250" t="s">
        <v>44</v>
      </c>
      <c r="C27" s="213">
        <v>3</v>
      </c>
      <c r="D27" s="223">
        <f t="shared" si="21"/>
        <v>430</v>
      </c>
      <c r="E27" s="238">
        <v>3</v>
      </c>
      <c r="F27" s="239">
        <f t="shared" si="22"/>
        <v>430</v>
      </c>
      <c r="G27" s="240" t="s">
        <v>259</v>
      </c>
      <c r="H27" s="241">
        <f t="shared" ref="H27:H34" si="24">E27*$H$5</f>
        <v>25500</v>
      </c>
      <c r="I27" s="224">
        <f t="shared" si="23"/>
        <v>31875</v>
      </c>
      <c r="R27" s="635" t="s">
        <v>102</v>
      </c>
      <c r="S27" s="631" t="s">
        <v>42</v>
      </c>
      <c r="T27" s="57">
        <f>3296.23</f>
        <v>3296.23</v>
      </c>
      <c r="U27" s="58"/>
      <c r="V27" s="669" t="s">
        <v>453</v>
      </c>
      <c r="W27" s="612"/>
      <c r="X27" s="82">
        <f t="shared" si="6"/>
        <v>4120.2875000000004</v>
      </c>
      <c r="Y27" s="612"/>
      <c r="Z27" s="612"/>
      <c r="AA27" s="612"/>
      <c r="AB27" s="612" t="s">
        <v>60</v>
      </c>
      <c r="AC27" s="82">
        <f>SUM(T36)</f>
        <v>0</v>
      </c>
    </row>
    <row r="28" spans="1:29" ht="15" customHeight="1" x14ac:dyDescent="0.25">
      <c r="A28" s="69" t="s">
        <v>45</v>
      </c>
      <c r="B28" s="56" t="s">
        <v>46</v>
      </c>
      <c r="C28" s="213">
        <v>1</v>
      </c>
      <c r="D28" s="223">
        <f t="shared" si="21"/>
        <v>143.33333333333334</v>
      </c>
      <c r="E28" s="238">
        <v>1</v>
      </c>
      <c r="F28" s="239">
        <f t="shared" si="22"/>
        <v>143.33333333333334</v>
      </c>
      <c r="G28" s="240" t="s">
        <v>259</v>
      </c>
      <c r="H28" s="241">
        <f t="shared" si="24"/>
        <v>8500</v>
      </c>
      <c r="I28" s="224">
        <f t="shared" si="23"/>
        <v>10625</v>
      </c>
      <c r="R28" s="635" t="s">
        <v>43</v>
      </c>
      <c r="S28" s="631" t="s">
        <v>44</v>
      </c>
      <c r="T28" s="57">
        <v>0</v>
      </c>
      <c r="U28" s="58"/>
      <c r="V28" s="669" t="s">
        <v>453</v>
      </c>
      <c r="W28" s="612"/>
      <c r="X28" s="82">
        <f t="shared" si="6"/>
        <v>0</v>
      </c>
      <c r="Y28" s="612"/>
      <c r="Z28" s="612"/>
      <c r="AA28" s="612"/>
      <c r="AB28" s="612" t="s">
        <v>68</v>
      </c>
      <c r="AC28" s="82">
        <f>SUM(T40)</f>
        <v>4596</v>
      </c>
    </row>
    <row r="29" spans="1:29" ht="15" customHeight="1" x14ac:dyDescent="0.25">
      <c r="A29" s="69" t="s">
        <v>47</v>
      </c>
      <c r="B29" s="56" t="s">
        <v>48</v>
      </c>
      <c r="C29" s="213">
        <v>0.5</v>
      </c>
      <c r="D29" s="223">
        <f t="shared" si="21"/>
        <v>71.666666666666671</v>
      </c>
      <c r="E29" s="238">
        <v>0.5</v>
      </c>
      <c r="F29" s="239">
        <f t="shared" si="22"/>
        <v>71.666666666666671</v>
      </c>
      <c r="G29" s="240" t="s">
        <v>259</v>
      </c>
      <c r="H29" s="241">
        <f t="shared" si="24"/>
        <v>4250</v>
      </c>
      <c r="I29" s="224">
        <f t="shared" si="23"/>
        <v>5312.5</v>
      </c>
      <c r="R29" s="635" t="s">
        <v>45</v>
      </c>
      <c r="S29" s="631" t="s">
        <v>46</v>
      </c>
      <c r="T29" s="57">
        <v>0</v>
      </c>
      <c r="U29" s="58"/>
      <c r="V29" s="669" t="s">
        <v>453</v>
      </c>
      <c r="W29" s="612"/>
      <c r="X29" s="82">
        <f t="shared" si="6"/>
        <v>0</v>
      </c>
      <c r="Y29" s="612"/>
      <c r="Z29" s="612"/>
      <c r="AA29" s="612"/>
      <c r="AB29" s="612" t="s">
        <v>76</v>
      </c>
      <c r="AC29" s="82">
        <f>SUM(T44)</f>
        <v>0</v>
      </c>
    </row>
    <row r="30" spans="1:29" ht="15" customHeight="1" x14ac:dyDescent="0.25">
      <c r="A30" s="251" t="s">
        <v>214</v>
      </c>
      <c r="B30" s="250" t="s">
        <v>50</v>
      </c>
      <c r="C30" s="213">
        <v>0</v>
      </c>
      <c r="D30" s="223">
        <f t="shared" si="21"/>
        <v>0</v>
      </c>
      <c r="E30" s="238">
        <v>0</v>
      </c>
      <c r="F30" s="239">
        <f t="shared" si="22"/>
        <v>0</v>
      </c>
      <c r="G30" s="240" t="s">
        <v>259</v>
      </c>
      <c r="H30" s="241">
        <f t="shared" si="24"/>
        <v>0</v>
      </c>
      <c r="I30" s="224">
        <f t="shared" si="23"/>
        <v>0</v>
      </c>
      <c r="R30" s="635" t="s">
        <v>47</v>
      </c>
      <c r="S30" s="631" t="s">
        <v>48</v>
      </c>
      <c r="T30" s="57">
        <v>0</v>
      </c>
      <c r="U30" s="58"/>
      <c r="V30" s="669" t="s">
        <v>453</v>
      </c>
      <c r="W30" s="612"/>
      <c r="X30" s="82">
        <f t="shared" si="6"/>
        <v>0</v>
      </c>
      <c r="Y30" s="612"/>
      <c r="Z30" s="612"/>
      <c r="AA30" s="612"/>
      <c r="AB30" s="612"/>
      <c r="AC30" s="612"/>
    </row>
    <row r="31" spans="1:29" ht="15" customHeight="1" x14ac:dyDescent="0.25">
      <c r="A31" s="69" t="s">
        <v>51</v>
      </c>
      <c r="B31" s="56" t="s">
        <v>52</v>
      </c>
      <c r="C31" s="213">
        <v>0</v>
      </c>
      <c r="D31" s="223">
        <f t="shared" si="21"/>
        <v>0</v>
      </c>
      <c r="E31" s="238">
        <v>0</v>
      </c>
      <c r="F31" s="239">
        <f t="shared" si="22"/>
        <v>0</v>
      </c>
      <c r="G31" s="240" t="s">
        <v>259</v>
      </c>
      <c r="H31" s="241">
        <f t="shared" si="24"/>
        <v>0</v>
      </c>
      <c r="I31" s="224">
        <f t="shared" si="23"/>
        <v>0</v>
      </c>
      <c r="R31" s="70" t="s">
        <v>99</v>
      </c>
      <c r="S31" s="66" t="s">
        <v>50</v>
      </c>
      <c r="T31" s="57">
        <v>0</v>
      </c>
      <c r="U31" s="58"/>
      <c r="V31" s="669" t="s">
        <v>453</v>
      </c>
      <c r="W31" s="612"/>
      <c r="X31" s="82">
        <f t="shared" si="6"/>
        <v>0</v>
      </c>
      <c r="Y31" s="612"/>
      <c r="Z31" s="612"/>
      <c r="AA31" s="612"/>
      <c r="AB31" s="612"/>
      <c r="AC31" s="612"/>
    </row>
    <row r="32" spans="1:29" ht="15" customHeight="1" x14ac:dyDescent="0.25">
      <c r="A32" s="69" t="s">
        <v>53</v>
      </c>
      <c r="B32" s="56" t="s">
        <v>54</v>
      </c>
      <c r="C32" s="213">
        <v>0.5</v>
      </c>
      <c r="D32" s="223">
        <f t="shared" si="21"/>
        <v>71.666666666666671</v>
      </c>
      <c r="E32" s="238">
        <v>0.5</v>
      </c>
      <c r="F32" s="239">
        <f t="shared" si="22"/>
        <v>71.666666666666671</v>
      </c>
      <c r="G32" s="240" t="s">
        <v>259</v>
      </c>
      <c r="H32" s="241">
        <f t="shared" si="24"/>
        <v>4250</v>
      </c>
      <c r="I32" s="224">
        <f t="shared" si="23"/>
        <v>5312.5</v>
      </c>
      <c r="R32" s="635" t="s">
        <v>51</v>
      </c>
      <c r="S32" s="631" t="s">
        <v>52</v>
      </c>
      <c r="T32" s="57">
        <v>0</v>
      </c>
      <c r="U32" s="58"/>
      <c r="V32" s="669" t="s">
        <v>453</v>
      </c>
      <c r="W32" s="612"/>
      <c r="X32" s="82">
        <f t="shared" si="6"/>
        <v>0</v>
      </c>
      <c r="Y32" s="612"/>
      <c r="Z32" s="612"/>
      <c r="AA32" s="612"/>
      <c r="AB32" s="612"/>
      <c r="AC32" s="612"/>
    </row>
    <row r="33" spans="1:29" ht="15" customHeight="1" x14ac:dyDescent="0.25">
      <c r="A33" s="55" t="s">
        <v>55</v>
      </c>
      <c r="B33" s="56" t="s">
        <v>56</v>
      </c>
      <c r="C33" s="213">
        <v>0</v>
      </c>
      <c r="D33" s="223">
        <f t="shared" si="21"/>
        <v>0</v>
      </c>
      <c r="E33" s="238">
        <v>0</v>
      </c>
      <c r="F33" s="239">
        <f t="shared" si="22"/>
        <v>0</v>
      </c>
      <c r="G33" s="240" t="s">
        <v>259</v>
      </c>
      <c r="H33" s="241">
        <f t="shared" si="24"/>
        <v>0</v>
      </c>
      <c r="I33" s="224">
        <f t="shared" si="23"/>
        <v>0</v>
      </c>
      <c r="R33" s="635" t="s">
        <v>53</v>
      </c>
      <c r="S33" s="631" t="s">
        <v>54</v>
      </c>
      <c r="T33" s="57">
        <v>0</v>
      </c>
      <c r="U33" s="58"/>
      <c r="V33" s="669" t="s">
        <v>453</v>
      </c>
      <c r="W33" s="612" t="s">
        <v>84</v>
      </c>
      <c r="X33" s="82">
        <f t="shared" si="6"/>
        <v>0</v>
      </c>
      <c r="Y33" s="612"/>
      <c r="Z33" s="612"/>
      <c r="AA33" s="612"/>
      <c r="AB33" s="612"/>
      <c r="AC33" s="612"/>
    </row>
    <row r="34" spans="1:29" ht="15" customHeight="1" x14ac:dyDescent="0.25">
      <c r="A34" s="55" t="s">
        <v>57</v>
      </c>
      <c r="B34" s="56" t="s">
        <v>58</v>
      </c>
      <c r="C34" s="213">
        <v>0.5</v>
      </c>
      <c r="D34" s="223">
        <f t="shared" si="21"/>
        <v>71.666666666666671</v>
      </c>
      <c r="E34" s="238">
        <v>0.5</v>
      </c>
      <c r="F34" s="239">
        <f t="shared" si="22"/>
        <v>71.666666666666671</v>
      </c>
      <c r="G34" s="240" t="s">
        <v>259</v>
      </c>
      <c r="H34" s="241">
        <f t="shared" si="24"/>
        <v>4250</v>
      </c>
      <c r="I34" s="224">
        <f t="shared" si="23"/>
        <v>5312.5</v>
      </c>
      <c r="R34" s="630" t="s">
        <v>55</v>
      </c>
      <c r="S34" s="631" t="s">
        <v>56</v>
      </c>
      <c r="T34" s="57">
        <v>0</v>
      </c>
      <c r="U34" s="58"/>
      <c r="V34" s="669" t="s">
        <v>453</v>
      </c>
      <c r="W34" s="612"/>
      <c r="X34" s="82">
        <f t="shared" si="6"/>
        <v>0</v>
      </c>
      <c r="Y34" s="612"/>
      <c r="Z34" s="612"/>
      <c r="AA34" s="612"/>
      <c r="AB34" s="612"/>
      <c r="AC34" s="612"/>
    </row>
    <row r="35" spans="1:29" ht="15" customHeight="1" x14ac:dyDescent="0.25">
      <c r="A35" s="51" t="s">
        <v>59</v>
      </c>
      <c r="B35" s="52" t="s">
        <v>60</v>
      </c>
      <c r="C35" s="247">
        <f t="shared" ref="C35" si="25">SUM(C36:C38)</f>
        <v>0.75</v>
      </c>
      <c r="D35" s="225">
        <f t="shared" ref="D35" si="26">SUM(D36:D38)</f>
        <v>107.5</v>
      </c>
      <c r="E35" s="220">
        <f>SUM(E36:E38)</f>
        <v>0.75</v>
      </c>
      <c r="F35" s="219">
        <f>E35*(1720/12)</f>
        <v>107.5</v>
      </c>
      <c r="G35" s="221" t="s">
        <v>239</v>
      </c>
      <c r="H35" s="222">
        <f>SUM(H36:H38)</f>
        <v>6375</v>
      </c>
      <c r="I35" s="222">
        <f>SUM(I36:I38)</f>
        <v>7968.75</v>
      </c>
      <c r="R35" s="630" t="s">
        <v>57</v>
      </c>
      <c r="S35" s="631" t="s">
        <v>58</v>
      </c>
      <c r="T35" s="57">
        <v>0</v>
      </c>
      <c r="U35" s="58"/>
      <c r="V35" s="669" t="s">
        <v>453</v>
      </c>
      <c r="W35" s="612"/>
      <c r="X35" s="82">
        <f t="shared" si="6"/>
        <v>0</v>
      </c>
      <c r="Y35" s="612"/>
      <c r="Z35" s="612"/>
      <c r="AA35" s="612"/>
      <c r="AB35" s="612"/>
      <c r="AC35" s="612"/>
    </row>
    <row r="36" spans="1:29" ht="15" customHeight="1" x14ac:dyDescent="0.25">
      <c r="A36" s="249" t="s">
        <v>61</v>
      </c>
      <c r="B36" s="250" t="s">
        <v>62</v>
      </c>
      <c r="C36" s="213">
        <v>0.25</v>
      </c>
      <c r="D36" s="223">
        <f t="shared" ref="D36:D38" si="27">C36*1720/12</f>
        <v>35.833333333333336</v>
      </c>
      <c r="E36" s="238">
        <v>0.25</v>
      </c>
      <c r="F36" s="239">
        <f t="shared" ref="F36:F38" si="28">E36*(1720/12)</f>
        <v>35.833333333333336</v>
      </c>
      <c r="G36" s="240" t="s">
        <v>259</v>
      </c>
      <c r="H36" s="241">
        <f>E36*$H$5</f>
        <v>2125</v>
      </c>
      <c r="I36" s="224">
        <f t="shared" ref="I36:I38" si="29">H36*1.25</f>
        <v>2656.25</v>
      </c>
      <c r="R36" s="624" t="s">
        <v>59</v>
      </c>
      <c r="S36" s="625" t="s">
        <v>60</v>
      </c>
      <c r="T36" s="59">
        <v>0</v>
      </c>
      <c r="U36" s="626"/>
      <c r="V36" s="1" t="s">
        <v>453</v>
      </c>
      <c r="W36" s="612"/>
      <c r="X36" s="82">
        <f>SUM(X37:X39)</f>
        <v>0</v>
      </c>
      <c r="Y36" s="612"/>
      <c r="Z36" s="612"/>
      <c r="AA36" s="612"/>
      <c r="AB36" s="612"/>
      <c r="AC36" s="612"/>
    </row>
    <row r="37" spans="1:29" ht="15" customHeight="1" x14ac:dyDescent="0.25">
      <c r="A37" s="249" t="s">
        <v>215</v>
      </c>
      <c r="B37" s="250" t="s">
        <v>64</v>
      </c>
      <c r="C37" s="213">
        <v>0.25</v>
      </c>
      <c r="D37" s="223">
        <f t="shared" si="27"/>
        <v>35.833333333333336</v>
      </c>
      <c r="E37" s="238">
        <v>0.25</v>
      </c>
      <c r="F37" s="239">
        <f t="shared" si="28"/>
        <v>35.833333333333336</v>
      </c>
      <c r="G37" s="240" t="s">
        <v>259</v>
      </c>
      <c r="H37" s="241">
        <f t="shared" ref="H37:H38" si="30">E37*$H$5</f>
        <v>2125</v>
      </c>
      <c r="I37" s="224">
        <f t="shared" si="29"/>
        <v>2656.25</v>
      </c>
      <c r="R37" s="65" t="s">
        <v>61</v>
      </c>
      <c r="S37" s="66" t="s">
        <v>62</v>
      </c>
      <c r="T37" s="57">
        <v>0</v>
      </c>
      <c r="U37" s="58"/>
      <c r="V37" s="669" t="s">
        <v>453</v>
      </c>
      <c r="W37" s="612"/>
      <c r="X37" s="82">
        <f t="shared" si="6"/>
        <v>0</v>
      </c>
      <c r="Y37" s="612"/>
      <c r="Z37" s="612"/>
      <c r="AA37" s="612"/>
      <c r="AB37" s="612"/>
      <c r="AC37" s="612"/>
    </row>
    <row r="38" spans="1:29" ht="15" customHeight="1" x14ac:dyDescent="0.25">
      <c r="A38" s="249" t="s">
        <v>65</v>
      </c>
      <c r="B38" s="250" t="s">
        <v>66</v>
      </c>
      <c r="C38" s="213">
        <v>0.25</v>
      </c>
      <c r="D38" s="223">
        <f t="shared" si="27"/>
        <v>35.833333333333336</v>
      </c>
      <c r="E38" s="238">
        <v>0.25</v>
      </c>
      <c r="F38" s="239">
        <f t="shared" si="28"/>
        <v>35.833333333333336</v>
      </c>
      <c r="G38" s="240" t="s">
        <v>259</v>
      </c>
      <c r="H38" s="241">
        <f t="shared" si="30"/>
        <v>2125</v>
      </c>
      <c r="I38" s="224">
        <f t="shared" si="29"/>
        <v>2656.25</v>
      </c>
      <c r="R38" s="65" t="s">
        <v>100</v>
      </c>
      <c r="S38" s="66" t="s">
        <v>64</v>
      </c>
      <c r="T38" s="57">
        <v>0</v>
      </c>
      <c r="U38" s="58"/>
      <c r="V38" s="669" t="s">
        <v>453</v>
      </c>
      <c r="W38" s="612"/>
      <c r="X38" s="82">
        <f t="shared" si="6"/>
        <v>0</v>
      </c>
      <c r="Y38" s="612"/>
      <c r="Z38" s="612"/>
      <c r="AA38" s="612"/>
      <c r="AB38" s="612"/>
      <c r="AC38" s="612"/>
    </row>
    <row r="39" spans="1:29" ht="15" customHeight="1" x14ac:dyDescent="0.25">
      <c r="A39" s="51" t="s">
        <v>67</v>
      </c>
      <c r="B39" s="52" t="s">
        <v>68</v>
      </c>
      <c r="C39" s="247">
        <f t="shared" ref="C39" si="31">SUM(C40:C42)</f>
        <v>3</v>
      </c>
      <c r="D39" s="225">
        <f t="shared" ref="D39" si="32">SUM(D40:D42)</f>
        <v>430</v>
      </c>
      <c r="E39" s="220">
        <f>SUM(E40:E42)</f>
        <v>3</v>
      </c>
      <c r="F39" s="219">
        <f>E39*(1720/12)</f>
        <v>430</v>
      </c>
      <c r="G39" s="221" t="s">
        <v>239</v>
      </c>
      <c r="H39" s="222">
        <f>SUM(H40:H42)</f>
        <v>25500</v>
      </c>
      <c r="I39" s="222">
        <f>SUM(I40:I42)</f>
        <v>31875</v>
      </c>
      <c r="R39" s="65" t="s">
        <v>65</v>
      </c>
      <c r="S39" s="66" t="s">
        <v>66</v>
      </c>
      <c r="T39" s="57">
        <v>0</v>
      </c>
      <c r="U39" s="58"/>
      <c r="V39" s="669" t="s">
        <v>453</v>
      </c>
      <c r="W39" s="612"/>
      <c r="X39" s="82">
        <f t="shared" si="6"/>
        <v>0</v>
      </c>
      <c r="Y39" s="612"/>
      <c r="Z39" s="612"/>
      <c r="AA39" s="612"/>
      <c r="AB39" s="612"/>
      <c r="AC39" s="612"/>
    </row>
    <row r="40" spans="1:29" ht="15" customHeight="1" x14ac:dyDescent="0.25">
      <c r="A40" s="55" t="s">
        <v>69</v>
      </c>
      <c r="B40" s="56" t="s">
        <v>70</v>
      </c>
      <c r="C40" s="213">
        <v>0.5</v>
      </c>
      <c r="D40" s="223">
        <f t="shared" ref="D40:D42" si="33">C40*1720/12</f>
        <v>71.666666666666671</v>
      </c>
      <c r="E40" s="238">
        <v>0.5</v>
      </c>
      <c r="F40" s="239">
        <f t="shared" ref="F40:F42" si="34">E40*(1720/12)</f>
        <v>71.666666666666671</v>
      </c>
      <c r="G40" s="240" t="s">
        <v>259</v>
      </c>
      <c r="H40" s="241">
        <f>E40*$H$5</f>
        <v>4250</v>
      </c>
      <c r="I40" s="224">
        <f t="shared" ref="I40:I42" si="35">H40*1.25</f>
        <v>5312.5</v>
      </c>
      <c r="R40" s="624" t="s">
        <v>67</v>
      </c>
      <c r="S40" s="625" t="s">
        <v>68</v>
      </c>
      <c r="T40" s="59">
        <f>SUM(T41:T43)*1.25</f>
        <v>4596</v>
      </c>
      <c r="U40" s="626"/>
      <c r="V40" s="1" t="s">
        <v>454</v>
      </c>
      <c r="W40" s="612"/>
      <c r="X40" s="82">
        <f>SUM(X41:X43)</f>
        <v>4596</v>
      </c>
      <c r="Y40" s="612"/>
      <c r="Z40" s="612"/>
      <c r="AA40" s="612"/>
      <c r="AB40" s="612"/>
      <c r="AC40" s="612"/>
    </row>
    <row r="41" spans="1:29" ht="15" customHeight="1" x14ac:dyDescent="0.25">
      <c r="A41" s="55" t="s">
        <v>71</v>
      </c>
      <c r="B41" s="56" t="s">
        <v>72</v>
      </c>
      <c r="C41" s="213">
        <v>1</v>
      </c>
      <c r="D41" s="223">
        <f t="shared" si="33"/>
        <v>143.33333333333334</v>
      </c>
      <c r="E41" s="238">
        <v>1</v>
      </c>
      <c r="F41" s="239">
        <f t="shared" si="34"/>
        <v>143.33333333333334</v>
      </c>
      <c r="G41" s="240" t="s">
        <v>259</v>
      </c>
      <c r="H41" s="241">
        <f t="shared" ref="H41:H42" si="36">E41*$H$5</f>
        <v>8500</v>
      </c>
      <c r="I41" s="224">
        <f t="shared" si="35"/>
        <v>10625</v>
      </c>
      <c r="R41" s="630" t="s">
        <v>69</v>
      </c>
      <c r="S41" s="631" t="s">
        <v>70</v>
      </c>
      <c r="T41" s="57">
        <f>3676.8</f>
        <v>3676.8</v>
      </c>
      <c r="U41" s="58"/>
      <c r="V41" s="669" t="s">
        <v>454</v>
      </c>
      <c r="W41" s="612"/>
      <c r="X41" s="82">
        <f t="shared" si="6"/>
        <v>4596</v>
      </c>
      <c r="Y41" s="612"/>
      <c r="Z41" s="612"/>
      <c r="AA41" s="612"/>
      <c r="AB41" s="612"/>
      <c r="AC41" s="612"/>
    </row>
    <row r="42" spans="1:29" ht="15" customHeight="1" x14ac:dyDescent="0.25">
      <c r="A42" s="55" t="s">
        <v>73</v>
      </c>
      <c r="B42" s="56" t="s">
        <v>74</v>
      </c>
      <c r="C42" s="213">
        <v>1.5</v>
      </c>
      <c r="D42" s="223">
        <f t="shared" si="33"/>
        <v>215</v>
      </c>
      <c r="E42" s="238">
        <v>1.5</v>
      </c>
      <c r="F42" s="239">
        <f t="shared" si="34"/>
        <v>215</v>
      </c>
      <c r="G42" s="240" t="s">
        <v>259</v>
      </c>
      <c r="H42" s="241">
        <f t="shared" si="36"/>
        <v>12750</v>
      </c>
      <c r="I42" s="224">
        <f t="shared" si="35"/>
        <v>15937.5</v>
      </c>
      <c r="R42" s="630" t="s">
        <v>71</v>
      </c>
      <c r="S42" s="631" t="s">
        <v>72</v>
      </c>
      <c r="T42" s="57">
        <v>0</v>
      </c>
      <c r="U42" s="58"/>
      <c r="V42" s="669" t="s">
        <v>454</v>
      </c>
      <c r="W42" s="612"/>
      <c r="X42" s="82">
        <f t="shared" si="6"/>
        <v>0</v>
      </c>
      <c r="Y42" s="612" t="s">
        <v>84</v>
      </c>
      <c r="Z42" s="612"/>
      <c r="AA42" s="612"/>
      <c r="AB42" s="612"/>
      <c r="AC42" s="612"/>
    </row>
    <row r="43" spans="1:29" ht="15" customHeight="1" x14ac:dyDescent="0.25">
      <c r="A43" s="51" t="s">
        <v>75</v>
      </c>
      <c r="B43" s="52" t="s">
        <v>76</v>
      </c>
      <c r="C43" s="247">
        <f t="shared" ref="C43" si="37">SUM(C44:C46)</f>
        <v>0</v>
      </c>
      <c r="D43" s="225">
        <f t="shared" ref="D43" si="38">SUM(D44:D46)</f>
        <v>0</v>
      </c>
      <c r="E43" s="220">
        <f>SUM(E44:E46)</f>
        <v>2.0499999999999998</v>
      </c>
      <c r="F43" s="219">
        <f>E43*(1720/12)</f>
        <v>293.83333333333331</v>
      </c>
      <c r="G43" s="221" t="s">
        <v>245</v>
      </c>
      <c r="H43" s="222">
        <f>SUM(H44:H46)</f>
        <v>17425</v>
      </c>
      <c r="I43" s="222">
        <f>SUM(I44:I46)</f>
        <v>21781.25</v>
      </c>
      <c r="R43" s="630" t="s">
        <v>73</v>
      </c>
      <c r="S43" s="631" t="s">
        <v>74</v>
      </c>
      <c r="T43" s="57">
        <v>0</v>
      </c>
      <c r="U43" s="58"/>
      <c r="V43" s="669" t="s">
        <v>454</v>
      </c>
      <c r="W43" s="612"/>
      <c r="X43" s="82">
        <f t="shared" si="6"/>
        <v>0</v>
      </c>
      <c r="Y43" s="612"/>
      <c r="Z43" s="612"/>
      <c r="AA43" s="612"/>
      <c r="AB43" s="612"/>
      <c r="AC43" s="612"/>
    </row>
    <row r="44" spans="1:29" ht="15" customHeight="1" x14ac:dyDescent="0.25">
      <c r="A44" s="55" t="s">
        <v>77</v>
      </c>
      <c r="B44" s="56" t="s">
        <v>78</v>
      </c>
      <c r="C44" s="213">
        <v>0</v>
      </c>
      <c r="D44" s="223">
        <f t="shared" ref="D44:D46" si="39">C44*1720/12</f>
        <v>0</v>
      </c>
      <c r="E44" s="238">
        <v>1.05</v>
      </c>
      <c r="F44" s="239">
        <f t="shared" ref="F44:F46" si="40">E44*(1720/12)</f>
        <v>150.50000000000003</v>
      </c>
      <c r="G44" s="240" t="s">
        <v>257</v>
      </c>
      <c r="H44" s="241">
        <f>E44*$H$5</f>
        <v>8925</v>
      </c>
      <c r="I44" s="224">
        <f t="shared" ref="I44:I46" si="41">H44*1.25</f>
        <v>11156.25</v>
      </c>
      <c r="R44" s="624" t="s">
        <v>75</v>
      </c>
      <c r="S44" s="625" t="s">
        <v>76</v>
      </c>
      <c r="T44" s="59">
        <v>0</v>
      </c>
      <c r="U44" s="626"/>
      <c r="V44" s="1" t="s">
        <v>454</v>
      </c>
      <c r="W44" s="612"/>
      <c r="X44" s="82">
        <f>SUM(X45:X47)</f>
        <v>0</v>
      </c>
      <c r="Y44" s="612"/>
      <c r="Z44" s="612"/>
      <c r="AA44" s="612"/>
      <c r="AB44" s="612"/>
      <c r="AC44" s="612"/>
    </row>
    <row r="45" spans="1:29" ht="15" customHeight="1" x14ac:dyDescent="0.25">
      <c r="A45" s="55" t="s">
        <v>79</v>
      </c>
      <c r="B45" s="56" t="s">
        <v>80</v>
      </c>
      <c r="C45" s="213">
        <v>0</v>
      </c>
      <c r="D45" s="223">
        <f t="shared" si="39"/>
        <v>0</v>
      </c>
      <c r="E45" s="238">
        <v>1</v>
      </c>
      <c r="F45" s="239">
        <f t="shared" si="40"/>
        <v>143.33333333333334</v>
      </c>
      <c r="G45" s="240" t="s">
        <v>258</v>
      </c>
      <c r="H45" s="241">
        <f t="shared" ref="H45:H46" si="42">E45*$H$5</f>
        <v>8500</v>
      </c>
      <c r="I45" s="224">
        <f t="shared" si="41"/>
        <v>10625</v>
      </c>
      <c r="R45" s="630" t="s">
        <v>77</v>
      </c>
      <c r="S45" s="631" t="s">
        <v>78</v>
      </c>
      <c r="T45" s="57">
        <v>0</v>
      </c>
      <c r="U45" s="58"/>
      <c r="V45" s="669" t="s">
        <v>454</v>
      </c>
      <c r="W45" s="612"/>
      <c r="X45" s="82">
        <f t="shared" si="6"/>
        <v>0</v>
      </c>
      <c r="Y45" s="612"/>
      <c r="Z45" s="612"/>
      <c r="AA45" s="612"/>
      <c r="AB45" s="612"/>
      <c r="AC45" s="612"/>
    </row>
    <row r="46" spans="1:29" ht="15" customHeight="1" thickBot="1" x14ac:dyDescent="0.3">
      <c r="A46" s="69" t="s">
        <v>81</v>
      </c>
      <c r="B46" s="56" t="s">
        <v>82</v>
      </c>
      <c r="C46" s="213">
        <v>0</v>
      </c>
      <c r="D46" s="223">
        <f t="shared" si="39"/>
        <v>0</v>
      </c>
      <c r="E46" s="238">
        <v>0</v>
      </c>
      <c r="F46" s="239">
        <f t="shared" si="40"/>
        <v>0</v>
      </c>
      <c r="G46" s="240"/>
      <c r="H46" s="241">
        <f t="shared" si="42"/>
        <v>0</v>
      </c>
      <c r="I46" s="224">
        <f t="shared" si="41"/>
        <v>0</v>
      </c>
      <c r="R46" s="630" t="s">
        <v>79</v>
      </c>
      <c r="S46" s="631" t="s">
        <v>80</v>
      </c>
      <c r="T46" s="75">
        <v>0</v>
      </c>
      <c r="U46" s="58"/>
      <c r="V46" s="669" t="s">
        <v>454</v>
      </c>
      <c r="W46" s="612"/>
      <c r="X46" s="82">
        <f t="shared" si="6"/>
        <v>0</v>
      </c>
      <c r="Y46" s="612"/>
      <c r="Z46" s="612"/>
      <c r="AA46" s="612"/>
      <c r="AB46" s="612"/>
      <c r="AC46" s="612"/>
    </row>
    <row r="47" spans="1:29" ht="23.25" thickBot="1" x14ac:dyDescent="0.3">
      <c r="A47" s="246" t="s">
        <v>216</v>
      </c>
      <c r="B47" s="71" t="s">
        <v>84</v>
      </c>
      <c r="C47" s="248">
        <f t="shared" ref="C47:D47" si="43">C9+C13+C18+C25+C35+C39+C43</f>
        <v>19</v>
      </c>
      <c r="D47" s="244">
        <f t="shared" si="43"/>
        <v>2723.3333333333335</v>
      </c>
      <c r="E47" s="226">
        <f>(E9+E13+E18+E25+E35+E39+E43)</f>
        <v>19</v>
      </c>
      <c r="F47" s="227">
        <f>(F9+F13+F18+F25+F35+F39+F43)</f>
        <v>2723.3333333333335</v>
      </c>
      <c r="G47" s="245"/>
      <c r="H47" s="228">
        <f>(H9+H13+H18+H25+H35+H39+H43)</f>
        <v>161500</v>
      </c>
      <c r="I47" s="228">
        <f>(I9+I13+I18+I25+I35+I39+I43)</f>
        <v>201875</v>
      </c>
      <c r="R47" s="635" t="s">
        <v>81</v>
      </c>
      <c r="S47" s="631" t="s">
        <v>82</v>
      </c>
      <c r="T47" s="75">
        <v>0</v>
      </c>
      <c r="U47" s="58"/>
      <c r="V47" s="669" t="s">
        <v>454</v>
      </c>
      <c r="W47" s="612"/>
      <c r="X47" s="82">
        <f t="shared" si="6"/>
        <v>0</v>
      </c>
      <c r="Y47" s="612"/>
      <c r="Z47" s="612"/>
      <c r="AA47" s="612"/>
      <c r="AB47" s="612"/>
      <c r="AC47" s="612"/>
    </row>
    <row r="48" spans="1:29" ht="15.75" thickBot="1" x14ac:dyDescent="0.3">
      <c r="R48" s="636" t="s">
        <v>83</v>
      </c>
      <c r="S48" s="618" t="s">
        <v>84</v>
      </c>
      <c r="T48" s="72">
        <f>SUM(T10+T14+T19+T26+T36+T40+T44)</f>
        <v>21343.625</v>
      </c>
      <c r="U48" s="73"/>
      <c r="V48" s="4"/>
      <c r="W48" s="612"/>
      <c r="X48" s="82">
        <f t="shared" ref="X11:X48" si="44">SUM(T48)</f>
        <v>21343.625</v>
      </c>
      <c r="Y48" s="612"/>
      <c r="Z48" s="612"/>
      <c r="AA48" s="612"/>
      <c r="AB48" s="612"/>
      <c r="AC48" s="612"/>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44B55-F02F-43F3-9FD6-0334EE06DE23}">
  <dimension ref="A1:X53"/>
  <sheetViews>
    <sheetView topLeftCell="G1" workbookViewId="0">
      <selection activeCell="M27" sqref="M27"/>
    </sheetView>
  </sheetViews>
  <sheetFormatPr baseColWidth="10" defaultColWidth="9.140625" defaultRowHeight="15" x14ac:dyDescent="0.25"/>
  <cols>
    <col min="1" max="1" width="64.140625" customWidth="1"/>
    <col min="2" max="2" width="6" style="6" customWidth="1"/>
    <col min="3" max="3" width="14.140625" style="24" customWidth="1"/>
    <col min="4" max="4" width="4" style="24" customWidth="1"/>
    <col min="5" max="5" width="19.5703125" customWidth="1"/>
    <col min="6" max="6" width="11.42578125" bestFit="1" customWidth="1"/>
    <col min="7" max="7" width="51.28515625" customWidth="1"/>
    <col min="8" max="8" width="23.42578125" customWidth="1"/>
    <col min="9" max="9" width="26.7109375" customWidth="1"/>
    <col min="17" max="17" width="55.42578125" customWidth="1"/>
    <col min="22" max="22" width="14.140625" customWidth="1"/>
  </cols>
  <sheetData>
    <row r="1" spans="1:24" x14ac:dyDescent="0.25">
      <c r="R1" s="6"/>
      <c r="S1" s="24"/>
      <c r="T1" s="24"/>
    </row>
    <row r="2" spans="1:24" x14ac:dyDescent="0.25">
      <c r="C2" s="213"/>
      <c r="D2" s="74"/>
      <c r="E2" s="74"/>
      <c r="F2" s="74"/>
      <c r="G2" s="74"/>
      <c r="H2" s="74"/>
      <c r="I2" s="74"/>
      <c r="Q2" s="2"/>
      <c r="R2" s="3"/>
      <c r="S2" s="252" t="s">
        <v>0</v>
      </c>
      <c r="T2" s="252"/>
    </row>
    <row r="3" spans="1:24" x14ac:dyDescent="0.25">
      <c r="A3" t="s">
        <v>84</v>
      </c>
      <c r="C3" s="213"/>
      <c r="D3" s="74"/>
      <c r="E3" s="74"/>
      <c r="F3" s="74"/>
      <c r="G3" s="74"/>
      <c r="H3" s="232" t="s">
        <v>194</v>
      </c>
      <c r="I3" s="243" t="s">
        <v>194</v>
      </c>
      <c r="Q3" s="2"/>
      <c r="R3" s="3"/>
      <c r="S3" s="92" t="s">
        <v>1</v>
      </c>
      <c r="T3" s="92"/>
      <c r="U3" s="6" t="s">
        <v>106</v>
      </c>
      <c r="V3" s="6"/>
      <c r="W3" s="6"/>
      <c r="X3" s="5"/>
    </row>
    <row r="4" spans="1:24" x14ac:dyDescent="0.25">
      <c r="C4" s="214"/>
      <c r="D4" s="74"/>
      <c r="E4" s="74"/>
      <c r="F4" s="74"/>
      <c r="G4" s="74"/>
      <c r="H4" s="235" t="s">
        <v>195</v>
      </c>
      <c r="I4" s="218" t="s">
        <v>196</v>
      </c>
      <c r="Q4" s="2"/>
      <c r="R4" s="3"/>
      <c r="S4" s="92" t="s">
        <v>88</v>
      </c>
      <c r="T4" s="92"/>
      <c r="U4" s="118" t="s">
        <v>89</v>
      </c>
      <c r="V4" s="119"/>
      <c r="W4" s="118" t="s">
        <v>107</v>
      </c>
      <c r="X4" s="119"/>
    </row>
    <row r="5" spans="1:24" x14ac:dyDescent="0.25">
      <c r="A5" s="2"/>
      <c r="B5" s="3"/>
      <c r="C5" s="236" t="s">
        <v>197</v>
      </c>
      <c r="D5" s="237" t="s">
        <v>197</v>
      </c>
      <c r="E5" s="215"/>
      <c r="F5" s="215"/>
      <c r="G5" s="215"/>
      <c r="H5" s="233" t="s">
        <v>198</v>
      </c>
      <c r="I5" s="216" t="s">
        <v>198</v>
      </c>
      <c r="Q5" s="25" t="s">
        <v>108</v>
      </c>
      <c r="R5" s="3" t="s">
        <v>3</v>
      </c>
      <c r="S5" s="92" t="s">
        <v>97</v>
      </c>
      <c r="T5" s="92"/>
      <c r="U5" s="40" t="s">
        <v>93</v>
      </c>
      <c r="V5" s="28" t="s">
        <v>94</v>
      </c>
      <c r="W5" s="40" t="s">
        <v>93</v>
      </c>
      <c r="X5" s="28" t="s">
        <v>94</v>
      </c>
    </row>
    <row r="6" spans="1:24" ht="15" customHeight="1" x14ac:dyDescent="0.25">
      <c r="A6" s="2"/>
      <c r="B6" s="3"/>
      <c r="C6" s="236" t="s">
        <v>199</v>
      </c>
      <c r="D6" s="237" t="s">
        <v>199</v>
      </c>
      <c r="E6" s="229" t="s">
        <v>194</v>
      </c>
      <c r="F6" s="229" t="s">
        <v>194</v>
      </c>
      <c r="G6" s="229" t="s">
        <v>194</v>
      </c>
      <c r="H6" s="234">
        <v>8600</v>
      </c>
      <c r="I6" s="217">
        <v>8600</v>
      </c>
      <c r="K6" t="s">
        <v>433</v>
      </c>
      <c r="Q6" s="2"/>
      <c r="R6" s="3" t="s">
        <v>4</v>
      </c>
      <c r="S6" s="7" t="s">
        <v>84</v>
      </c>
      <c r="T6" s="8"/>
      <c r="U6" s="27"/>
      <c r="V6" s="30">
        <v>65.349999999999994</v>
      </c>
      <c r="W6" s="27"/>
      <c r="X6" s="30">
        <v>50.11</v>
      </c>
    </row>
    <row r="7" spans="1:24" ht="15" customHeight="1" x14ac:dyDescent="0.25">
      <c r="A7" s="2"/>
      <c r="B7" s="3"/>
      <c r="C7" s="236" t="s">
        <v>200</v>
      </c>
      <c r="D7" s="237" t="s">
        <v>200</v>
      </c>
      <c r="E7" s="230" t="s">
        <v>201</v>
      </c>
      <c r="F7" s="230" t="s">
        <v>201</v>
      </c>
      <c r="G7" s="230"/>
      <c r="H7" s="235" t="s">
        <v>201</v>
      </c>
      <c r="I7" s="218" t="s">
        <v>201</v>
      </c>
      <c r="Q7" s="2" t="s">
        <v>141</v>
      </c>
      <c r="R7" s="3" t="s">
        <v>148</v>
      </c>
      <c r="S7" s="7">
        <v>0</v>
      </c>
      <c r="T7" s="8"/>
      <c r="U7" s="27"/>
      <c r="V7" s="30"/>
      <c r="W7" s="27"/>
      <c r="X7" s="30"/>
    </row>
    <row r="8" spans="1:24" ht="15" customHeight="1" x14ac:dyDescent="0.25">
      <c r="A8" s="2"/>
      <c r="B8" s="50" t="s">
        <v>3</v>
      </c>
      <c r="C8" s="236" t="s">
        <v>84</v>
      </c>
      <c r="D8" s="237" t="s">
        <v>84</v>
      </c>
      <c r="E8" s="230" t="s">
        <v>83</v>
      </c>
      <c r="F8" s="230" t="s">
        <v>83</v>
      </c>
      <c r="G8" s="231" t="s">
        <v>202</v>
      </c>
      <c r="H8" s="235" t="s">
        <v>203</v>
      </c>
      <c r="I8" s="218" t="s">
        <v>204</v>
      </c>
      <c r="Q8" s="9" t="s">
        <v>7</v>
      </c>
      <c r="R8" s="10" t="s">
        <v>8</v>
      </c>
      <c r="S8" s="11">
        <f>SUM(V8+X8)*1.25</f>
        <v>13000.737499999999</v>
      </c>
      <c r="T8" s="12"/>
      <c r="U8" s="29">
        <f>SUM(U9:U11)</f>
        <v>146.5</v>
      </c>
      <c r="V8" s="30">
        <f>U8*V$6*(1+X$3)</f>
        <v>9573.7749999999996</v>
      </c>
      <c r="W8" s="29">
        <f>SUM(W9:W11)</f>
        <v>16.5</v>
      </c>
      <c r="X8" s="30">
        <f>W8*X$6*(1+X$3)</f>
        <v>826.81499999999994</v>
      </c>
    </row>
    <row r="9" spans="1:24" ht="15" customHeight="1" x14ac:dyDescent="0.25">
      <c r="A9" s="2"/>
      <c r="B9" s="50" t="s">
        <v>4</v>
      </c>
      <c r="C9" s="236" t="s">
        <v>95</v>
      </c>
      <c r="D9" s="237" t="s">
        <v>205</v>
      </c>
      <c r="E9" s="230" t="s">
        <v>206</v>
      </c>
      <c r="F9" s="230" t="s">
        <v>207</v>
      </c>
      <c r="G9" s="230"/>
      <c r="H9" s="235" t="s">
        <v>208</v>
      </c>
      <c r="I9" s="218" t="s">
        <v>208</v>
      </c>
      <c r="Q9" s="13" t="s">
        <v>9</v>
      </c>
      <c r="R9" s="14" t="s">
        <v>10</v>
      </c>
      <c r="S9" s="89">
        <f>V9+X9</f>
        <v>2578.0949999999998</v>
      </c>
      <c r="T9" s="16"/>
      <c r="U9" s="31">
        <v>36</v>
      </c>
      <c r="V9" s="30">
        <f>U9*V$6*(1+X$3)</f>
        <v>2352.6</v>
      </c>
      <c r="W9" s="31">
        <v>4.5</v>
      </c>
      <c r="X9" s="30">
        <f>W9*X$6*(1+X$3)</f>
        <v>225.495</v>
      </c>
    </row>
    <row r="10" spans="1:24" ht="15" customHeight="1" x14ac:dyDescent="0.25">
      <c r="A10" s="51" t="s">
        <v>7</v>
      </c>
      <c r="B10" s="52" t="s">
        <v>8</v>
      </c>
      <c r="C10" s="247">
        <f t="shared" ref="C10" si="0">SUM(C11:C13)</f>
        <v>3.25</v>
      </c>
      <c r="D10" s="67">
        <f t="shared" ref="D10" si="1">SUM(D11:D13)</f>
        <v>465.83333333333337</v>
      </c>
      <c r="E10" s="220">
        <f>SUM(E11:E13)</f>
        <v>1.2</v>
      </c>
      <c r="F10" s="219">
        <f>E10*(1720/12)</f>
        <v>172</v>
      </c>
      <c r="G10" s="221" t="s">
        <v>250</v>
      </c>
      <c r="H10" s="222">
        <f>SUM(H11:H13)</f>
        <v>10320</v>
      </c>
      <c r="I10" s="222">
        <f>SUM(I11:I13)</f>
        <v>12900</v>
      </c>
      <c r="Q10" s="13" t="s">
        <v>11</v>
      </c>
      <c r="R10" s="14" t="s">
        <v>12</v>
      </c>
      <c r="S10" s="89">
        <f>V10+X10</f>
        <v>5960.0199999999995</v>
      </c>
      <c r="T10" s="16"/>
      <c r="U10" s="31">
        <v>82</v>
      </c>
      <c r="V10" s="30">
        <f>U10*V$6*(1+X$3)</f>
        <v>5358.7</v>
      </c>
      <c r="W10" s="31">
        <v>12</v>
      </c>
      <c r="X10" s="30">
        <f>W10*X$6*(1+X$3)</f>
        <v>601.31999999999994</v>
      </c>
    </row>
    <row r="11" spans="1:24" ht="15" customHeight="1" x14ac:dyDescent="0.25">
      <c r="A11" s="55" t="s">
        <v>9</v>
      </c>
      <c r="B11" s="264" t="s">
        <v>10</v>
      </c>
      <c r="C11" s="265">
        <v>0.25</v>
      </c>
      <c r="D11" s="266">
        <f>C11*1720/12</f>
        <v>35.833333333333336</v>
      </c>
      <c r="E11" s="238">
        <v>0.3</v>
      </c>
      <c r="F11" s="239">
        <f>E11*(1720/12)</f>
        <v>43</v>
      </c>
      <c r="G11" s="240"/>
      <c r="H11" s="241">
        <f>E11*$H$6</f>
        <v>2580</v>
      </c>
      <c r="I11" s="224">
        <f>H11*1.25</f>
        <v>3225</v>
      </c>
      <c r="Q11" s="13" t="s">
        <v>13</v>
      </c>
      <c r="R11" s="14" t="s">
        <v>14</v>
      </c>
      <c r="S11" s="89">
        <f>V11+X11</f>
        <v>1862.4749999999999</v>
      </c>
      <c r="T11" s="16"/>
      <c r="U11" s="31">
        <v>28.5</v>
      </c>
      <c r="V11" s="30">
        <f>U11*V$6*(1+X$3)</f>
        <v>1862.4749999999999</v>
      </c>
      <c r="W11" s="31">
        <v>0</v>
      </c>
      <c r="X11" s="30">
        <f>W11*X$6*(1+X$3)</f>
        <v>0</v>
      </c>
    </row>
    <row r="12" spans="1:24" ht="15" customHeight="1" x14ac:dyDescent="0.25">
      <c r="A12" s="55" t="s">
        <v>11</v>
      </c>
      <c r="B12" s="264" t="s">
        <v>12</v>
      </c>
      <c r="C12" s="265">
        <v>1</v>
      </c>
      <c r="D12" s="266">
        <f t="shared" ref="D12:D13" si="2">C12*1720/12</f>
        <v>143.33333333333334</v>
      </c>
      <c r="E12" s="238">
        <v>0.7</v>
      </c>
      <c r="F12" s="239">
        <f t="shared" ref="F12:F13" si="3">E12*(1720/12)</f>
        <v>100.33333333333333</v>
      </c>
      <c r="G12" s="240"/>
      <c r="H12" s="241">
        <f t="shared" ref="H12:H13" si="4">E12*$H$6</f>
        <v>6020</v>
      </c>
      <c r="I12" s="224">
        <f t="shared" ref="I12:I13" si="5">H12*1.25</f>
        <v>7525</v>
      </c>
      <c r="Q12" s="9" t="s">
        <v>15</v>
      </c>
      <c r="R12" s="10" t="s">
        <v>16</v>
      </c>
      <c r="S12" s="18">
        <f>V12*1.25</f>
        <v>653.5</v>
      </c>
      <c r="T12" s="19"/>
      <c r="U12" s="32">
        <f>SUM(U13:U16)</f>
        <v>8</v>
      </c>
      <c r="V12" s="30">
        <f>U12*V$6*(1+X$3)</f>
        <v>522.79999999999995</v>
      </c>
      <c r="W12" s="32"/>
      <c r="X12" s="30">
        <f>W12*X$6*(1+X$3)</f>
        <v>0</v>
      </c>
    </row>
    <row r="13" spans="1:24" ht="15" customHeight="1" x14ac:dyDescent="0.25">
      <c r="A13" s="55" t="s">
        <v>13</v>
      </c>
      <c r="B13" s="264" t="s">
        <v>14</v>
      </c>
      <c r="C13" s="265">
        <v>2</v>
      </c>
      <c r="D13" s="266">
        <f t="shared" si="2"/>
        <v>286.66666666666669</v>
      </c>
      <c r="E13" s="238">
        <v>0.2</v>
      </c>
      <c r="F13" s="239">
        <f t="shared" si="3"/>
        <v>28.666666666666671</v>
      </c>
      <c r="G13" s="240"/>
      <c r="H13" s="241">
        <f t="shared" si="4"/>
        <v>1720</v>
      </c>
      <c r="I13" s="224">
        <f t="shared" si="5"/>
        <v>2150</v>
      </c>
      <c r="Q13" s="13" t="s">
        <v>17</v>
      </c>
      <c r="R13" s="14" t="s">
        <v>18</v>
      </c>
      <c r="S13" s="15">
        <f>V13</f>
        <v>130.69999999999999</v>
      </c>
      <c r="T13" s="16"/>
      <c r="U13" s="31">
        <v>2</v>
      </c>
      <c r="V13" s="30">
        <f>U13*V$6*(1+X$3)</f>
        <v>130.69999999999999</v>
      </c>
      <c r="W13" s="31">
        <v>0</v>
      </c>
      <c r="X13" s="30">
        <f>W13*X$6*(1+X$3)</f>
        <v>0</v>
      </c>
    </row>
    <row r="14" spans="1:24" ht="15" customHeight="1" x14ac:dyDescent="0.25">
      <c r="A14" s="51" t="s">
        <v>15</v>
      </c>
      <c r="B14" s="267" t="s">
        <v>16</v>
      </c>
      <c r="C14" s="268">
        <f t="shared" ref="C14" si="6">SUM(C15:C18)</f>
        <v>0.5</v>
      </c>
      <c r="D14" s="269">
        <f t="shared" ref="D14" si="7">SUM(D15:D18)</f>
        <v>71.666666666666671</v>
      </c>
      <c r="E14" s="220">
        <f>SUM( E15:E18)</f>
        <v>0.5</v>
      </c>
      <c r="F14" s="219">
        <f>E14*(1720/12)</f>
        <v>71.666666666666671</v>
      </c>
      <c r="G14" s="221" t="s">
        <v>251</v>
      </c>
      <c r="H14" s="222">
        <f>SUM(H15:H18)</f>
        <v>4300</v>
      </c>
      <c r="I14" s="222">
        <f>SUM(I15:I18)</f>
        <v>5375</v>
      </c>
      <c r="Q14" s="13" t="s">
        <v>19</v>
      </c>
      <c r="R14" s="14" t="s">
        <v>20</v>
      </c>
      <c r="S14" s="15">
        <f t="shared" ref="S14:S16" si="8">V14</f>
        <v>0</v>
      </c>
      <c r="T14" s="16"/>
      <c r="U14" s="31">
        <v>0</v>
      </c>
      <c r="V14" s="30">
        <f>U14*V$6*(1+X$3)</f>
        <v>0</v>
      </c>
      <c r="W14" s="31">
        <v>0</v>
      </c>
      <c r="X14" s="30">
        <f>W14*X$6*(1+X$3)</f>
        <v>0</v>
      </c>
    </row>
    <row r="15" spans="1:24" ht="15" customHeight="1" x14ac:dyDescent="0.25">
      <c r="A15" s="55" t="s">
        <v>17</v>
      </c>
      <c r="B15" s="264" t="s">
        <v>18</v>
      </c>
      <c r="C15" s="265">
        <v>0.25</v>
      </c>
      <c r="D15" s="266">
        <f t="shared" ref="D15:D18" si="9">C15*1720/12</f>
        <v>35.833333333333336</v>
      </c>
      <c r="E15" s="238">
        <v>0.25</v>
      </c>
      <c r="F15" s="239">
        <f t="shared" ref="F15:F18" si="10">E15*(1720/12)</f>
        <v>35.833333333333336</v>
      </c>
      <c r="G15" s="240"/>
      <c r="H15" s="241">
        <f>E15*$H$6</f>
        <v>2150</v>
      </c>
      <c r="I15" s="224">
        <f t="shared" ref="I15:I18" si="11">H15*1.25</f>
        <v>2687.5</v>
      </c>
      <c r="Q15" s="13" t="s">
        <v>21</v>
      </c>
      <c r="R15" s="14" t="s">
        <v>22</v>
      </c>
      <c r="S15" s="15">
        <f t="shared" si="8"/>
        <v>196.04999999999998</v>
      </c>
      <c r="T15" s="16"/>
      <c r="U15" s="31">
        <v>3</v>
      </c>
      <c r="V15" s="30">
        <f>U15*V$6*(1+X$3)</f>
        <v>196.04999999999998</v>
      </c>
      <c r="W15" s="31">
        <v>0</v>
      </c>
      <c r="X15" s="30">
        <f>W15*X$6*(1+X$3)</f>
        <v>0</v>
      </c>
    </row>
    <row r="16" spans="1:24" ht="15" customHeight="1" x14ac:dyDescent="0.25">
      <c r="A16" s="55" t="s">
        <v>19</v>
      </c>
      <c r="B16" s="264" t="s">
        <v>20</v>
      </c>
      <c r="C16" s="265">
        <v>0</v>
      </c>
      <c r="D16" s="266">
        <f t="shared" si="9"/>
        <v>0</v>
      </c>
      <c r="E16" s="238">
        <v>0</v>
      </c>
      <c r="F16" s="239">
        <f t="shared" si="10"/>
        <v>0</v>
      </c>
      <c r="G16" s="240"/>
      <c r="H16" s="241">
        <f t="shared" ref="H16:H18" si="12">E16*$H$6</f>
        <v>0</v>
      </c>
      <c r="I16" s="224">
        <f t="shared" si="11"/>
        <v>0</v>
      </c>
      <c r="Q16" s="13" t="s">
        <v>23</v>
      </c>
      <c r="R16" s="14" t="s">
        <v>24</v>
      </c>
      <c r="S16" s="15">
        <f t="shared" si="8"/>
        <v>196.04999999999998</v>
      </c>
      <c r="T16" s="16"/>
      <c r="U16" s="31">
        <v>3</v>
      </c>
      <c r="V16" s="30">
        <f>U16*V$6*(1+X$3)</f>
        <v>196.04999999999998</v>
      </c>
      <c r="W16" s="31">
        <v>0</v>
      </c>
      <c r="X16" s="30">
        <f>W16*X$6*(1+X$3)</f>
        <v>0</v>
      </c>
    </row>
    <row r="17" spans="1:24" ht="15" customHeight="1" x14ac:dyDescent="0.25">
      <c r="A17" s="55" t="s">
        <v>21</v>
      </c>
      <c r="B17" s="264" t="s">
        <v>22</v>
      </c>
      <c r="C17" s="265">
        <v>0</v>
      </c>
      <c r="D17" s="266">
        <f t="shared" si="9"/>
        <v>0</v>
      </c>
      <c r="E17" s="238">
        <v>0</v>
      </c>
      <c r="F17" s="239">
        <f t="shared" si="10"/>
        <v>0</v>
      </c>
      <c r="G17" s="240"/>
      <c r="H17" s="241">
        <f t="shared" si="12"/>
        <v>0</v>
      </c>
      <c r="I17" s="224">
        <f t="shared" si="11"/>
        <v>0</v>
      </c>
      <c r="Q17" s="9" t="s">
        <v>25</v>
      </c>
      <c r="R17" s="10" t="s">
        <v>26</v>
      </c>
      <c r="S17" s="18">
        <f>V17+X17*1.25</f>
        <v>1364.2124999999999</v>
      </c>
      <c r="T17" s="19"/>
      <c r="U17" s="32">
        <f>SUM(U18:U23)</f>
        <v>18</v>
      </c>
      <c r="V17" s="30">
        <f>U17*V$6*(1+X$3)</f>
        <v>1176.3</v>
      </c>
      <c r="W17" s="32">
        <f>SUM(W18:W23)</f>
        <v>3</v>
      </c>
      <c r="X17" s="30">
        <f>W17*X$6*(1+X$3)</f>
        <v>150.32999999999998</v>
      </c>
    </row>
    <row r="18" spans="1:24" ht="15" customHeight="1" x14ac:dyDescent="0.25">
      <c r="A18" s="55" t="s">
        <v>23</v>
      </c>
      <c r="B18" s="264" t="s">
        <v>24</v>
      </c>
      <c r="C18" s="265">
        <v>0.25</v>
      </c>
      <c r="D18" s="266">
        <f t="shared" si="9"/>
        <v>35.833333333333336</v>
      </c>
      <c r="E18" s="238">
        <v>0.25</v>
      </c>
      <c r="F18" s="239">
        <f t="shared" si="10"/>
        <v>35.833333333333336</v>
      </c>
      <c r="G18" s="240"/>
      <c r="H18" s="241">
        <f t="shared" si="12"/>
        <v>2150</v>
      </c>
      <c r="I18" s="224">
        <f t="shared" si="11"/>
        <v>2687.5</v>
      </c>
      <c r="Q18" s="13" t="s">
        <v>27</v>
      </c>
      <c r="R18" s="14" t="s">
        <v>28</v>
      </c>
      <c r="S18" s="15">
        <f>SUM(V18+X18)</f>
        <v>653.5</v>
      </c>
      <c r="T18" s="16"/>
      <c r="U18" s="31">
        <v>10</v>
      </c>
      <c r="V18" s="30">
        <f>U18*V$6*(1+X$3)</f>
        <v>653.5</v>
      </c>
      <c r="W18" s="31">
        <v>0</v>
      </c>
      <c r="X18" s="30">
        <f>W18*X$6*(1+X$3)</f>
        <v>0</v>
      </c>
    </row>
    <row r="19" spans="1:24" ht="15" customHeight="1" x14ac:dyDescent="0.25">
      <c r="A19" s="51" t="s">
        <v>25</v>
      </c>
      <c r="B19" s="267" t="s">
        <v>26</v>
      </c>
      <c r="C19" s="268">
        <f t="shared" ref="C19" si="13">SUM(C20:C25)</f>
        <v>3.5</v>
      </c>
      <c r="D19" s="269">
        <f t="shared" ref="D19" si="14">SUM(D20:D25)</f>
        <v>501.66666666666669</v>
      </c>
      <c r="E19" s="220">
        <f>SUM(E20:E25)</f>
        <v>3.5</v>
      </c>
      <c r="F19" s="219">
        <f>E19*(1720/12)</f>
        <v>501.66666666666669</v>
      </c>
      <c r="G19" s="221" t="s">
        <v>252</v>
      </c>
      <c r="H19" s="222">
        <f>SUM(H20:H25)</f>
        <v>30100</v>
      </c>
      <c r="I19" s="222">
        <f>SUM(I20:I25)</f>
        <v>37625</v>
      </c>
      <c r="Q19" s="13" t="s">
        <v>29</v>
      </c>
      <c r="R19" s="14" t="s">
        <v>30</v>
      </c>
      <c r="S19" s="15">
        <f t="shared" ref="S19:S23" si="15">SUM(V19+X19)</f>
        <v>673.12999999999988</v>
      </c>
      <c r="T19" s="16"/>
      <c r="U19" s="31">
        <v>8</v>
      </c>
      <c r="V19" s="30">
        <f>U19*V$6*(1+X$3)</f>
        <v>522.79999999999995</v>
      </c>
      <c r="W19" s="31">
        <v>3</v>
      </c>
      <c r="X19" s="30">
        <f>W19*X$6*(1+X$3)</f>
        <v>150.32999999999998</v>
      </c>
    </row>
    <row r="20" spans="1:24" ht="15" customHeight="1" x14ac:dyDescent="0.25">
      <c r="A20" s="55" t="s">
        <v>27</v>
      </c>
      <c r="B20" s="264" t="s">
        <v>28</v>
      </c>
      <c r="C20" s="265">
        <v>0.5</v>
      </c>
      <c r="D20" s="266">
        <f t="shared" ref="D20:D25" si="16">C20*1720/12</f>
        <v>71.666666666666671</v>
      </c>
      <c r="E20" s="238">
        <v>0.5</v>
      </c>
      <c r="F20" s="239">
        <f t="shared" ref="F20:F25" si="17">E20*(1720/12)</f>
        <v>71.666666666666671</v>
      </c>
      <c r="G20" s="240"/>
      <c r="H20" s="241">
        <f>E20*$H$6</f>
        <v>4300</v>
      </c>
      <c r="I20" s="224">
        <f t="shared" ref="I20:I25" si="18">H20*1.25</f>
        <v>5375</v>
      </c>
      <c r="Q20" s="13" t="s">
        <v>31</v>
      </c>
      <c r="R20" s="14" t="s">
        <v>32</v>
      </c>
      <c r="S20" s="15">
        <f t="shared" si="15"/>
        <v>0</v>
      </c>
      <c r="T20" s="16"/>
      <c r="U20" s="31">
        <v>0</v>
      </c>
      <c r="V20" s="30">
        <f>U20*V$6*(1+X$3)</f>
        <v>0</v>
      </c>
      <c r="W20" s="31">
        <v>0</v>
      </c>
      <c r="X20" s="30">
        <f>W20*X$6*(1+X$3)</f>
        <v>0</v>
      </c>
    </row>
    <row r="21" spans="1:24" ht="15" customHeight="1" x14ac:dyDescent="0.25">
      <c r="A21" s="55" t="s">
        <v>29</v>
      </c>
      <c r="B21" s="264" t="s">
        <v>30</v>
      </c>
      <c r="C21" s="265">
        <v>0</v>
      </c>
      <c r="D21" s="266">
        <f t="shared" si="16"/>
        <v>0</v>
      </c>
      <c r="E21" s="238">
        <v>0</v>
      </c>
      <c r="F21" s="239">
        <f t="shared" si="17"/>
        <v>0</v>
      </c>
      <c r="G21" s="240"/>
      <c r="H21" s="241">
        <f t="shared" ref="H21:H25" si="19">E21*$H$6</f>
        <v>0</v>
      </c>
      <c r="I21" s="224">
        <f t="shared" si="18"/>
        <v>0</v>
      </c>
      <c r="Q21" s="13" t="s">
        <v>33</v>
      </c>
      <c r="R21" s="14" t="s">
        <v>34</v>
      </c>
      <c r="S21" s="15">
        <f t="shared" si="15"/>
        <v>0</v>
      </c>
      <c r="T21" s="16"/>
      <c r="U21" s="31">
        <v>0</v>
      </c>
      <c r="V21" s="30">
        <f>U21*V$6*(1+X$3)</f>
        <v>0</v>
      </c>
      <c r="W21" s="31">
        <v>0</v>
      </c>
      <c r="X21" s="30">
        <f>W21*X$6*(1+X$3)</f>
        <v>0</v>
      </c>
    </row>
    <row r="22" spans="1:24" ht="15" customHeight="1" x14ac:dyDescent="0.25">
      <c r="A22" s="55" t="s">
        <v>31</v>
      </c>
      <c r="B22" s="264" t="s">
        <v>32</v>
      </c>
      <c r="C22" s="265">
        <v>1</v>
      </c>
      <c r="D22" s="266">
        <f t="shared" si="16"/>
        <v>143.33333333333334</v>
      </c>
      <c r="E22" s="238">
        <v>1</v>
      </c>
      <c r="F22" s="239">
        <f t="shared" si="17"/>
        <v>143.33333333333334</v>
      </c>
      <c r="G22" s="240"/>
      <c r="H22" s="241">
        <f t="shared" si="19"/>
        <v>8600</v>
      </c>
      <c r="I22" s="224">
        <f t="shared" si="18"/>
        <v>10750</v>
      </c>
      <c r="Q22" s="13" t="s">
        <v>35</v>
      </c>
      <c r="R22" s="14" t="s">
        <v>36</v>
      </c>
      <c r="S22" s="15">
        <f t="shared" si="15"/>
        <v>0</v>
      </c>
      <c r="T22" s="16"/>
      <c r="U22" s="31">
        <v>0</v>
      </c>
      <c r="V22" s="30">
        <f>U22*V$6*(1+X$3)</f>
        <v>0</v>
      </c>
      <c r="W22" s="31">
        <v>0</v>
      </c>
      <c r="X22" s="30">
        <f>W22*X$6*(1+X$3)</f>
        <v>0</v>
      </c>
    </row>
    <row r="23" spans="1:24" ht="15" customHeight="1" x14ac:dyDescent="0.25">
      <c r="A23" s="55" t="s">
        <v>33</v>
      </c>
      <c r="B23" s="264" t="s">
        <v>34</v>
      </c>
      <c r="C23" s="265">
        <v>0</v>
      </c>
      <c r="D23" s="266">
        <f t="shared" si="16"/>
        <v>0</v>
      </c>
      <c r="E23" s="238">
        <v>0</v>
      </c>
      <c r="F23" s="239">
        <f t="shared" si="17"/>
        <v>0</v>
      </c>
      <c r="G23" s="240"/>
      <c r="H23" s="241">
        <f t="shared" si="19"/>
        <v>0</v>
      </c>
      <c r="I23" s="224">
        <f t="shared" si="18"/>
        <v>0</v>
      </c>
      <c r="Q23" s="13" t="s">
        <v>37</v>
      </c>
      <c r="R23" s="14" t="s">
        <v>38</v>
      </c>
      <c r="S23" s="15">
        <f t="shared" si="15"/>
        <v>0</v>
      </c>
      <c r="T23" s="16"/>
      <c r="U23" s="31">
        <v>0</v>
      </c>
      <c r="V23" s="30">
        <f>U23*V$6*(1+X$3)</f>
        <v>0</v>
      </c>
      <c r="W23" s="31">
        <v>0</v>
      </c>
      <c r="X23" s="30">
        <f>W23*X$6*(1+X$3)</f>
        <v>0</v>
      </c>
    </row>
    <row r="24" spans="1:24" ht="15" customHeight="1" x14ac:dyDescent="0.25">
      <c r="A24" s="55" t="s">
        <v>35</v>
      </c>
      <c r="B24" s="264" t="s">
        <v>36</v>
      </c>
      <c r="C24" s="265">
        <v>0</v>
      </c>
      <c r="D24" s="266">
        <f t="shared" si="16"/>
        <v>0</v>
      </c>
      <c r="E24" s="238">
        <v>0</v>
      </c>
      <c r="F24" s="239">
        <f t="shared" si="17"/>
        <v>0</v>
      </c>
      <c r="G24" s="240"/>
      <c r="H24" s="241">
        <f t="shared" si="19"/>
        <v>0</v>
      </c>
      <c r="I24" s="224">
        <f t="shared" si="18"/>
        <v>0</v>
      </c>
      <c r="Q24" s="9" t="s">
        <v>39</v>
      </c>
      <c r="R24" s="10" t="s">
        <v>40</v>
      </c>
      <c r="S24" s="18">
        <f>SUM(V24+X24)*1.25</f>
        <v>653.5</v>
      </c>
      <c r="T24" s="20"/>
      <c r="U24" s="32">
        <f>SUM(U25:U33)</f>
        <v>8</v>
      </c>
      <c r="V24" s="30">
        <f>U24*V$6*(1+X$3)</f>
        <v>522.79999999999995</v>
      </c>
      <c r="W24" s="32"/>
      <c r="X24" s="30">
        <f>W24*X$6*(1+X$3)</f>
        <v>0</v>
      </c>
    </row>
    <row r="25" spans="1:24" ht="15" customHeight="1" x14ac:dyDescent="0.25">
      <c r="A25" s="65" t="s">
        <v>37</v>
      </c>
      <c r="B25" s="270" t="s">
        <v>38</v>
      </c>
      <c r="C25" s="265">
        <v>2</v>
      </c>
      <c r="D25" s="266">
        <f t="shared" si="16"/>
        <v>286.66666666666669</v>
      </c>
      <c r="E25" s="238">
        <v>2</v>
      </c>
      <c r="F25" s="239">
        <f t="shared" si="17"/>
        <v>286.66666666666669</v>
      </c>
      <c r="G25" s="240"/>
      <c r="H25" s="241">
        <f t="shared" si="19"/>
        <v>17200</v>
      </c>
      <c r="I25" s="224">
        <f t="shared" si="18"/>
        <v>21500</v>
      </c>
      <c r="Q25" s="21" t="s">
        <v>41</v>
      </c>
      <c r="R25" s="14" t="s">
        <v>42</v>
      </c>
      <c r="S25" s="15">
        <f>SUM(V25+X25)</f>
        <v>65.349999999999994</v>
      </c>
      <c r="T25" s="16"/>
      <c r="U25" s="31">
        <v>1</v>
      </c>
      <c r="V25" s="30">
        <f>U25*V$6*(1+X$3)</f>
        <v>65.349999999999994</v>
      </c>
      <c r="W25" s="31">
        <v>0</v>
      </c>
      <c r="X25" s="30">
        <f>W25*X$6*(1+X$3)</f>
        <v>0</v>
      </c>
    </row>
    <row r="26" spans="1:24" ht="15" customHeight="1" x14ac:dyDescent="0.25">
      <c r="A26" s="51" t="s">
        <v>212</v>
      </c>
      <c r="B26" s="267" t="s">
        <v>40</v>
      </c>
      <c r="C26" s="268">
        <f t="shared" ref="C26" si="20">SUM(C27:C35)</f>
        <v>9</v>
      </c>
      <c r="D26" s="269">
        <f t="shared" ref="D26" si="21">SUM(D27:D35)</f>
        <v>1290.0000000000002</v>
      </c>
      <c r="E26" s="220">
        <f>SUM(E27:E35)</f>
        <v>9.0500000000000007</v>
      </c>
      <c r="F26" s="219">
        <f>E26*(1720/12)</f>
        <v>1297.1666666666667</v>
      </c>
      <c r="G26" s="221" t="s">
        <v>253</v>
      </c>
      <c r="H26" s="222">
        <f>SUM(H27:H35)</f>
        <v>77830</v>
      </c>
      <c r="I26" s="222">
        <f>SUM(I27:I35)</f>
        <v>97287.5</v>
      </c>
      <c r="Q26" s="21" t="s">
        <v>43</v>
      </c>
      <c r="R26" s="14" t="s">
        <v>44</v>
      </c>
      <c r="S26" s="15">
        <f t="shared" ref="S26:S33" si="22">SUM(V26+X26)</f>
        <v>196.04999999999998</v>
      </c>
      <c r="T26" s="16"/>
      <c r="U26" s="31">
        <v>3</v>
      </c>
      <c r="V26" s="30">
        <f>U26*V$6*(1+X$3)</f>
        <v>196.04999999999998</v>
      </c>
      <c r="W26" s="31">
        <v>0</v>
      </c>
      <c r="X26" s="30">
        <f>W26*X$6*(1+X$3)</f>
        <v>0</v>
      </c>
    </row>
    <row r="27" spans="1:24" ht="15" customHeight="1" x14ac:dyDescent="0.25">
      <c r="A27" s="69" t="s">
        <v>213</v>
      </c>
      <c r="B27" s="264" t="s">
        <v>42</v>
      </c>
      <c r="C27" s="265">
        <v>0</v>
      </c>
      <c r="D27" s="266">
        <f t="shared" ref="D27:D35" si="23">C27*1720/12</f>
        <v>0</v>
      </c>
      <c r="E27" s="238">
        <v>0</v>
      </c>
      <c r="F27" s="239">
        <f t="shared" ref="F27:F35" si="24">E27*(1720/12)</f>
        <v>0</v>
      </c>
      <c r="G27" s="240"/>
      <c r="H27" s="241">
        <f>E27*$H$6</f>
        <v>0</v>
      </c>
      <c r="I27" s="224">
        <f t="shared" ref="I27:I35" si="25">H27*1.25</f>
        <v>0</v>
      </c>
      <c r="Q27" s="22" t="s">
        <v>45</v>
      </c>
      <c r="R27" s="81" t="s">
        <v>46</v>
      </c>
      <c r="S27" s="15">
        <f t="shared" si="22"/>
        <v>261.39999999999998</v>
      </c>
      <c r="T27" s="16"/>
      <c r="U27" s="31">
        <v>4</v>
      </c>
      <c r="V27" s="30">
        <f>U27*V$6*(1+X$3)</f>
        <v>261.39999999999998</v>
      </c>
      <c r="W27" s="31">
        <v>0</v>
      </c>
      <c r="X27" s="30">
        <f>W27*X$6*(1+X$3)</f>
        <v>0</v>
      </c>
    </row>
    <row r="28" spans="1:24" ht="15" customHeight="1" x14ac:dyDescent="0.25">
      <c r="A28" s="70" t="s">
        <v>43</v>
      </c>
      <c r="B28" s="270" t="s">
        <v>44</v>
      </c>
      <c r="C28" s="265">
        <v>3.5</v>
      </c>
      <c r="D28" s="266">
        <f t="shared" si="23"/>
        <v>501.66666666666669</v>
      </c>
      <c r="E28" s="238">
        <v>3.5</v>
      </c>
      <c r="F28" s="239">
        <f t="shared" si="24"/>
        <v>501.66666666666669</v>
      </c>
      <c r="G28" s="240"/>
      <c r="H28" s="241">
        <f t="shared" ref="H28:H35" si="26">E28*$H$6</f>
        <v>30100</v>
      </c>
      <c r="I28" s="224">
        <f t="shared" si="25"/>
        <v>37625</v>
      </c>
      <c r="Q28" s="21" t="s">
        <v>47</v>
      </c>
      <c r="R28" s="14" t="s">
        <v>48</v>
      </c>
      <c r="S28" s="15">
        <f t="shared" si="22"/>
        <v>0</v>
      </c>
      <c r="T28" s="16"/>
      <c r="U28" s="31">
        <v>0</v>
      </c>
      <c r="V28" s="30">
        <f>U28*V$6*(1+X$3)</f>
        <v>0</v>
      </c>
      <c r="W28" s="31">
        <v>0</v>
      </c>
      <c r="X28" s="30">
        <f>W28*X$6*(1+X$3)</f>
        <v>0</v>
      </c>
    </row>
    <row r="29" spans="1:24" ht="15" customHeight="1" x14ac:dyDescent="0.25">
      <c r="A29" s="69" t="s">
        <v>45</v>
      </c>
      <c r="B29" s="264" t="s">
        <v>46</v>
      </c>
      <c r="C29" s="265">
        <v>4</v>
      </c>
      <c r="D29" s="266">
        <f t="shared" si="23"/>
        <v>573.33333333333337</v>
      </c>
      <c r="E29" s="238">
        <v>4.05</v>
      </c>
      <c r="F29" s="239">
        <f t="shared" si="24"/>
        <v>580.5</v>
      </c>
      <c r="G29" s="240" t="s">
        <v>253</v>
      </c>
      <c r="H29" s="241">
        <f t="shared" si="26"/>
        <v>34830</v>
      </c>
      <c r="I29" s="224">
        <f t="shared" si="25"/>
        <v>43537.5</v>
      </c>
      <c r="Q29" s="21" t="s">
        <v>49</v>
      </c>
      <c r="R29" s="14" t="s">
        <v>50</v>
      </c>
      <c r="S29" s="15">
        <f t="shared" si="22"/>
        <v>0</v>
      </c>
      <c r="T29" s="16"/>
      <c r="U29" s="31">
        <v>0</v>
      </c>
      <c r="V29" s="30">
        <f>U29*V$6*(1+X$3)</f>
        <v>0</v>
      </c>
      <c r="W29" s="31">
        <v>0</v>
      </c>
      <c r="X29" s="30">
        <f>W29*X$6*(1+X$3)</f>
        <v>0</v>
      </c>
    </row>
    <row r="30" spans="1:24" ht="15" customHeight="1" x14ac:dyDescent="0.25">
      <c r="A30" s="69" t="s">
        <v>47</v>
      </c>
      <c r="B30" s="264" t="s">
        <v>48</v>
      </c>
      <c r="C30" s="265">
        <v>0.5</v>
      </c>
      <c r="D30" s="266">
        <f t="shared" si="23"/>
        <v>71.666666666666671</v>
      </c>
      <c r="E30" s="238">
        <v>0.5</v>
      </c>
      <c r="F30" s="239">
        <f t="shared" si="24"/>
        <v>71.666666666666671</v>
      </c>
      <c r="G30" s="240"/>
      <c r="H30" s="241">
        <f t="shared" si="26"/>
        <v>4300</v>
      </c>
      <c r="I30" s="224">
        <f t="shared" si="25"/>
        <v>5375</v>
      </c>
      <c r="Q30" s="21" t="s">
        <v>51</v>
      </c>
      <c r="R30" s="14" t="s">
        <v>52</v>
      </c>
      <c r="S30" s="15">
        <f t="shared" si="22"/>
        <v>0</v>
      </c>
      <c r="T30" s="16"/>
      <c r="U30" s="31">
        <v>0</v>
      </c>
      <c r="V30" s="30">
        <f>U30*V$6*(1+X$3)</f>
        <v>0</v>
      </c>
      <c r="W30" s="31">
        <v>0</v>
      </c>
      <c r="X30" s="30">
        <f>W30*X$6*(1+X$3)</f>
        <v>0</v>
      </c>
    </row>
    <row r="31" spans="1:24" ht="15" customHeight="1" x14ac:dyDescent="0.25">
      <c r="A31" s="70" t="s">
        <v>214</v>
      </c>
      <c r="B31" s="270" t="s">
        <v>50</v>
      </c>
      <c r="C31" s="265">
        <v>0</v>
      </c>
      <c r="D31" s="266">
        <f t="shared" si="23"/>
        <v>0</v>
      </c>
      <c r="E31" s="238">
        <v>0</v>
      </c>
      <c r="F31" s="239">
        <f t="shared" si="24"/>
        <v>0</v>
      </c>
      <c r="G31" s="240"/>
      <c r="H31" s="241">
        <f t="shared" si="26"/>
        <v>0</v>
      </c>
      <c r="I31" s="224">
        <f t="shared" si="25"/>
        <v>0</v>
      </c>
      <c r="Q31" s="21" t="s">
        <v>53</v>
      </c>
      <c r="R31" s="14" t="s">
        <v>54</v>
      </c>
      <c r="S31" s="15">
        <f t="shared" si="22"/>
        <v>0</v>
      </c>
      <c r="T31" s="16"/>
      <c r="U31" s="31">
        <v>0</v>
      </c>
      <c r="V31" s="30">
        <f>U31*V$6*(1+X$3)</f>
        <v>0</v>
      </c>
      <c r="W31" s="31">
        <v>0</v>
      </c>
      <c r="X31" s="30">
        <f>W31*X$6*(1+X$3)</f>
        <v>0</v>
      </c>
    </row>
    <row r="32" spans="1:24" ht="15" customHeight="1" x14ac:dyDescent="0.25">
      <c r="A32" s="69" t="s">
        <v>51</v>
      </c>
      <c r="B32" s="264" t="s">
        <v>52</v>
      </c>
      <c r="C32" s="265">
        <v>0</v>
      </c>
      <c r="D32" s="266">
        <f t="shared" si="23"/>
        <v>0</v>
      </c>
      <c r="E32" s="238">
        <v>0</v>
      </c>
      <c r="F32" s="239">
        <f t="shared" si="24"/>
        <v>0</v>
      </c>
      <c r="G32" s="240"/>
      <c r="H32" s="241">
        <f t="shared" si="26"/>
        <v>0</v>
      </c>
      <c r="I32" s="224">
        <f t="shared" si="25"/>
        <v>0</v>
      </c>
      <c r="Q32" s="13" t="s">
        <v>55</v>
      </c>
      <c r="R32" s="14" t="s">
        <v>56</v>
      </c>
      <c r="S32" s="15">
        <f t="shared" si="22"/>
        <v>0</v>
      </c>
      <c r="T32" s="16"/>
      <c r="U32" s="31">
        <v>0</v>
      </c>
      <c r="V32" s="30">
        <f>U32*V$6*(1+X$3)</f>
        <v>0</v>
      </c>
      <c r="W32" s="31">
        <v>0</v>
      </c>
      <c r="X32" s="30">
        <f>W32*X$6*(1+X$3)</f>
        <v>0</v>
      </c>
    </row>
    <row r="33" spans="1:24" ht="15" customHeight="1" x14ac:dyDescent="0.25">
      <c r="A33" s="69" t="s">
        <v>53</v>
      </c>
      <c r="B33" s="264" t="s">
        <v>54</v>
      </c>
      <c r="C33" s="265">
        <v>0.5</v>
      </c>
      <c r="D33" s="266">
        <f t="shared" si="23"/>
        <v>71.666666666666671</v>
      </c>
      <c r="E33" s="238">
        <v>0.5</v>
      </c>
      <c r="F33" s="239">
        <f t="shared" si="24"/>
        <v>71.666666666666671</v>
      </c>
      <c r="G33" s="240"/>
      <c r="H33" s="241">
        <f t="shared" si="26"/>
        <v>4300</v>
      </c>
      <c r="I33" s="224">
        <f t="shared" si="25"/>
        <v>5375</v>
      </c>
      <c r="Q33" s="13" t="s">
        <v>57</v>
      </c>
      <c r="R33" s="14" t="s">
        <v>58</v>
      </c>
      <c r="S33" s="15">
        <f t="shared" si="22"/>
        <v>0</v>
      </c>
      <c r="T33" s="16"/>
      <c r="U33" s="31">
        <v>0</v>
      </c>
      <c r="V33" s="30">
        <f>U33*V$6*(1+X$3)</f>
        <v>0</v>
      </c>
      <c r="W33" s="31">
        <v>0</v>
      </c>
      <c r="X33" s="30">
        <f>W33*X$6*(1+X$3)</f>
        <v>0</v>
      </c>
    </row>
    <row r="34" spans="1:24" ht="15" customHeight="1" x14ac:dyDescent="0.25">
      <c r="A34" s="55" t="s">
        <v>55</v>
      </c>
      <c r="B34" s="264" t="s">
        <v>56</v>
      </c>
      <c r="C34" s="265">
        <v>0</v>
      </c>
      <c r="D34" s="266">
        <f t="shared" si="23"/>
        <v>0</v>
      </c>
      <c r="E34" s="238">
        <v>0</v>
      </c>
      <c r="F34" s="239">
        <f t="shared" si="24"/>
        <v>0</v>
      </c>
      <c r="G34" s="240"/>
      <c r="H34" s="241">
        <f t="shared" si="26"/>
        <v>0</v>
      </c>
      <c r="I34" s="224">
        <f t="shared" si="25"/>
        <v>0</v>
      </c>
      <c r="Q34" s="9" t="s">
        <v>59</v>
      </c>
      <c r="R34" s="10" t="s">
        <v>60</v>
      </c>
      <c r="S34" s="18">
        <v>0</v>
      </c>
      <c r="T34" s="20"/>
      <c r="U34" s="32">
        <f>SUM(U35:U37)</f>
        <v>0</v>
      </c>
      <c r="V34" s="30">
        <f>U34*V$6*(1+X$3)</f>
        <v>0</v>
      </c>
      <c r="W34" s="32"/>
      <c r="X34" s="30">
        <f>W34*X$6*(1+X$3)</f>
        <v>0</v>
      </c>
    </row>
    <row r="35" spans="1:24" ht="15" customHeight="1" x14ac:dyDescent="0.25">
      <c r="A35" s="55" t="s">
        <v>57</v>
      </c>
      <c r="B35" s="264" t="s">
        <v>58</v>
      </c>
      <c r="C35" s="265">
        <v>0.5</v>
      </c>
      <c r="D35" s="266">
        <f t="shared" si="23"/>
        <v>71.666666666666671</v>
      </c>
      <c r="E35" s="238">
        <v>0.5</v>
      </c>
      <c r="F35" s="239">
        <f t="shared" si="24"/>
        <v>71.666666666666671</v>
      </c>
      <c r="G35" s="240"/>
      <c r="H35" s="241">
        <f t="shared" si="26"/>
        <v>4300</v>
      </c>
      <c r="I35" s="224">
        <f t="shared" si="25"/>
        <v>5375</v>
      </c>
      <c r="Q35" s="13" t="s">
        <v>61</v>
      </c>
      <c r="R35" s="14" t="s">
        <v>62</v>
      </c>
      <c r="S35" s="15">
        <v>0</v>
      </c>
      <c r="T35" s="16"/>
      <c r="U35" s="31">
        <v>0</v>
      </c>
      <c r="V35" s="30">
        <f>U35*V$6*(1+X$3)</f>
        <v>0</v>
      </c>
      <c r="W35" s="31">
        <v>0</v>
      </c>
      <c r="X35" s="30">
        <f>W35*X$6*(1+X$3)</f>
        <v>0</v>
      </c>
    </row>
    <row r="36" spans="1:24" ht="15" customHeight="1" x14ac:dyDescent="0.25">
      <c r="A36" s="51" t="s">
        <v>59</v>
      </c>
      <c r="B36" s="267" t="s">
        <v>60</v>
      </c>
      <c r="C36" s="268">
        <f t="shared" ref="C36" si="27">SUM(C37:C39)</f>
        <v>0.75</v>
      </c>
      <c r="D36" s="269">
        <f t="shared" ref="D36" si="28">SUM(D37:D39)</f>
        <v>107.5</v>
      </c>
      <c r="E36" s="220">
        <f>SUM(E37:E39)</f>
        <v>0.75</v>
      </c>
      <c r="F36" s="219">
        <f>E36*(1720/12)</f>
        <v>107.5</v>
      </c>
      <c r="G36" s="221" t="s">
        <v>251</v>
      </c>
      <c r="H36" s="222">
        <f>SUM(H37:H39)</f>
        <v>6450</v>
      </c>
      <c r="I36" s="222">
        <f>SUM(I37:I39)</f>
        <v>8062.5</v>
      </c>
      <c r="Q36" s="13" t="s">
        <v>63</v>
      </c>
      <c r="R36" s="14" t="s">
        <v>64</v>
      </c>
      <c r="S36" s="15">
        <v>0</v>
      </c>
      <c r="T36" s="16"/>
      <c r="U36" s="31">
        <v>0</v>
      </c>
      <c r="V36" s="30">
        <f>U36*V$6*(1+X$3)</f>
        <v>0</v>
      </c>
      <c r="W36" s="31">
        <v>0</v>
      </c>
      <c r="X36" s="30">
        <f>W36*X$6*(1+X$3)</f>
        <v>0</v>
      </c>
    </row>
    <row r="37" spans="1:24" ht="15" customHeight="1" x14ac:dyDescent="0.25">
      <c r="A37" s="65" t="s">
        <v>61</v>
      </c>
      <c r="B37" s="270" t="s">
        <v>62</v>
      </c>
      <c r="C37" s="265">
        <v>0.25</v>
      </c>
      <c r="D37" s="266">
        <f t="shared" ref="D37:D39" si="29">C37*1720/12</f>
        <v>35.833333333333336</v>
      </c>
      <c r="E37" s="238">
        <v>0.25</v>
      </c>
      <c r="F37" s="239">
        <f t="shared" ref="F37:F39" si="30">E37*(1720/12)</f>
        <v>35.833333333333336</v>
      </c>
      <c r="G37" s="240"/>
      <c r="H37" s="241">
        <f>E37*$H$6</f>
        <v>2150</v>
      </c>
      <c r="I37" s="224">
        <f t="shared" ref="I37:I39" si="31">H37*1.25</f>
        <v>2687.5</v>
      </c>
      <c r="Q37" s="13" t="s">
        <v>65</v>
      </c>
      <c r="R37" s="14" t="s">
        <v>66</v>
      </c>
      <c r="S37" s="15">
        <v>0</v>
      </c>
      <c r="T37" s="16"/>
      <c r="U37" s="31">
        <v>0</v>
      </c>
      <c r="V37" s="30">
        <f>U37*V$6*(1+X$3)</f>
        <v>0</v>
      </c>
      <c r="W37" s="31">
        <v>0</v>
      </c>
      <c r="X37" s="30">
        <f>W37*X$6*(1+X$3)</f>
        <v>0</v>
      </c>
    </row>
    <row r="38" spans="1:24" ht="15" customHeight="1" x14ac:dyDescent="0.25">
      <c r="A38" s="65" t="s">
        <v>215</v>
      </c>
      <c r="B38" s="270" t="s">
        <v>64</v>
      </c>
      <c r="C38" s="265">
        <v>0.25</v>
      </c>
      <c r="D38" s="266">
        <f t="shared" si="29"/>
        <v>35.833333333333336</v>
      </c>
      <c r="E38" s="238">
        <v>0.25</v>
      </c>
      <c r="F38" s="239">
        <f t="shared" si="30"/>
        <v>35.833333333333336</v>
      </c>
      <c r="G38" s="242"/>
      <c r="H38" s="241">
        <f t="shared" ref="H38:H39" si="32">E38*$H$6</f>
        <v>2150</v>
      </c>
      <c r="I38" s="224">
        <f t="shared" si="31"/>
        <v>2687.5</v>
      </c>
      <c r="Q38" s="9" t="s">
        <v>67</v>
      </c>
      <c r="R38" s="10" t="s">
        <v>68</v>
      </c>
      <c r="S38" s="18">
        <f>SUM(V38+X38)*1.25</f>
        <v>408.4375</v>
      </c>
      <c r="T38" s="20"/>
      <c r="U38" s="32">
        <f>SUM(U39:U41)</f>
        <v>5</v>
      </c>
      <c r="V38" s="30">
        <f>U38*V$6*(1+X$3)</f>
        <v>326.75</v>
      </c>
      <c r="W38" s="32"/>
      <c r="X38" s="30">
        <f>W38*X$6*(1+X$3)</f>
        <v>0</v>
      </c>
    </row>
    <row r="39" spans="1:24" ht="15" customHeight="1" x14ac:dyDescent="0.25">
      <c r="A39" s="65" t="s">
        <v>65</v>
      </c>
      <c r="B39" s="270" t="s">
        <v>66</v>
      </c>
      <c r="C39" s="265">
        <v>0.25</v>
      </c>
      <c r="D39" s="266">
        <f t="shared" si="29"/>
        <v>35.833333333333336</v>
      </c>
      <c r="E39" s="238">
        <v>0.25</v>
      </c>
      <c r="F39" s="239">
        <f t="shared" si="30"/>
        <v>35.833333333333336</v>
      </c>
      <c r="G39" s="240"/>
      <c r="H39" s="241">
        <f t="shared" si="32"/>
        <v>2150</v>
      </c>
      <c r="I39" s="224">
        <f t="shared" si="31"/>
        <v>2687.5</v>
      </c>
      <c r="Q39" s="13" t="s">
        <v>69</v>
      </c>
      <c r="R39" s="14" t="s">
        <v>70</v>
      </c>
      <c r="S39" s="15">
        <f>SUM(V39+X39)</f>
        <v>326.75</v>
      </c>
      <c r="T39" s="16"/>
      <c r="U39" s="31">
        <v>5</v>
      </c>
      <c r="V39" s="30">
        <f>U39*V$6*(1+X$3)</f>
        <v>326.75</v>
      </c>
      <c r="W39" s="31">
        <v>0</v>
      </c>
      <c r="X39" s="30">
        <f>W39*X$6*(1+X$3)</f>
        <v>0</v>
      </c>
    </row>
    <row r="40" spans="1:24" ht="15" customHeight="1" x14ac:dyDescent="0.25">
      <c r="A40" s="51" t="s">
        <v>67</v>
      </c>
      <c r="B40" s="267" t="s">
        <v>68</v>
      </c>
      <c r="C40" s="268">
        <f t="shared" ref="C40" si="33">SUM(C41:C43)</f>
        <v>2</v>
      </c>
      <c r="D40" s="269">
        <f t="shared" ref="D40" si="34">SUM(D41:D43)</f>
        <v>286.66666666666669</v>
      </c>
      <c r="E40" s="220">
        <f>SUM(E41:E43)</f>
        <v>2</v>
      </c>
      <c r="F40" s="219">
        <f>E40*(1720/12)</f>
        <v>286.66666666666669</v>
      </c>
      <c r="G40" s="221" t="s">
        <v>251</v>
      </c>
      <c r="H40" s="222">
        <f>SUM(H41:H43)</f>
        <v>17200</v>
      </c>
      <c r="I40" s="222">
        <f>SUM(I41:I43)</f>
        <v>21500</v>
      </c>
      <c r="Q40" s="13" t="s">
        <v>71</v>
      </c>
      <c r="R40" s="14" t="s">
        <v>72</v>
      </c>
      <c r="S40" s="15">
        <v>0</v>
      </c>
      <c r="T40" s="16"/>
      <c r="U40" s="31">
        <v>0</v>
      </c>
      <c r="V40" s="30">
        <f>U40*V$6*(1+X$3)</f>
        <v>0</v>
      </c>
      <c r="W40" s="31">
        <v>0</v>
      </c>
      <c r="X40" s="30">
        <f>W40*X$6*(1+X$3)</f>
        <v>0</v>
      </c>
    </row>
    <row r="41" spans="1:24" ht="15" customHeight="1" x14ac:dyDescent="0.25">
      <c r="A41" s="55" t="s">
        <v>69</v>
      </c>
      <c r="B41" s="264" t="s">
        <v>70</v>
      </c>
      <c r="C41" s="265">
        <v>0.5</v>
      </c>
      <c r="D41" s="266">
        <f t="shared" ref="D41:D43" si="35">C41*1720/12</f>
        <v>71.666666666666671</v>
      </c>
      <c r="E41" s="238">
        <v>0.5</v>
      </c>
      <c r="F41" s="239">
        <f t="shared" ref="F41:F43" si="36">E41*(1720/12)</f>
        <v>71.666666666666671</v>
      </c>
      <c r="G41" s="240"/>
      <c r="H41" s="241">
        <f>E41*$H$6</f>
        <v>4300</v>
      </c>
      <c r="I41" s="224">
        <f t="shared" ref="I41:I43" si="37">H41*1.25</f>
        <v>5375</v>
      </c>
      <c r="Q41" s="13" t="s">
        <v>73</v>
      </c>
      <c r="R41" s="14" t="s">
        <v>74</v>
      </c>
      <c r="S41" s="15">
        <v>0</v>
      </c>
      <c r="T41" s="16"/>
      <c r="U41" s="31">
        <v>0</v>
      </c>
      <c r="V41" s="30">
        <f>U41*V$6*(1+X$3)</f>
        <v>0</v>
      </c>
      <c r="W41" s="31">
        <v>0</v>
      </c>
      <c r="X41" s="30">
        <f>W41*X$6*(1+X$3)</f>
        <v>0</v>
      </c>
    </row>
    <row r="42" spans="1:24" ht="15" customHeight="1" x14ac:dyDescent="0.25">
      <c r="A42" s="55" t="s">
        <v>71</v>
      </c>
      <c r="B42" s="264" t="s">
        <v>72</v>
      </c>
      <c r="C42" s="265">
        <v>1</v>
      </c>
      <c r="D42" s="266">
        <f t="shared" si="35"/>
        <v>143.33333333333334</v>
      </c>
      <c r="E42" s="238">
        <v>1</v>
      </c>
      <c r="F42" s="239">
        <f t="shared" si="36"/>
        <v>143.33333333333334</v>
      </c>
      <c r="G42" s="240"/>
      <c r="H42" s="241">
        <f t="shared" ref="H42:H43" si="38">E42*$H$6</f>
        <v>8600</v>
      </c>
      <c r="I42" s="224">
        <f t="shared" si="37"/>
        <v>10750</v>
      </c>
      <c r="Q42" s="9" t="s">
        <v>75</v>
      </c>
      <c r="R42" s="10" t="s">
        <v>76</v>
      </c>
      <c r="S42" s="18">
        <f>SUM(V42+X42)*1.25</f>
        <v>367.59375</v>
      </c>
      <c r="T42" s="20"/>
      <c r="U42" s="32">
        <f>SUM(U43:U45)</f>
        <v>4.5</v>
      </c>
      <c r="V42" s="30">
        <f>U42*V$6*(1+X$3)</f>
        <v>294.07499999999999</v>
      </c>
      <c r="W42" s="32"/>
      <c r="X42" s="30">
        <f>W42*X$6*(1+X$3)</f>
        <v>0</v>
      </c>
    </row>
    <row r="43" spans="1:24" ht="15" customHeight="1" x14ac:dyDescent="0.25">
      <c r="A43" s="55" t="s">
        <v>73</v>
      </c>
      <c r="B43" s="264" t="s">
        <v>74</v>
      </c>
      <c r="C43" s="265">
        <v>0.5</v>
      </c>
      <c r="D43" s="266">
        <f t="shared" si="35"/>
        <v>71.666666666666671</v>
      </c>
      <c r="E43" s="238">
        <v>0.5</v>
      </c>
      <c r="F43" s="239">
        <f t="shared" si="36"/>
        <v>71.666666666666671</v>
      </c>
      <c r="G43" s="240"/>
      <c r="H43" s="241">
        <f t="shared" si="38"/>
        <v>4300</v>
      </c>
      <c r="I43" s="224">
        <f t="shared" si="37"/>
        <v>5375</v>
      </c>
      <c r="Q43" s="13" t="s">
        <v>77</v>
      </c>
      <c r="R43" s="14" t="s">
        <v>78</v>
      </c>
      <c r="S43" s="15">
        <f t="shared" ref="S43:S44" si="39">SUM(V43+X43)</f>
        <v>0</v>
      </c>
      <c r="T43" s="16"/>
      <c r="U43" s="31">
        <v>0</v>
      </c>
      <c r="V43" s="30">
        <f>U43*V$6*(1+X$3)</f>
        <v>0</v>
      </c>
      <c r="W43" s="31">
        <v>0</v>
      </c>
      <c r="X43" s="30">
        <f>W43*X$6*(1+X$3)</f>
        <v>0</v>
      </c>
    </row>
    <row r="44" spans="1:24" ht="15" customHeight="1" x14ac:dyDescent="0.25">
      <c r="A44" s="51" t="s">
        <v>75</v>
      </c>
      <c r="B44" s="267" t="s">
        <v>76</v>
      </c>
      <c r="C44" s="268">
        <f t="shared" ref="C44" si="40">SUM(C45:C47)</f>
        <v>0</v>
      </c>
      <c r="D44" s="269">
        <f t="shared" ref="D44" si="41">SUM(D45:D47)</f>
        <v>0</v>
      </c>
      <c r="E44" s="220">
        <f>SUM(E45:E47)</f>
        <v>2</v>
      </c>
      <c r="F44" s="219">
        <f>E44*(1720/12)</f>
        <v>286.66666666666669</v>
      </c>
      <c r="G44" s="221" t="s">
        <v>254</v>
      </c>
      <c r="H44" s="222">
        <f>SUM(H45:H47)</f>
        <v>17200</v>
      </c>
      <c r="I44" s="222">
        <f>SUM(I45:I47)</f>
        <v>21500</v>
      </c>
      <c r="Q44" s="13" t="s">
        <v>79</v>
      </c>
      <c r="R44" s="14" t="s">
        <v>80</v>
      </c>
      <c r="S44" s="15">
        <f t="shared" si="39"/>
        <v>0</v>
      </c>
      <c r="T44" s="16"/>
      <c r="U44" s="33">
        <v>0</v>
      </c>
      <c r="V44" s="30">
        <f>U44*V$6*(1+X$3)</f>
        <v>0</v>
      </c>
      <c r="W44" s="33">
        <v>0</v>
      </c>
      <c r="X44" s="30">
        <f>W44*X$6*(1+X$3)</f>
        <v>0</v>
      </c>
    </row>
    <row r="45" spans="1:24" ht="15.75" thickBot="1" x14ac:dyDescent="0.3">
      <c r="A45" s="55" t="s">
        <v>77</v>
      </c>
      <c r="B45" s="264" t="s">
        <v>78</v>
      </c>
      <c r="C45" s="265">
        <v>0</v>
      </c>
      <c r="D45" s="266">
        <f t="shared" ref="D45:D47" si="42">C45*1720/12</f>
        <v>0</v>
      </c>
      <c r="E45" s="238">
        <v>0</v>
      </c>
      <c r="F45" s="239">
        <f t="shared" ref="F45:F47" si="43">E45*(1720/12)</f>
        <v>0</v>
      </c>
      <c r="G45" s="240"/>
      <c r="H45" s="241">
        <f>E45*$H$6</f>
        <v>0</v>
      </c>
      <c r="I45" s="224">
        <f t="shared" ref="I45:I47" si="44">H45*1.25</f>
        <v>0</v>
      </c>
      <c r="Q45" s="36" t="s">
        <v>81</v>
      </c>
      <c r="R45" s="37" t="s">
        <v>82</v>
      </c>
      <c r="S45" s="15">
        <f>SUM(V45+X45)</f>
        <v>294.07499999999999</v>
      </c>
      <c r="T45" s="16"/>
      <c r="U45" s="33">
        <v>4.5</v>
      </c>
      <c r="V45" s="30">
        <f>U45*V$6*(1+X$3)</f>
        <v>294.07499999999999</v>
      </c>
      <c r="W45" s="33">
        <v>0</v>
      </c>
      <c r="X45" s="30">
        <f>W45*X$6*(1+X$3)</f>
        <v>0</v>
      </c>
    </row>
    <row r="46" spans="1:24" ht="15.75" thickBot="1" x14ac:dyDescent="0.3">
      <c r="A46" s="55" t="s">
        <v>79</v>
      </c>
      <c r="B46" s="264" t="s">
        <v>80</v>
      </c>
      <c r="C46" s="265">
        <v>0</v>
      </c>
      <c r="D46" s="266">
        <f t="shared" si="42"/>
        <v>0</v>
      </c>
      <c r="E46" s="238">
        <v>1.5</v>
      </c>
      <c r="F46" s="239">
        <f t="shared" si="43"/>
        <v>215</v>
      </c>
      <c r="G46" s="240" t="s">
        <v>255</v>
      </c>
      <c r="H46" s="241">
        <f t="shared" ref="H46:H47" si="45">E46*$H$6</f>
        <v>12900</v>
      </c>
      <c r="I46" s="224">
        <f t="shared" si="44"/>
        <v>16125</v>
      </c>
      <c r="Q46" s="39" t="s">
        <v>83</v>
      </c>
      <c r="R46" s="38" t="s">
        <v>84</v>
      </c>
      <c r="S46" s="26">
        <f>SUM(S8+S12+S17+S24+S34+S38+S42)</f>
        <v>16447.981249999997</v>
      </c>
      <c r="T46" s="23"/>
      <c r="U46" s="34">
        <f>U8+U12+U17+U24+U34+U38+U42</f>
        <v>190</v>
      </c>
      <c r="V46" s="35">
        <f>U46*V$6*(1+X$3)</f>
        <v>12416.499999999998</v>
      </c>
      <c r="W46" s="34">
        <f>W8+W12+W17+W24+W34+W38+W42</f>
        <v>19.5</v>
      </c>
      <c r="X46" s="35">
        <f>W46*X$6*(1+X$3)</f>
        <v>977.14499999999998</v>
      </c>
    </row>
    <row r="47" spans="1:24" x14ac:dyDescent="0.25">
      <c r="A47" s="69" t="s">
        <v>81</v>
      </c>
      <c r="B47" s="264" t="s">
        <v>82</v>
      </c>
      <c r="C47" s="265">
        <v>0</v>
      </c>
      <c r="D47" s="266">
        <f t="shared" si="42"/>
        <v>0</v>
      </c>
      <c r="E47" s="238">
        <v>0.5</v>
      </c>
      <c r="F47" s="239">
        <f t="shared" si="43"/>
        <v>71.666666666666671</v>
      </c>
      <c r="G47" s="240" t="s">
        <v>256</v>
      </c>
      <c r="H47" s="241">
        <f t="shared" si="45"/>
        <v>4300</v>
      </c>
      <c r="I47" s="224">
        <f t="shared" si="44"/>
        <v>5375</v>
      </c>
    </row>
    <row r="48" spans="1:24" ht="15.75" thickBot="1" x14ac:dyDescent="0.3">
      <c r="A48" s="246" t="s">
        <v>249</v>
      </c>
      <c r="B48" s="71" t="s">
        <v>84</v>
      </c>
      <c r="C48" s="271">
        <f t="shared" ref="C48:D48" si="46">C10+C14+C19+C26+C36+C40+C44</f>
        <v>19</v>
      </c>
      <c r="D48" s="244">
        <f t="shared" si="46"/>
        <v>2723.3333333333335</v>
      </c>
      <c r="E48" s="226">
        <f>(E10+E14+E19+E26+E36+E40+E44)</f>
        <v>19</v>
      </c>
      <c r="F48" s="227">
        <f>(F10+F14+F19+F26+F36+F40+F44)</f>
        <v>2723.333333333333</v>
      </c>
      <c r="G48" s="245"/>
      <c r="H48" s="228">
        <f>(H10+H14+H19+H26+H36+H40+H44)</f>
        <v>163400</v>
      </c>
      <c r="I48" s="228">
        <f>(I10+I14+I19+I26+I36+I40+I44)</f>
        <v>204250</v>
      </c>
    </row>
    <row r="53" spans="1:1" x14ac:dyDescent="0.25">
      <c r="A53" t="s">
        <v>84</v>
      </c>
    </row>
  </sheetData>
  <mergeCells count="1">
    <mergeCell ref="S2:T2"/>
  </mergeCells>
  <phoneticPr fontId="16"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0AE2C-E8A9-4E04-AC5A-86016361F2E7}">
  <dimension ref="B1:K56"/>
  <sheetViews>
    <sheetView topLeftCell="A4" workbookViewId="0">
      <selection activeCell="A14" sqref="A14"/>
    </sheetView>
  </sheetViews>
  <sheetFormatPr baseColWidth="10" defaultColWidth="9.140625" defaultRowHeight="15" x14ac:dyDescent="0.25"/>
  <cols>
    <col min="5" max="5" width="63.85546875" customWidth="1"/>
    <col min="6" max="6" width="6" style="6" customWidth="1"/>
    <col min="7" max="7" width="14.140625" style="74" customWidth="1"/>
    <col min="8" max="8" width="4" style="74" customWidth="1"/>
    <col min="9" max="9" width="11" customWidth="1"/>
    <col min="11" max="11" width="14.140625" style="74" customWidth="1"/>
  </cols>
  <sheetData>
    <row r="1" spans="3:11" x14ac:dyDescent="0.25">
      <c r="G1" s="6"/>
      <c r="H1" s="45"/>
      <c r="K1" s="6"/>
    </row>
    <row r="2" spans="3:11" x14ac:dyDescent="0.25">
      <c r="E2" s="6"/>
      <c r="G2" s="6"/>
      <c r="H2" s="6"/>
      <c r="K2" s="6"/>
    </row>
    <row r="3" spans="3:11" x14ac:dyDescent="0.25">
      <c r="E3" t="s">
        <v>84</v>
      </c>
      <c r="G3" s="6" t="s">
        <v>109</v>
      </c>
      <c r="H3" s="6"/>
      <c r="I3" t="s">
        <v>84</v>
      </c>
      <c r="K3" s="6" t="s">
        <v>109</v>
      </c>
    </row>
    <row r="4" spans="3:11" x14ac:dyDescent="0.25">
      <c r="D4" s="2"/>
      <c r="E4" s="2"/>
      <c r="F4" s="3"/>
      <c r="G4" s="46" t="s">
        <v>0</v>
      </c>
      <c r="H4" s="47"/>
      <c r="K4" s="46" t="s">
        <v>0</v>
      </c>
    </row>
    <row r="5" spans="3:11" x14ac:dyDescent="0.25">
      <c r="D5" s="2"/>
      <c r="E5" s="2"/>
      <c r="F5" s="3"/>
      <c r="G5" s="46" t="s">
        <v>1</v>
      </c>
      <c r="H5" s="48"/>
      <c r="K5" s="46" t="s">
        <v>1</v>
      </c>
    </row>
    <row r="6" spans="3:11" x14ac:dyDescent="0.25">
      <c r="D6" s="2"/>
      <c r="E6" s="2"/>
      <c r="F6" s="3"/>
      <c r="G6" s="46" t="s">
        <v>88</v>
      </c>
      <c r="H6" s="49"/>
      <c r="K6" s="46" t="s">
        <v>88</v>
      </c>
    </row>
    <row r="7" spans="3:11" x14ac:dyDescent="0.25">
      <c r="D7" s="2"/>
      <c r="E7" s="2" t="s">
        <v>110</v>
      </c>
      <c r="F7" s="50" t="s">
        <v>3</v>
      </c>
      <c r="G7" s="46" t="s">
        <v>97</v>
      </c>
      <c r="H7" s="49"/>
      <c r="K7" s="46" t="s">
        <v>97</v>
      </c>
    </row>
    <row r="8" spans="3:11" x14ac:dyDescent="0.25">
      <c r="D8" s="2"/>
      <c r="E8" s="2"/>
      <c r="F8" s="50" t="s">
        <v>4</v>
      </c>
      <c r="G8" s="46" t="s">
        <v>84</v>
      </c>
      <c r="H8" s="49"/>
      <c r="I8" t="s">
        <v>111</v>
      </c>
      <c r="K8" s="46" t="s">
        <v>84</v>
      </c>
    </row>
    <row r="9" spans="3:11" x14ac:dyDescent="0.25">
      <c r="D9" s="2"/>
      <c r="E9" s="2" t="s">
        <v>141</v>
      </c>
      <c r="F9" s="50"/>
      <c r="G9" s="46"/>
      <c r="H9" s="49"/>
      <c r="K9" s="46">
        <v>0</v>
      </c>
    </row>
    <row r="10" spans="3:11" ht="24.95" customHeight="1" x14ac:dyDescent="0.25">
      <c r="D10" s="2"/>
      <c r="E10" s="51" t="s">
        <v>7</v>
      </c>
      <c r="F10" s="52" t="s">
        <v>8</v>
      </c>
      <c r="G10" s="53">
        <f>SUM(G11:G13)*1.25</f>
        <v>2402.53125</v>
      </c>
      <c r="H10" s="54"/>
      <c r="I10" s="53">
        <f>SUM(I11:I13)</f>
        <v>36.75</v>
      </c>
      <c r="K10" s="53">
        <f>SUM(K11:K13)</f>
        <v>2402.53125</v>
      </c>
    </row>
    <row r="11" spans="3:11" ht="15" customHeight="1" x14ac:dyDescent="0.25">
      <c r="D11" s="2"/>
      <c r="E11" s="55" t="s">
        <v>9</v>
      </c>
      <c r="F11" s="56" t="s">
        <v>10</v>
      </c>
      <c r="G11" s="57">
        <f>I11*52.3</f>
        <v>248.42499999999998</v>
      </c>
      <c r="H11" s="58"/>
      <c r="I11" s="57">
        <f>4.75</f>
        <v>4.75</v>
      </c>
      <c r="K11" s="57">
        <f>SUM(G11*1.25)</f>
        <v>310.53125</v>
      </c>
    </row>
    <row r="12" spans="3:11" ht="15" customHeight="1" x14ac:dyDescent="0.25">
      <c r="D12" s="2"/>
      <c r="E12" s="55" t="s">
        <v>11</v>
      </c>
      <c r="F12" s="56" t="s">
        <v>12</v>
      </c>
      <c r="G12" s="57">
        <f>I12*52.3</f>
        <v>1176.75</v>
      </c>
      <c r="H12" s="58"/>
      <c r="I12" s="57">
        <f>16.25+6.25</f>
        <v>22.5</v>
      </c>
      <c r="K12" s="57">
        <f t="shared" ref="K12:K13" si="0">SUM(G12*1.25)</f>
        <v>1470.9375</v>
      </c>
    </row>
    <row r="13" spans="3:11" ht="15" customHeight="1" x14ac:dyDescent="0.25">
      <c r="D13" s="2"/>
      <c r="E13" s="55" t="s">
        <v>13</v>
      </c>
      <c r="F13" s="56" t="s">
        <v>14</v>
      </c>
      <c r="G13" s="57">
        <f>I13*52.3</f>
        <v>496.84999999999997</v>
      </c>
      <c r="H13" s="58"/>
      <c r="I13" s="57">
        <f>9.5</f>
        <v>9.5</v>
      </c>
      <c r="K13" s="57">
        <f t="shared" si="0"/>
        <v>621.0625</v>
      </c>
    </row>
    <row r="14" spans="3:11" ht="25.5" customHeight="1" x14ac:dyDescent="0.25">
      <c r="C14" t="s">
        <v>84</v>
      </c>
      <c r="D14" s="2"/>
      <c r="E14" s="51" t="s">
        <v>15</v>
      </c>
      <c r="F14" s="52" t="s">
        <v>16</v>
      </c>
      <c r="G14" s="59">
        <f>SUM(G15:G18)*1.25</f>
        <v>555.6875</v>
      </c>
      <c r="H14" s="60"/>
      <c r="I14" s="59">
        <f>SUM(I15:I18)</f>
        <v>8.5</v>
      </c>
      <c r="K14" s="59">
        <f>SUM(K15:K18)</f>
        <v>555.6875</v>
      </c>
    </row>
    <row r="15" spans="3:11" ht="15" customHeight="1" x14ac:dyDescent="0.25">
      <c r="D15" s="2"/>
      <c r="E15" s="55" t="s">
        <v>17</v>
      </c>
      <c r="F15" s="56" t="s">
        <v>18</v>
      </c>
      <c r="G15" s="57">
        <f>I15*52.3</f>
        <v>0</v>
      </c>
      <c r="H15" s="58"/>
      <c r="I15" s="57">
        <v>0</v>
      </c>
      <c r="K15" s="57">
        <f>SUM(G15*1.25)</f>
        <v>0</v>
      </c>
    </row>
    <row r="16" spans="3:11" ht="15" customHeight="1" x14ac:dyDescent="0.25">
      <c r="D16" s="2"/>
      <c r="E16" s="55" t="s">
        <v>19</v>
      </c>
      <c r="F16" s="56" t="s">
        <v>20</v>
      </c>
      <c r="G16" s="57">
        <f>I16*52.3</f>
        <v>0</v>
      </c>
      <c r="H16" s="58"/>
      <c r="I16" s="57">
        <v>0</v>
      </c>
      <c r="K16" s="57">
        <f t="shared" ref="K16:K18" si="1">SUM(G16*1.25)</f>
        <v>0</v>
      </c>
    </row>
    <row r="17" spans="2:11" ht="15" customHeight="1" x14ac:dyDescent="0.25">
      <c r="D17" s="2"/>
      <c r="E17" s="55" t="s">
        <v>21</v>
      </c>
      <c r="F17" s="56" t="s">
        <v>22</v>
      </c>
      <c r="G17" s="57">
        <f>I17*52.3</f>
        <v>0</v>
      </c>
      <c r="H17" s="58"/>
      <c r="I17" s="57">
        <v>0</v>
      </c>
      <c r="K17" s="57">
        <f t="shared" si="1"/>
        <v>0</v>
      </c>
    </row>
    <row r="18" spans="2:11" ht="15" customHeight="1" x14ac:dyDescent="0.25">
      <c r="D18" s="2"/>
      <c r="E18" s="55" t="s">
        <v>23</v>
      </c>
      <c r="F18" s="56" t="s">
        <v>24</v>
      </c>
      <c r="G18" s="57">
        <f>I18*52.3</f>
        <v>444.54999999999995</v>
      </c>
      <c r="H18" s="58"/>
      <c r="I18" s="57">
        <f>3.5+5</f>
        <v>8.5</v>
      </c>
      <c r="K18" s="57">
        <f t="shared" si="1"/>
        <v>555.6875</v>
      </c>
    </row>
    <row r="19" spans="2:11" ht="23.45" customHeight="1" x14ac:dyDescent="0.25">
      <c r="D19" s="2"/>
      <c r="E19" s="51" t="s">
        <v>25</v>
      </c>
      <c r="F19" s="52" t="s">
        <v>26</v>
      </c>
      <c r="G19" s="59">
        <f>SUM(G20:G25)*1.25</f>
        <v>1307.5</v>
      </c>
      <c r="H19" s="60"/>
      <c r="I19" s="59">
        <f>SUM(I20:I25)</f>
        <v>20</v>
      </c>
      <c r="K19" s="59">
        <f>SUM(K20:K25)</f>
        <v>1307.5</v>
      </c>
    </row>
    <row r="20" spans="2:11" ht="15" customHeight="1" x14ac:dyDescent="0.25">
      <c r="D20" s="2"/>
      <c r="E20" s="55" t="s">
        <v>27</v>
      </c>
      <c r="F20" s="56" t="s">
        <v>28</v>
      </c>
      <c r="G20" s="57">
        <f t="shared" ref="G20:G25" si="2">I20*52.3</f>
        <v>836.8</v>
      </c>
      <c r="H20" s="58"/>
      <c r="I20" s="57">
        <f>2.5+9.5+4</f>
        <v>16</v>
      </c>
      <c r="K20" s="57">
        <f>SUM(G20*1.25)</f>
        <v>1046</v>
      </c>
    </row>
    <row r="21" spans="2:11" ht="15" customHeight="1" x14ac:dyDescent="0.25">
      <c r="D21" s="2"/>
      <c r="E21" s="55" t="s">
        <v>29</v>
      </c>
      <c r="F21" s="56" t="s">
        <v>30</v>
      </c>
      <c r="G21" s="57">
        <f t="shared" si="2"/>
        <v>209.2</v>
      </c>
      <c r="H21" s="58"/>
      <c r="I21" s="57">
        <f>4</f>
        <v>4</v>
      </c>
      <c r="K21" s="57">
        <f t="shared" ref="K21:K25" si="3">SUM(G21*1.25)</f>
        <v>261.5</v>
      </c>
    </row>
    <row r="22" spans="2:11" ht="15" customHeight="1" x14ac:dyDescent="0.25">
      <c r="B22" t="s">
        <v>84</v>
      </c>
      <c r="D22" s="2"/>
      <c r="E22" s="55" t="s">
        <v>31</v>
      </c>
      <c r="F22" s="56" t="s">
        <v>32</v>
      </c>
      <c r="G22" s="57">
        <f t="shared" si="2"/>
        <v>0</v>
      </c>
      <c r="H22" s="58"/>
      <c r="I22" s="57">
        <v>0</v>
      </c>
      <c r="K22" s="57">
        <f t="shared" si="3"/>
        <v>0</v>
      </c>
    </row>
    <row r="23" spans="2:11" ht="15" customHeight="1" x14ac:dyDescent="0.25">
      <c r="D23" s="2"/>
      <c r="E23" s="55" t="s">
        <v>33</v>
      </c>
      <c r="F23" s="56" t="s">
        <v>34</v>
      </c>
      <c r="G23" s="57">
        <f t="shared" si="2"/>
        <v>0</v>
      </c>
      <c r="H23" s="58"/>
      <c r="I23" s="57">
        <v>0</v>
      </c>
      <c r="K23" s="57">
        <f t="shared" si="3"/>
        <v>0</v>
      </c>
    </row>
    <row r="24" spans="2:11" ht="15" customHeight="1" x14ac:dyDescent="0.25">
      <c r="D24" s="2"/>
      <c r="E24" s="55" t="s">
        <v>35</v>
      </c>
      <c r="F24" s="56" t="s">
        <v>36</v>
      </c>
      <c r="G24" s="57">
        <f t="shared" si="2"/>
        <v>0</v>
      </c>
      <c r="H24" s="58"/>
      <c r="I24" s="57">
        <v>0</v>
      </c>
      <c r="K24" s="57">
        <f t="shared" si="3"/>
        <v>0</v>
      </c>
    </row>
    <row r="25" spans="2:11" ht="15" customHeight="1" x14ac:dyDescent="0.25">
      <c r="D25" s="2"/>
      <c r="E25" s="65" t="s">
        <v>37</v>
      </c>
      <c r="F25" s="66" t="s">
        <v>38</v>
      </c>
      <c r="G25" s="57">
        <f t="shared" si="2"/>
        <v>0</v>
      </c>
      <c r="H25" s="58"/>
      <c r="I25" s="57">
        <v>0</v>
      </c>
      <c r="K25" s="57">
        <f t="shared" si="3"/>
        <v>0</v>
      </c>
    </row>
    <row r="26" spans="2:11" ht="19.5" customHeight="1" x14ac:dyDescent="0.25">
      <c r="D26" s="2"/>
      <c r="E26" s="51" t="s">
        <v>39</v>
      </c>
      <c r="F26" s="52" t="s">
        <v>40</v>
      </c>
      <c r="G26" s="59">
        <v>0</v>
      </c>
      <c r="H26" s="67"/>
      <c r="I26" s="59">
        <v>0</v>
      </c>
      <c r="K26" s="59">
        <f>SUM(K27:K35)</f>
        <v>0</v>
      </c>
    </row>
    <row r="27" spans="2:11" ht="15" customHeight="1" x14ac:dyDescent="0.25">
      <c r="D27" s="2"/>
      <c r="E27" s="69" t="s">
        <v>102</v>
      </c>
      <c r="F27" s="56" t="s">
        <v>42</v>
      </c>
      <c r="G27" s="57">
        <v>0</v>
      </c>
      <c r="H27" s="58"/>
      <c r="I27" s="57">
        <v>0</v>
      </c>
      <c r="K27" s="57">
        <f>SUM(G27*1.25)</f>
        <v>0</v>
      </c>
    </row>
    <row r="28" spans="2:11" ht="15" customHeight="1" x14ac:dyDescent="0.25">
      <c r="D28" s="2"/>
      <c r="E28" s="69" t="s">
        <v>43</v>
      </c>
      <c r="F28" s="56" t="s">
        <v>44</v>
      </c>
      <c r="G28" s="57">
        <v>0</v>
      </c>
      <c r="H28" s="58"/>
      <c r="I28" s="57">
        <v>0</v>
      </c>
      <c r="K28" s="57">
        <f t="shared" ref="K28:K35" si="4">SUM(G28*1.25)</f>
        <v>0</v>
      </c>
    </row>
    <row r="29" spans="2:11" ht="15" customHeight="1" x14ac:dyDescent="0.25">
      <c r="D29" s="2"/>
      <c r="E29" s="69" t="s">
        <v>45</v>
      </c>
      <c r="F29" s="56" t="s">
        <v>46</v>
      </c>
      <c r="G29" s="57">
        <v>0</v>
      </c>
      <c r="H29" s="58"/>
      <c r="I29" s="57">
        <v>0</v>
      </c>
      <c r="K29" s="57">
        <f t="shared" si="4"/>
        <v>0</v>
      </c>
    </row>
    <row r="30" spans="2:11" ht="15" customHeight="1" x14ac:dyDescent="0.25">
      <c r="D30" s="2"/>
      <c r="E30" s="69" t="s">
        <v>47</v>
      </c>
      <c r="F30" s="56" t="s">
        <v>48</v>
      </c>
      <c r="G30" s="57">
        <v>0</v>
      </c>
      <c r="H30" s="58"/>
      <c r="I30" s="57">
        <v>0</v>
      </c>
      <c r="K30" s="57">
        <f t="shared" si="4"/>
        <v>0</v>
      </c>
    </row>
    <row r="31" spans="2:11" ht="15" customHeight="1" x14ac:dyDescent="0.25">
      <c r="D31" s="2"/>
      <c r="E31" s="70" t="s">
        <v>99</v>
      </c>
      <c r="F31" s="66" t="s">
        <v>50</v>
      </c>
      <c r="G31" s="57">
        <v>0</v>
      </c>
      <c r="H31" s="58"/>
      <c r="I31" s="57">
        <v>0</v>
      </c>
      <c r="K31" s="57">
        <f t="shared" si="4"/>
        <v>0</v>
      </c>
    </row>
    <row r="32" spans="2:11" ht="15" customHeight="1" x14ac:dyDescent="0.25">
      <c r="D32" s="2"/>
      <c r="E32" s="69" t="s">
        <v>51</v>
      </c>
      <c r="F32" s="56" t="s">
        <v>52</v>
      </c>
      <c r="G32" s="57">
        <v>0</v>
      </c>
      <c r="H32" s="58"/>
      <c r="I32" s="57">
        <v>0</v>
      </c>
      <c r="K32" s="57">
        <f t="shared" si="4"/>
        <v>0</v>
      </c>
    </row>
    <row r="33" spans="4:11" ht="15" customHeight="1" x14ac:dyDescent="0.25">
      <c r="D33" s="2"/>
      <c r="E33" s="69" t="s">
        <v>53</v>
      </c>
      <c r="F33" s="56" t="s">
        <v>54</v>
      </c>
      <c r="G33" s="57">
        <v>0</v>
      </c>
      <c r="H33" s="58"/>
      <c r="I33" s="57">
        <v>0</v>
      </c>
      <c r="K33" s="57">
        <f t="shared" si="4"/>
        <v>0</v>
      </c>
    </row>
    <row r="34" spans="4:11" ht="15" customHeight="1" x14ac:dyDescent="0.25">
      <c r="D34" s="2"/>
      <c r="E34" s="55" t="s">
        <v>55</v>
      </c>
      <c r="F34" s="56" t="s">
        <v>56</v>
      </c>
      <c r="G34" s="57">
        <v>0</v>
      </c>
      <c r="H34" s="58"/>
      <c r="I34" s="57">
        <v>0</v>
      </c>
      <c r="K34" s="57">
        <f t="shared" si="4"/>
        <v>0</v>
      </c>
    </row>
    <row r="35" spans="4:11" ht="15" customHeight="1" x14ac:dyDescent="0.25">
      <c r="D35" s="2"/>
      <c r="E35" s="55" t="s">
        <v>57</v>
      </c>
      <c r="F35" s="56" t="s">
        <v>58</v>
      </c>
      <c r="G35" s="57">
        <v>0</v>
      </c>
      <c r="H35" s="58"/>
      <c r="I35" s="57">
        <v>0</v>
      </c>
      <c r="K35" s="57">
        <f t="shared" si="4"/>
        <v>0</v>
      </c>
    </row>
    <row r="36" spans="4:11" ht="24" customHeight="1" x14ac:dyDescent="0.25">
      <c r="D36" s="2"/>
      <c r="E36" s="51" t="s">
        <v>59</v>
      </c>
      <c r="F36" s="52" t="s">
        <v>60</v>
      </c>
      <c r="G36" s="59">
        <f>SUM(G37:G39)*1.25</f>
        <v>359.5625</v>
      </c>
      <c r="H36" s="67"/>
      <c r="I36" s="59">
        <f>SUM(I37:I39)</f>
        <v>5.5</v>
      </c>
      <c r="K36" s="59">
        <f>SUM(K37:K39)</f>
        <v>359.5625</v>
      </c>
    </row>
    <row r="37" spans="4:11" ht="15" customHeight="1" x14ac:dyDescent="0.25">
      <c r="D37" s="2"/>
      <c r="E37" s="65" t="s">
        <v>61</v>
      </c>
      <c r="F37" s="66" t="s">
        <v>62</v>
      </c>
      <c r="G37" s="57">
        <f>I37*52.3</f>
        <v>287.64999999999998</v>
      </c>
      <c r="H37" s="58"/>
      <c r="I37" s="57">
        <f>3.5+2</f>
        <v>5.5</v>
      </c>
      <c r="J37" s="41"/>
      <c r="K37" s="57">
        <f>SUM(G37*1.25)</f>
        <v>359.5625</v>
      </c>
    </row>
    <row r="38" spans="4:11" ht="15" customHeight="1" x14ac:dyDescent="0.25">
      <c r="D38" s="2"/>
      <c r="E38" s="65" t="s">
        <v>100</v>
      </c>
      <c r="F38" s="66" t="s">
        <v>64</v>
      </c>
      <c r="G38" s="57">
        <f>I38*52.3</f>
        <v>0</v>
      </c>
      <c r="H38" s="58"/>
      <c r="I38" s="57">
        <v>0</v>
      </c>
      <c r="K38" s="57">
        <f t="shared" ref="K38:K39" si="5">SUM(G38*1.25)</f>
        <v>0</v>
      </c>
    </row>
    <row r="39" spans="4:11" ht="24" customHeight="1" x14ac:dyDescent="0.25">
      <c r="D39" s="2"/>
      <c r="E39" s="65" t="s">
        <v>65</v>
      </c>
      <c r="F39" s="66" t="s">
        <v>66</v>
      </c>
      <c r="G39" s="57">
        <f>I39*52.3</f>
        <v>0</v>
      </c>
      <c r="H39" s="58"/>
      <c r="I39" s="57">
        <v>0</v>
      </c>
      <c r="K39" s="57">
        <f t="shared" si="5"/>
        <v>0</v>
      </c>
    </row>
    <row r="40" spans="4:11" ht="15" customHeight="1" x14ac:dyDescent="0.25">
      <c r="D40" s="2"/>
      <c r="E40" s="51" t="s">
        <v>67</v>
      </c>
      <c r="F40" s="52" t="s">
        <v>68</v>
      </c>
      <c r="G40" s="59">
        <f>SUM(G41:G43)*1.25</f>
        <v>4821.40625</v>
      </c>
      <c r="H40" s="67"/>
      <c r="I40" s="59">
        <f>SUM(I41:I43)</f>
        <v>73.75</v>
      </c>
      <c r="K40" s="59">
        <f>SUM(K41:K43)</f>
        <v>4821.40625</v>
      </c>
    </row>
    <row r="41" spans="4:11" ht="15" customHeight="1" x14ac:dyDescent="0.25">
      <c r="D41" s="2"/>
      <c r="E41" s="55" t="s">
        <v>69</v>
      </c>
      <c r="F41" s="56" t="s">
        <v>70</v>
      </c>
      <c r="G41" s="57">
        <f>I41*52.3</f>
        <v>3857.125</v>
      </c>
      <c r="H41" s="58"/>
      <c r="I41" s="57">
        <f>2.5+32.25+4+2.5+1+2+2.5+2+2+15+8</f>
        <v>73.75</v>
      </c>
      <c r="K41" s="57">
        <f>SUM(G41*1.25)</f>
        <v>4821.40625</v>
      </c>
    </row>
    <row r="42" spans="4:11" ht="15" customHeight="1" x14ac:dyDescent="0.25">
      <c r="D42" s="2"/>
      <c r="E42" s="55" t="s">
        <v>71</v>
      </c>
      <c r="F42" s="56" t="s">
        <v>72</v>
      </c>
      <c r="G42" s="57">
        <f>I42*52.3</f>
        <v>0</v>
      </c>
      <c r="H42" s="58"/>
      <c r="I42" s="57">
        <v>0</v>
      </c>
      <c r="K42" s="57">
        <f t="shared" ref="K42:K43" si="6">SUM(G42*1.25)</f>
        <v>0</v>
      </c>
    </row>
    <row r="43" spans="4:11" ht="15" customHeight="1" x14ac:dyDescent="0.25">
      <c r="D43" s="2"/>
      <c r="E43" s="55" t="s">
        <v>73</v>
      </c>
      <c r="F43" s="56" t="s">
        <v>74</v>
      </c>
      <c r="G43" s="57">
        <f>I43*52.3</f>
        <v>0</v>
      </c>
      <c r="H43" s="58"/>
      <c r="I43" s="57">
        <v>0</v>
      </c>
      <c r="K43" s="57">
        <f t="shared" si="6"/>
        <v>0</v>
      </c>
    </row>
    <row r="44" spans="4:11" ht="15" customHeight="1" x14ac:dyDescent="0.25">
      <c r="D44" s="2"/>
      <c r="E44" s="51" t="s">
        <v>75</v>
      </c>
      <c r="F44" s="52" t="s">
        <v>76</v>
      </c>
      <c r="G44" s="59">
        <v>0</v>
      </c>
      <c r="H44" s="67"/>
      <c r="I44" s="59">
        <v>0</v>
      </c>
      <c r="K44" s="59">
        <f>SUM(K45:K47)</f>
        <v>0</v>
      </c>
    </row>
    <row r="45" spans="4:11" ht="15" customHeight="1" x14ac:dyDescent="0.25">
      <c r="D45" s="2"/>
      <c r="E45" s="55" t="s">
        <v>77</v>
      </c>
      <c r="F45" s="56" t="s">
        <v>78</v>
      </c>
      <c r="G45" s="57">
        <v>0</v>
      </c>
      <c r="H45" s="58"/>
      <c r="I45" s="57">
        <v>0</v>
      </c>
      <c r="K45" s="57">
        <f>SUM(G45*1.25)</f>
        <v>0</v>
      </c>
    </row>
    <row r="46" spans="4:11" ht="15" customHeight="1" x14ac:dyDescent="0.25">
      <c r="D46" s="2"/>
      <c r="E46" s="55" t="s">
        <v>79</v>
      </c>
      <c r="F46" s="56" t="s">
        <v>80</v>
      </c>
      <c r="G46" s="75">
        <v>0</v>
      </c>
      <c r="H46" s="58"/>
      <c r="I46" s="75">
        <v>0</v>
      </c>
      <c r="K46" s="57">
        <f t="shared" ref="K46:K47" si="7">SUM(G46*1.25)</f>
        <v>0</v>
      </c>
    </row>
    <row r="47" spans="4:11" ht="15" customHeight="1" thickBot="1" x14ac:dyDescent="0.3">
      <c r="D47" s="2"/>
      <c r="E47" s="69" t="s">
        <v>81</v>
      </c>
      <c r="F47" s="56" t="s">
        <v>82</v>
      </c>
      <c r="G47" s="75">
        <v>0</v>
      </c>
      <c r="H47" s="58"/>
      <c r="I47" s="75">
        <v>0</v>
      </c>
      <c r="K47" s="57">
        <f t="shared" si="7"/>
        <v>0</v>
      </c>
    </row>
    <row r="48" spans="4:11" ht="15.75" thickBot="1" x14ac:dyDescent="0.3">
      <c r="D48" s="2"/>
      <c r="E48" s="71" t="s">
        <v>83</v>
      </c>
      <c r="F48" s="3" t="s">
        <v>84</v>
      </c>
      <c r="G48" s="72">
        <f>SUM(G10+G14+G19+G26+G36+G40+G44)</f>
        <v>9446.6875</v>
      </c>
      <c r="H48" s="73"/>
      <c r="I48" s="82">
        <f>I10+I14+I19+I26+I36+I40+I44</f>
        <v>144.5</v>
      </c>
      <c r="K48" s="72">
        <f>SUM(K10+K14+K19+K26+K36+K40+K44)</f>
        <v>9446.6875</v>
      </c>
    </row>
    <row r="49" spans="4:5" x14ac:dyDescent="0.25">
      <c r="D49" s="2"/>
    </row>
    <row r="56" spans="4:5" x14ac:dyDescent="0.25">
      <c r="E56" t="s">
        <v>84</v>
      </c>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99103-D81F-4C03-9309-8FB7CA19E50E}">
  <dimension ref="B1:P56"/>
  <sheetViews>
    <sheetView topLeftCell="A12" workbookViewId="0">
      <selection activeCell="P34" sqref="P34"/>
    </sheetView>
  </sheetViews>
  <sheetFormatPr baseColWidth="10" defaultColWidth="9.140625" defaultRowHeight="15" x14ac:dyDescent="0.25"/>
  <cols>
    <col min="5" max="5" width="65.7109375" customWidth="1"/>
    <col min="6" max="6" width="6" style="6" customWidth="1"/>
    <col min="7" max="7" width="14.140625" style="74" customWidth="1"/>
    <col min="8" max="8" width="4" style="74" customWidth="1"/>
    <col min="9" max="9" width="14.28515625" style="93" customWidth="1"/>
    <col min="10" max="10" width="11" customWidth="1"/>
    <col min="12" max="12" width="14.140625" style="74" customWidth="1"/>
  </cols>
  <sheetData>
    <row r="1" spans="3:12" x14ac:dyDescent="0.25">
      <c r="G1" s="6"/>
      <c r="H1" s="45"/>
      <c r="L1" s="6"/>
    </row>
    <row r="2" spans="3:12" x14ac:dyDescent="0.25">
      <c r="E2" s="6" t="s">
        <v>112</v>
      </c>
      <c r="G2" s="6"/>
      <c r="H2" s="6"/>
      <c r="L2" s="6"/>
    </row>
    <row r="3" spans="3:12" ht="18.75" x14ac:dyDescent="0.3">
      <c r="E3" t="s">
        <v>84</v>
      </c>
      <c r="G3" s="6"/>
      <c r="H3" s="6"/>
      <c r="J3" t="s">
        <v>84</v>
      </c>
      <c r="K3" s="90" t="s">
        <v>90</v>
      </c>
      <c r="L3" s="6"/>
    </row>
    <row r="4" spans="3:12" x14ac:dyDescent="0.25">
      <c r="D4" s="2"/>
      <c r="E4" s="2"/>
      <c r="F4" s="3"/>
      <c r="G4" s="95" t="s">
        <v>0</v>
      </c>
      <c r="H4" s="46"/>
      <c r="I4" s="95" t="s">
        <v>0</v>
      </c>
      <c r="L4" s="95" t="s">
        <v>0</v>
      </c>
    </row>
    <row r="5" spans="3:12" x14ac:dyDescent="0.25">
      <c r="D5" s="2"/>
      <c r="E5" s="2"/>
      <c r="F5" s="3"/>
      <c r="G5" s="95" t="s">
        <v>1</v>
      </c>
      <c r="H5" s="46"/>
      <c r="I5" s="95" t="s">
        <v>131</v>
      </c>
      <c r="L5" s="95" t="s">
        <v>1</v>
      </c>
    </row>
    <row r="6" spans="3:12" x14ac:dyDescent="0.25">
      <c r="D6" s="2"/>
      <c r="E6" s="2"/>
      <c r="F6" s="3"/>
      <c r="G6" s="95" t="s">
        <v>88</v>
      </c>
      <c r="H6" s="46"/>
      <c r="I6" s="95" t="s">
        <v>88</v>
      </c>
      <c r="L6" s="95" t="s">
        <v>88</v>
      </c>
    </row>
    <row r="7" spans="3:12" x14ac:dyDescent="0.25">
      <c r="D7" s="2"/>
      <c r="E7" s="2" t="s">
        <v>103</v>
      </c>
      <c r="F7" s="50" t="s">
        <v>3</v>
      </c>
      <c r="G7" s="95" t="s">
        <v>97</v>
      </c>
      <c r="H7" s="46"/>
      <c r="I7" s="95" t="s">
        <v>97</v>
      </c>
      <c r="L7" s="95" t="s">
        <v>97</v>
      </c>
    </row>
    <row r="8" spans="3:12" x14ac:dyDescent="0.25">
      <c r="D8" s="2"/>
      <c r="E8" s="2"/>
      <c r="F8" s="50" t="s">
        <v>4</v>
      </c>
      <c r="G8" s="46" t="s">
        <v>84</v>
      </c>
      <c r="H8" s="46" t="s">
        <v>84</v>
      </c>
      <c r="I8" s="46" t="s">
        <v>84</v>
      </c>
      <c r="L8" s="46" t="s">
        <v>84</v>
      </c>
    </row>
    <row r="9" spans="3:12" x14ac:dyDescent="0.25">
      <c r="D9" s="2"/>
      <c r="E9" s="2" t="s">
        <v>141</v>
      </c>
      <c r="F9" s="50" t="s">
        <v>149</v>
      </c>
      <c r="G9" s="46">
        <v>4611</v>
      </c>
      <c r="H9" s="46"/>
      <c r="I9" s="46">
        <v>4611</v>
      </c>
      <c r="L9" s="46">
        <f>SUM(G9*1.25)</f>
        <v>5763.75</v>
      </c>
    </row>
    <row r="10" spans="3:12" ht="15" customHeight="1" x14ac:dyDescent="0.25">
      <c r="D10" s="2"/>
      <c r="E10" s="51" t="s">
        <v>7</v>
      </c>
      <c r="F10" s="52" t="s">
        <v>8</v>
      </c>
      <c r="G10" s="53">
        <f>SUM(G11:G13)*1.25</f>
        <v>15319.057412720269</v>
      </c>
      <c r="H10" s="54"/>
      <c r="I10" s="94">
        <f>SUM(I11:I13)</f>
        <v>15319.057412720273</v>
      </c>
      <c r="L10" s="53">
        <f>SUM(L11:L13)</f>
        <v>12255.245930176216</v>
      </c>
    </row>
    <row r="11" spans="3:12" ht="15" customHeight="1" x14ac:dyDescent="0.25">
      <c r="D11" s="2"/>
      <c r="E11" s="55" t="s">
        <v>9</v>
      </c>
      <c r="F11" s="56" t="s">
        <v>10</v>
      </c>
      <c r="G11" s="57">
        <v>11586.267836179984</v>
      </c>
      <c r="H11" s="58"/>
      <c r="I11" s="96">
        <f>SUM(G11*1.25)</f>
        <v>14482.834795224981</v>
      </c>
      <c r="L11" s="57">
        <v>11586.267836179984</v>
      </c>
    </row>
    <row r="12" spans="3:12" ht="15" customHeight="1" x14ac:dyDescent="0.25">
      <c r="D12" s="2"/>
      <c r="E12" s="55" t="s">
        <v>11</v>
      </c>
      <c r="F12" s="56" t="s">
        <v>12</v>
      </c>
      <c r="G12" s="57">
        <v>411.67882707460467</v>
      </c>
      <c r="H12" s="58"/>
      <c r="I12" s="96">
        <f t="shared" ref="I12:I13" si="0">SUM(G12*1.25)</f>
        <v>514.59853384325584</v>
      </c>
      <c r="L12" s="57">
        <v>411.67882707460467</v>
      </c>
    </row>
    <row r="13" spans="3:12" ht="15" customHeight="1" x14ac:dyDescent="0.25">
      <c r="D13" s="2"/>
      <c r="E13" s="55" t="s">
        <v>13</v>
      </c>
      <c r="F13" s="56" t="s">
        <v>14</v>
      </c>
      <c r="G13" s="57">
        <v>257.29926692162786</v>
      </c>
      <c r="H13" s="58"/>
      <c r="I13" s="96">
        <f t="shared" si="0"/>
        <v>321.62408365203481</v>
      </c>
      <c r="L13" s="57">
        <v>257.29926692162786</v>
      </c>
    </row>
    <row r="14" spans="3:12" ht="15" customHeight="1" x14ac:dyDescent="0.25">
      <c r="C14" t="s">
        <v>84</v>
      </c>
      <c r="D14" s="2"/>
      <c r="E14" s="51" t="s">
        <v>15</v>
      </c>
      <c r="F14" s="52" t="s">
        <v>16</v>
      </c>
      <c r="G14" s="59">
        <f>SUM(G15:G18)*1.25</f>
        <v>15281.059048179235</v>
      </c>
      <c r="H14" s="60"/>
      <c r="I14" s="94">
        <f>SUM(I15:I19)</f>
        <v>21820.310476200073</v>
      </c>
      <c r="L14" s="59">
        <f>SUM(L15:L18)</f>
        <v>15281.059048179235</v>
      </c>
    </row>
    <row r="15" spans="3:12" ht="15" customHeight="1" x14ac:dyDescent="0.25">
      <c r="D15" s="2"/>
      <c r="E15" s="55" t="s">
        <v>17</v>
      </c>
      <c r="F15" s="56" t="s">
        <v>18</v>
      </c>
      <c r="G15" s="57">
        <v>11710.248704700132</v>
      </c>
      <c r="H15" s="58"/>
      <c r="I15" s="96">
        <f>SUM(G15*1.25)</f>
        <v>14637.810880875166</v>
      </c>
      <c r="L15" s="57">
        <f>SUM(G15*1.25)</f>
        <v>14637.810880875166</v>
      </c>
    </row>
    <row r="16" spans="3:12" ht="15" customHeight="1" x14ac:dyDescent="0.25">
      <c r="D16" s="2"/>
      <c r="E16" s="55" t="s">
        <v>19</v>
      </c>
      <c r="F16" s="56" t="s">
        <v>20</v>
      </c>
      <c r="G16" s="57">
        <v>514.59853384325584</v>
      </c>
      <c r="H16" s="58"/>
      <c r="I16" s="96">
        <f t="shared" ref="I16:I18" si="1">SUM(G16*1.25)</f>
        <v>643.24816730406974</v>
      </c>
      <c r="L16" s="57">
        <f t="shared" ref="L16:L18" si="2">SUM(G16*1.25)</f>
        <v>643.24816730406974</v>
      </c>
    </row>
    <row r="17" spans="2:16" ht="15" customHeight="1" x14ac:dyDescent="0.25">
      <c r="D17" s="2"/>
      <c r="E17" s="55" t="s">
        <v>21</v>
      </c>
      <c r="F17" s="56" t="s">
        <v>22</v>
      </c>
      <c r="G17" s="57">
        <v>0</v>
      </c>
      <c r="H17" s="58"/>
      <c r="I17" s="96">
        <f t="shared" si="1"/>
        <v>0</v>
      </c>
      <c r="L17" s="57">
        <f t="shared" si="2"/>
        <v>0</v>
      </c>
    </row>
    <row r="18" spans="2:16" ht="15" customHeight="1" x14ac:dyDescent="0.25">
      <c r="D18" s="2"/>
      <c r="E18" s="55" t="s">
        <v>23</v>
      </c>
      <c r="F18" s="56" t="s">
        <v>24</v>
      </c>
      <c r="G18" s="57">
        <v>0</v>
      </c>
      <c r="H18" s="58"/>
      <c r="I18" s="96">
        <f t="shared" si="1"/>
        <v>0</v>
      </c>
      <c r="L18" s="57">
        <f t="shared" si="2"/>
        <v>0</v>
      </c>
    </row>
    <row r="19" spans="2:16" ht="15" customHeight="1" x14ac:dyDescent="0.25">
      <c r="D19" s="2"/>
      <c r="E19" s="51" t="s">
        <v>25</v>
      </c>
      <c r="F19" s="52" t="s">
        <v>26</v>
      </c>
      <c r="G19" s="59">
        <f>SUM(G20:G25)*1.25</f>
        <v>6539.2514280208388</v>
      </c>
      <c r="H19" s="60"/>
      <c r="I19" s="94">
        <f>SUM(I20:I25)</f>
        <v>6539.2514280208397</v>
      </c>
      <c r="L19" s="59">
        <f>SUM(L20:L25)</f>
        <v>6539.2514280208397</v>
      </c>
    </row>
    <row r="20" spans="2:16" ht="15" customHeight="1" x14ac:dyDescent="0.25">
      <c r="D20" s="2"/>
      <c r="E20" s="55" t="s">
        <v>27</v>
      </c>
      <c r="F20" s="56" t="s">
        <v>28</v>
      </c>
      <c r="G20" s="57">
        <v>1302.4411424166715</v>
      </c>
      <c r="H20" s="58"/>
      <c r="I20" s="96">
        <f>SUM(G20*1.25)</f>
        <v>1628.0514280208395</v>
      </c>
      <c r="L20" s="57">
        <f>SUM(G20*1.25)</f>
        <v>1628.0514280208395</v>
      </c>
    </row>
    <row r="21" spans="2:16" ht="15" customHeight="1" x14ac:dyDescent="0.25">
      <c r="D21" s="2"/>
      <c r="E21" s="55" t="s">
        <v>29</v>
      </c>
      <c r="F21" s="56" t="s">
        <v>30</v>
      </c>
      <c r="G21" s="57">
        <v>3928.96</v>
      </c>
      <c r="H21" s="58"/>
      <c r="I21" s="96">
        <f t="shared" ref="I21:I25" si="3">SUM(G21*1.25)</f>
        <v>4911.2</v>
      </c>
      <c r="J21" t="s">
        <v>113</v>
      </c>
      <c r="K21">
        <v>0</v>
      </c>
      <c r="L21" s="57">
        <f t="shared" ref="L21:L25" si="4">SUM(G21*1.25)</f>
        <v>4911.2</v>
      </c>
    </row>
    <row r="22" spans="2:16" ht="15" customHeight="1" x14ac:dyDescent="0.25">
      <c r="B22" t="s">
        <v>84</v>
      </c>
      <c r="D22" s="2"/>
      <c r="E22" s="55" t="s">
        <v>31</v>
      </c>
      <c r="F22" s="56" t="s">
        <v>32</v>
      </c>
      <c r="G22" s="57">
        <v>0</v>
      </c>
      <c r="H22" s="58"/>
      <c r="I22" s="96">
        <f t="shared" si="3"/>
        <v>0</v>
      </c>
      <c r="L22" s="57">
        <f t="shared" si="4"/>
        <v>0</v>
      </c>
    </row>
    <row r="23" spans="2:16" ht="15" customHeight="1" x14ac:dyDescent="0.25">
      <c r="D23" s="2"/>
      <c r="E23" s="55" t="s">
        <v>33</v>
      </c>
      <c r="F23" s="56" t="s">
        <v>34</v>
      </c>
      <c r="G23" s="57">
        <v>0</v>
      </c>
      <c r="H23" s="58"/>
      <c r="I23" s="96">
        <f t="shared" si="3"/>
        <v>0</v>
      </c>
      <c r="L23" s="57">
        <f t="shared" si="4"/>
        <v>0</v>
      </c>
      <c r="O23" t="s">
        <v>8</v>
      </c>
      <c r="P23" s="82">
        <f>SUM(G10)</f>
        <v>15319.057412720269</v>
      </c>
    </row>
    <row r="24" spans="2:16" ht="15" customHeight="1" x14ac:dyDescent="0.25">
      <c r="D24" s="2"/>
      <c r="E24" s="55" t="s">
        <v>35</v>
      </c>
      <c r="F24" s="56" t="s">
        <v>36</v>
      </c>
      <c r="G24" s="57">
        <v>0</v>
      </c>
      <c r="H24" s="58"/>
      <c r="I24" s="96">
        <f t="shared" si="3"/>
        <v>0</v>
      </c>
      <c r="L24" s="57">
        <f t="shared" si="4"/>
        <v>0</v>
      </c>
      <c r="O24" t="s">
        <v>16</v>
      </c>
      <c r="P24" s="82">
        <f>SUM(G14)</f>
        <v>15281.059048179235</v>
      </c>
    </row>
    <row r="25" spans="2:16" ht="15" customHeight="1" x14ac:dyDescent="0.25">
      <c r="D25" s="2"/>
      <c r="E25" s="65" t="s">
        <v>37</v>
      </c>
      <c r="F25" s="66" t="s">
        <v>38</v>
      </c>
      <c r="G25" s="57">
        <v>0</v>
      </c>
      <c r="H25" s="58"/>
      <c r="I25" s="96">
        <f t="shared" si="3"/>
        <v>0</v>
      </c>
      <c r="L25" s="57">
        <f t="shared" si="4"/>
        <v>0</v>
      </c>
      <c r="O25" t="s">
        <v>26</v>
      </c>
      <c r="P25" s="82">
        <f>SUM(G19)</f>
        <v>6539.2514280208388</v>
      </c>
    </row>
    <row r="26" spans="2:16" ht="15" customHeight="1" x14ac:dyDescent="0.25">
      <c r="D26" s="2"/>
      <c r="E26" s="51" t="s">
        <v>39</v>
      </c>
      <c r="F26" s="52" t="s">
        <v>40</v>
      </c>
      <c r="G26" s="59">
        <f>SUM(G27:G35)*1.25</f>
        <v>0</v>
      </c>
      <c r="H26" s="67"/>
      <c r="I26" s="94">
        <f>SUM(I27:I35)</f>
        <v>0</v>
      </c>
      <c r="J26" s="68" t="s">
        <v>84</v>
      </c>
      <c r="L26" s="59">
        <f>SUM(L27:L35)</f>
        <v>0</v>
      </c>
      <c r="O26" t="s">
        <v>40</v>
      </c>
      <c r="P26" s="82">
        <f>SUM(G26)</f>
        <v>0</v>
      </c>
    </row>
    <row r="27" spans="2:16" ht="15" customHeight="1" x14ac:dyDescent="0.25">
      <c r="D27" s="2"/>
      <c r="E27" s="69" t="s">
        <v>102</v>
      </c>
      <c r="F27" s="56" t="s">
        <v>42</v>
      </c>
      <c r="G27" s="57">
        <v>0</v>
      </c>
      <c r="H27" s="58"/>
      <c r="I27" s="96">
        <f>SUM(G27*1.25)</f>
        <v>0</v>
      </c>
      <c r="L27" s="57">
        <f>SUM(G27*1.25)</f>
        <v>0</v>
      </c>
      <c r="O27" t="s">
        <v>60</v>
      </c>
      <c r="P27" s="82">
        <f>SUM(G36)</f>
        <v>0</v>
      </c>
    </row>
    <row r="28" spans="2:16" ht="15" customHeight="1" x14ac:dyDescent="0.25">
      <c r="D28" s="2"/>
      <c r="E28" s="69" t="s">
        <v>43</v>
      </c>
      <c r="F28" s="56" t="s">
        <v>44</v>
      </c>
      <c r="G28" s="57">
        <v>0</v>
      </c>
      <c r="H28" s="58"/>
      <c r="I28" s="96">
        <f t="shared" ref="I28:I35" si="5">SUM(G28*1.25)</f>
        <v>0</v>
      </c>
      <c r="L28" s="57">
        <f t="shared" ref="L28:L35" si="6">SUM(G28*1.25)</f>
        <v>0</v>
      </c>
      <c r="O28" t="s">
        <v>68</v>
      </c>
      <c r="P28" s="82">
        <f>SUM(G40)</f>
        <v>2261.1825389178325</v>
      </c>
    </row>
    <row r="29" spans="2:16" ht="15" customHeight="1" x14ac:dyDescent="0.25">
      <c r="D29" s="2"/>
      <c r="E29" s="69" t="s">
        <v>45</v>
      </c>
      <c r="F29" s="56" t="s">
        <v>46</v>
      </c>
      <c r="G29" s="57">
        <v>0</v>
      </c>
      <c r="H29" s="58"/>
      <c r="I29" s="96">
        <f t="shared" si="5"/>
        <v>0</v>
      </c>
      <c r="L29" s="57">
        <f t="shared" si="6"/>
        <v>0</v>
      </c>
      <c r="O29" t="s">
        <v>76</v>
      </c>
      <c r="P29" s="82">
        <f>SUM(G44)</f>
        <v>5531.9342388149998</v>
      </c>
    </row>
    <row r="30" spans="2:16" ht="15" customHeight="1" x14ac:dyDescent="0.25">
      <c r="D30" s="2"/>
      <c r="E30" s="69" t="s">
        <v>47</v>
      </c>
      <c r="F30" s="56" t="s">
        <v>48</v>
      </c>
      <c r="G30" s="57">
        <v>0</v>
      </c>
      <c r="H30" s="58"/>
      <c r="I30" s="96">
        <f t="shared" si="5"/>
        <v>0</v>
      </c>
      <c r="L30" s="57">
        <f t="shared" si="6"/>
        <v>0</v>
      </c>
    </row>
    <row r="31" spans="2:16" ht="15" customHeight="1" x14ac:dyDescent="0.25">
      <c r="D31" s="2"/>
      <c r="E31" s="70" t="s">
        <v>99</v>
      </c>
      <c r="F31" s="66" t="s">
        <v>50</v>
      </c>
      <c r="G31" s="57">
        <v>0</v>
      </c>
      <c r="H31" s="58"/>
      <c r="I31" s="96">
        <f t="shared" si="5"/>
        <v>0</v>
      </c>
      <c r="L31" s="57">
        <f t="shared" si="6"/>
        <v>0</v>
      </c>
    </row>
    <row r="32" spans="2:16" ht="15" customHeight="1" x14ac:dyDescent="0.25">
      <c r="D32" s="2"/>
      <c r="E32" s="69" t="s">
        <v>51</v>
      </c>
      <c r="F32" s="56" t="s">
        <v>52</v>
      </c>
      <c r="G32" s="57">
        <v>0</v>
      </c>
      <c r="H32" s="58"/>
      <c r="I32" s="96">
        <f t="shared" si="5"/>
        <v>0</v>
      </c>
      <c r="L32" s="57">
        <f t="shared" si="6"/>
        <v>0</v>
      </c>
    </row>
    <row r="33" spans="4:12" ht="15" customHeight="1" x14ac:dyDescent="0.25">
      <c r="D33" s="2"/>
      <c r="E33" s="69" t="s">
        <v>53</v>
      </c>
      <c r="F33" s="56" t="s">
        <v>54</v>
      </c>
      <c r="G33" s="57">
        <v>0</v>
      </c>
      <c r="H33" s="58"/>
      <c r="I33" s="96">
        <f t="shared" si="5"/>
        <v>0</v>
      </c>
      <c r="J33" t="s">
        <v>84</v>
      </c>
      <c r="L33" s="57">
        <f t="shared" si="6"/>
        <v>0</v>
      </c>
    </row>
    <row r="34" spans="4:12" ht="15" customHeight="1" x14ac:dyDescent="0.25">
      <c r="D34" s="2"/>
      <c r="E34" s="55" t="s">
        <v>55</v>
      </c>
      <c r="F34" s="56" t="s">
        <v>56</v>
      </c>
      <c r="G34" s="57">
        <v>0</v>
      </c>
      <c r="H34" s="58"/>
      <c r="I34" s="96">
        <f t="shared" si="5"/>
        <v>0</v>
      </c>
      <c r="L34" s="57">
        <f t="shared" si="6"/>
        <v>0</v>
      </c>
    </row>
    <row r="35" spans="4:12" ht="15" customHeight="1" x14ac:dyDescent="0.25">
      <c r="D35" s="2"/>
      <c r="E35" s="55" t="s">
        <v>57</v>
      </c>
      <c r="F35" s="56" t="s">
        <v>58</v>
      </c>
      <c r="G35" s="57">
        <v>0</v>
      </c>
      <c r="H35" s="58"/>
      <c r="I35" s="96">
        <f t="shared" si="5"/>
        <v>0</v>
      </c>
      <c r="L35" s="57">
        <f t="shared" si="6"/>
        <v>0</v>
      </c>
    </row>
    <row r="36" spans="4:12" ht="15" customHeight="1" x14ac:dyDescent="0.25">
      <c r="D36" s="2"/>
      <c r="E36" s="51" t="s">
        <v>59</v>
      </c>
      <c r="F36" s="52" t="s">
        <v>60</v>
      </c>
      <c r="G36" s="59">
        <f>SUM(G37:G39)*1.25</f>
        <v>0</v>
      </c>
      <c r="H36" s="67"/>
      <c r="I36" s="94">
        <f>SUM(I37:I39)</f>
        <v>0</v>
      </c>
      <c r="L36" s="59">
        <f>SUM(L37:L39)</f>
        <v>0</v>
      </c>
    </row>
    <row r="37" spans="4:12" ht="15" customHeight="1" x14ac:dyDescent="0.25">
      <c r="D37" s="2"/>
      <c r="E37" s="65" t="s">
        <v>61</v>
      </c>
      <c r="F37" s="66" t="s">
        <v>62</v>
      </c>
      <c r="G37" s="57">
        <v>0</v>
      </c>
      <c r="H37" s="58"/>
      <c r="I37" s="96">
        <f>SUM(G37*1.25)</f>
        <v>0</v>
      </c>
      <c r="L37" s="57">
        <f>SUM(G37*1.25)</f>
        <v>0</v>
      </c>
    </row>
    <row r="38" spans="4:12" ht="15" customHeight="1" x14ac:dyDescent="0.25">
      <c r="D38" s="2"/>
      <c r="E38" s="65" t="s">
        <v>100</v>
      </c>
      <c r="F38" s="66" t="s">
        <v>64</v>
      </c>
      <c r="G38" s="57">
        <v>0</v>
      </c>
      <c r="H38" s="58"/>
      <c r="I38" s="96">
        <f t="shared" ref="I38:I39" si="7">SUM(G38*1.25)</f>
        <v>0</v>
      </c>
      <c r="L38" s="57">
        <f t="shared" ref="L38:L39" si="8">SUM(G38*1.25)</f>
        <v>0</v>
      </c>
    </row>
    <row r="39" spans="4:12" ht="15" customHeight="1" x14ac:dyDescent="0.25">
      <c r="D39" s="2"/>
      <c r="E39" s="65" t="s">
        <v>65</v>
      </c>
      <c r="F39" s="66" t="s">
        <v>66</v>
      </c>
      <c r="G39" s="57">
        <v>0</v>
      </c>
      <c r="H39" s="58"/>
      <c r="I39" s="96">
        <f t="shared" si="7"/>
        <v>0</v>
      </c>
      <c r="L39" s="57">
        <f t="shared" si="8"/>
        <v>0</v>
      </c>
    </row>
    <row r="40" spans="4:12" ht="15" customHeight="1" x14ac:dyDescent="0.25">
      <c r="D40" s="2"/>
      <c r="E40" s="51" t="s">
        <v>67</v>
      </c>
      <c r="F40" s="52" t="s">
        <v>68</v>
      </c>
      <c r="G40" s="59">
        <f>SUM(G41:G43)*1.25</f>
        <v>2261.1825389178325</v>
      </c>
      <c r="H40" s="67"/>
      <c r="I40" s="94">
        <f>SUM(I41:I43)</f>
        <v>2261.1825389178325</v>
      </c>
      <c r="L40" s="59">
        <f>SUM(L41:L43)</f>
        <v>2261.1825389178325</v>
      </c>
    </row>
    <row r="41" spans="4:12" ht="15" customHeight="1" x14ac:dyDescent="0.25">
      <c r="D41" s="2"/>
      <c r="E41" s="55" t="s">
        <v>69</v>
      </c>
      <c r="F41" s="56" t="s">
        <v>70</v>
      </c>
      <c r="G41" s="57">
        <v>0</v>
      </c>
      <c r="H41" s="58"/>
      <c r="I41" s="96">
        <f>SUM(G41*1.25)</f>
        <v>0</v>
      </c>
      <c r="L41" s="57">
        <f>SUM(G41*1.25)</f>
        <v>0</v>
      </c>
    </row>
    <row r="42" spans="4:12" ht="15" customHeight="1" x14ac:dyDescent="0.25">
      <c r="D42" s="2"/>
      <c r="E42" s="55" t="s">
        <v>71</v>
      </c>
      <c r="F42" s="56" t="s">
        <v>72</v>
      </c>
      <c r="G42" s="57">
        <v>1808.9460311342659</v>
      </c>
      <c r="H42" s="58"/>
      <c r="I42" s="96">
        <f t="shared" ref="I42:I43" si="9">SUM(G42*1.25)</f>
        <v>2261.1825389178325</v>
      </c>
      <c r="L42" s="57">
        <f t="shared" ref="L42:L43" si="10">SUM(G42*1.25)</f>
        <v>2261.1825389178325</v>
      </c>
    </row>
    <row r="43" spans="4:12" ht="15" customHeight="1" x14ac:dyDescent="0.25">
      <c r="D43" s="2"/>
      <c r="E43" s="55" t="s">
        <v>73</v>
      </c>
      <c r="F43" s="56" t="s">
        <v>74</v>
      </c>
      <c r="G43" s="57">
        <v>0</v>
      </c>
      <c r="H43" s="58"/>
      <c r="I43" s="96">
        <f t="shared" si="9"/>
        <v>0</v>
      </c>
      <c r="L43" s="57">
        <f t="shared" si="10"/>
        <v>0</v>
      </c>
    </row>
    <row r="44" spans="4:12" ht="15" customHeight="1" x14ac:dyDescent="0.25">
      <c r="D44" s="2"/>
      <c r="E44" s="51" t="s">
        <v>75</v>
      </c>
      <c r="F44" s="52" t="s">
        <v>76</v>
      </c>
      <c r="G44" s="59">
        <f>SUM(G45:G47)*1.25</f>
        <v>5531.9342388149998</v>
      </c>
      <c r="H44" s="67"/>
      <c r="I44" s="94">
        <f>SUM(I45:I47)</f>
        <v>5531.9342388149998</v>
      </c>
      <c r="L44" s="59">
        <f>SUM(L45:L47)</f>
        <v>5531.9342388149998</v>
      </c>
    </row>
    <row r="45" spans="4:12" ht="15" customHeight="1" x14ac:dyDescent="0.25">
      <c r="D45" s="2"/>
      <c r="E45" s="55" t="s">
        <v>77</v>
      </c>
      <c r="F45" s="56" t="s">
        <v>78</v>
      </c>
      <c r="G45" s="57">
        <v>3808.029150440093</v>
      </c>
      <c r="H45" s="58"/>
      <c r="I45" s="96">
        <f>SUM(G45*1.25)</f>
        <v>4760.036438050116</v>
      </c>
      <c r="L45" s="57">
        <f>SUM(G45*1.25)</f>
        <v>4760.036438050116</v>
      </c>
    </row>
    <row r="46" spans="4:12" ht="15" customHeight="1" x14ac:dyDescent="0.25">
      <c r="D46" s="2"/>
      <c r="E46" s="55" t="s">
        <v>79</v>
      </c>
      <c r="F46" s="56" t="s">
        <v>80</v>
      </c>
      <c r="G46" s="75">
        <v>617.518240611907</v>
      </c>
      <c r="H46" s="58"/>
      <c r="I46" s="96">
        <f t="shared" ref="I46:I47" si="11">SUM(G46*1.25)</f>
        <v>771.89780076488375</v>
      </c>
      <c r="L46" s="57">
        <f t="shared" ref="L46:L47" si="12">SUM(G46*1.25)</f>
        <v>771.89780076488375</v>
      </c>
    </row>
    <row r="47" spans="4:12" ht="15" customHeight="1" thickBot="1" x14ac:dyDescent="0.3">
      <c r="D47" s="2"/>
      <c r="E47" s="69" t="s">
        <v>81</v>
      </c>
      <c r="F47" s="56" t="s">
        <v>82</v>
      </c>
      <c r="G47" s="75">
        <v>0</v>
      </c>
      <c r="H47" s="58"/>
      <c r="I47" s="96">
        <f t="shared" si="11"/>
        <v>0</v>
      </c>
      <c r="L47" s="57">
        <f t="shared" si="12"/>
        <v>0</v>
      </c>
    </row>
    <row r="48" spans="4:12" ht="15.75" thickBot="1" x14ac:dyDescent="0.3">
      <c r="D48" s="2"/>
      <c r="E48" s="71" t="s">
        <v>83</v>
      </c>
      <c r="F48" s="3" t="s">
        <v>84</v>
      </c>
      <c r="G48" s="72">
        <f>SUM(G9+G10+G14+G19+G26+G36+G40+G44)</f>
        <v>49543.484666653181</v>
      </c>
      <c r="H48" s="73"/>
      <c r="I48" s="94">
        <f>SUM(I9+I10+I14+I19+I26+I36+I40+I44)</f>
        <v>56082.736094674023</v>
      </c>
      <c r="L48" s="72">
        <f>SUM(L9+L10+L14+L19+L26+L36+L40+L44)</f>
        <v>47632.423184109124</v>
      </c>
    </row>
    <row r="49" spans="4:5" x14ac:dyDescent="0.25">
      <c r="D49" s="2"/>
    </row>
    <row r="56" spans="4:5" x14ac:dyDescent="0.25">
      <c r="E56" t="s">
        <v>84</v>
      </c>
    </row>
  </sheetData>
  <phoneticPr fontId="1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5CA8-2B0A-4093-ACC2-C1DDC069CD24}">
  <dimension ref="A1:AH55"/>
  <sheetViews>
    <sheetView topLeftCell="A15" workbookViewId="0">
      <selection activeCell="M26" sqref="M26"/>
    </sheetView>
  </sheetViews>
  <sheetFormatPr baseColWidth="10" defaultColWidth="9.140625" defaultRowHeight="15" x14ac:dyDescent="0.25"/>
  <cols>
    <col min="1" max="1" width="61.7109375" customWidth="1"/>
    <col min="2" max="9" width="15.7109375" customWidth="1"/>
    <col min="20" max="20" width="52.140625" customWidth="1"/>
    <col min="21" max="21" width="6" style="6" customWidth="1"/>
    <col min="22" max="22" width="14.140625" style="74" customWidth="1"/>
    <col min="23" max="23" width="4" style="74" customWidth="1"/>
    <col min="24" max="24" width="14.28515625" style="4" customWidth="1"/>
    <col min="25" max="25" width="11" customWidth="1"/>
  </cols>
  <sheetData>
    <row r="1" spans="1:34" x14ac:dyDescent="0.25">
      <c r="V1" s="6"/>
      <c r="W1" s="45"/>
      <c r="AC1" s="105">
        <f t="shared" ref="AC1:AC39" si="0">AF2*1.25</f>
        <v>12375</v>
      </c>
      <c r="AF1">
        <v>16600</v>
      </c>
      <c r="AH1">
        <v>1.25</v>
      </c>
    </row>
    <row r="2" spans="1:34" x14ac:dyDescent="0.25">
      <c r="A2" t="s">
        <v>84</v>
      </c>
      <c r="H2" s="232" t="s">
        <v>194</v>
      </c>
      <c r="I2" s="243" t="s">
        <v>194</v>
      </c>
      <c r="T2" s="6"/>
      <c r="V2" s="6"/>
      <c r="W2" s="6"/>
      <c r="AC2" s="107">
        <f t="shared" si="0"/>
        <v>6187.5</v>
      </c>
      <c r="AF2" s="105">
        <f>SUM(AF3:AF5)</f>
        <v>9900</v>
      </c>
    </row>
    <row r="3" spans="1:34" x14ac:dyDescent="0.25">
      <c r="C3" s="214"/>
      <c r="H3" s="235" t="s">
        <v>195</v>
      </c>
      <c r="I3" s="218" t="s">
        <v>196</v>
      </c>
      <c r="T3" t="s">
        <v>84</v>
      </c>
      <c r="V3" s="6"/>
      <c r="W3" s="6"/>
      <c r="Y3" t="s">
        <v>84</v>
      </c>
      <c r="AC3" s="107">
        <f t="shared" si="0"/>
        <v>3093.75</v>
      </c>
      <c r="AF3" s="114">
        <v>4950</v>
      </c>
    </row>
    <row r="4" spans="1:34" x14ac:dyDescent="0.25">
      <c r="A4" s="2"/>
      <c r="B4" s="3"/>
      <c r="C4" s="236" t="s">
        <v>197</v>
      </c>
      <c r="D4" s="237" t="s">
        <v>197</v>
      </c>
      <c r="E4" s="215"/>
      <c r="F4" s="215"/>
      <c r="G4" s="215"/>
      <c r="H4" s="233" t="s">
        <v>198</v>
      </c>
      <c r="I4" s="216" t="s">
        <v>198</v>
      </c>
      <c r="T4" s="2"/>
      <c r="U4" s="3"/>
      <c r="V4" s="46" t="s">
        <v>0</v>
      </c>
      <c r="W4" s="47"/>
      <c r="Y4" t="s">
        <v>114</v>
      </c>
      <c r="Z4">
        <v>83.951999999999998</v>
      </c>
      <c r="AC4" s="107">
        <f t="shared" si="0"/>
        <v>3093.75</v>
      </c>
      <c r="AF4" s="114">
        <v>2475</v>
      </c>
    </row>
    <row r="5" spans="1:34" x14ac:dyDescent="0.25">
      <c r="A5" s="2"/>
      <c r="B5" s="3"/>
      <c r="C5" s="236" t="s">
        <v>199</v>
      </c>
      <c r="D5" s="237" t="s">
        <v>199</v>
      </c>
      <c r="E5" s="229" t="s">
        <v>194</v>
      </c>
      <c r="F5" s="229" t="s">
        <v>194</v>
      </c>
      <c r="G5" s="229" t="s">
        <v>194</v>
      </c>
      <c r="H5" s="234">
        <v>9900</v>
      </c>
      <c r="I5" s="217">
        <v>9900</v>
      </c>
      <c r="T5" s="2"/>
      <c r="U5" s="3"/>
      <c r="V5" s="46" t="s">
        <v>1</v>
      </c>
      <c r="W5" s="48"/>
      <c r="AC5" s="105">
        <f t="shared" si="0"/>
        <v>47406.25</v>
      </c>
      <c r="AF5" s="114">
        <v>2475</v>
      </c>
    </row>
    <row r="6" spans="1:34" ht="18.75" x14ac:dyDescent="0.3">
      <c r="A6" s="2"/>
      <c r="B6" s="3"/>
      <c r="C6" s="236" t="s">
        <v>200</v>
      </c>
      <c r="D6" s="237" t="s">
        <v>200</v>
      </c>
      <c r="E6" s="230" t="s">
        <v>201</v>
      </c>
      <c r="F6" s="230" t="s">
        <v>201</v>
      </c>
      <c r="G6" s="230"/>
      <c r="H6" s="235" t="s">
        <v>201</v>
      </c>
      <c r="I6" s="218" t="s">
        <v>201</v>
      </c>
      <c r="T6" s="2"/>
      <c r="U6" s="3"/>
      <c r="V6" s="46" t="s">
        <v>88</v>
      </c>
      <c r="W6" s="49"/>
      <c r="Z6" s="90"/>
      <c r="AC6" s="107">
        <f t="shared" si="0"/>
        <v>0</v>
      </c>
      <c r="AF6" s="115">
        <f>SUM(AF7:AF10)</f>
        <v>37925</v>
      </c>
    </row>
    <row r="7" spans="1:34" x14ac:dyDescent="0.25">
      <c r="A7" s="2"/>
      <c r="B7" s="50" t="s">
        <v>3</v>
      </c>
      <c r="C7" s="236" t="s">
        <v>84</v>
      </c>
      <c r="D7" s="237" t="s">
        <v>84</v>
      </c>
      <c r="E7" s="230" t="s">
        <v>83</v>
      </c>
      <c r="F7" s="230" t="s">
        <v>83</v>
      </c>
      <c r="G7" s="231" t="s">
        <v>202</v>
      </c>
      <c r="H7" s="235" t="s">
        <v>203</v>
      </c>
      <c r="I7" s="218" t="s">
        <v>204</v>
      </c>
      <c r="T7" s="2" t="s">
        <v>103</v>
      </c>
      <c r="U7" s="50" t="s">
        <v>3</v>
      </c>
      <c r="V7" s="46" t="s">
        <v>97</v>
      </c>
      <c r="W7" s="49"/>
      <c r="X7" s="1"/>
      <c r="AC7" s="107">
        <f t="shared" si="0"/>
        <v>0</v>
      </c>
      <c r="AF7" s="114">
        <v>0</v>
      </c>
    </row>
    <row r="8" spans="1:34" x14ac:dyDescent="0.25">
      <c r="A8" s="2"/>
      <c r="B8" s="50" t="s">
        <v>4</v>
      </c>
      <c r="C8" s="236" t="s">
        <v>95</v>
      </c>
      <c r="D8" s="237" t="s">
        <v>205</v>
      </c>
      <c r="E8" s="230" t="s">
        <v>206</v>
      </c>
      <c r="F8" s="230" t="s">
        <v>207</v>
      </c>
      <c r="G8" s="230"/>
      <c r="H8" s="235" t="s">
        <v>208</v>
      </c>
      <c r="I8" s="218" t="s">
        <v>208</v>
      </c>
      <c r="T8" s="2"/>
      <c r="U8" s="50" t="s">
        <v>4</v>
      </c>
      <c r="V8" s="46" t="s">
        <v>84</v>
      </c>
      <c r="W8" s="49"/>
      <c r="X8" s="1"/>
      <c r="AC8" s="107">
        <f t="shared" si="0"/>
        <v>0</v>
      </c>
      <c r="AF8" s="114">
        <v>0</v>
      </c>
    </row>
    <row r="9" spans="1:34" ht="15" customHeight="1" x14ac:dyDescent="0.25">
      <c r="A9" s="51" t="s">
        <v>7</v>
      </c>
      <c r="B9" s="52" t="s">
        <v>8</v>
      </c>
      <c r="C9" s="247">
        <v>1</v>
      </c>
      <c r="D9" s="67">
        <v>140</v>
      </c>
      <c r="E9" s="67">
        <v>1</v>
      </c>
      <c r="F9" s="219">
        <v>140</v>
      </c>
      <c r="G9" s="221" t="s">
        <v>209</v>
      </c>
      <c r="H9" s="222">
        <v>9900</v>
      </c>
      <c r="I9" s="222">
        <v>12375</v>
      </c>
      <c r="T9" s="51" t="s">
        <v>7</v>
      </c>
      <c r="U9" s="52" t="s">
        <v>8</v>
      </c>
      <c r="V9" s="53">
        <f>SUM(V10:V12)</f>
        <v>13402.887500000001</v>
      </c>
      <c r="W9" s="54"/>
      <c r="X9" s="1">
        <f>V9*0.8</f>
        <v>10722.310000000001</v>
      </c>
      <c r="AC9" s="107">
        <f t="shared" si="0"/>
        <v>47406.25</v>
      </c>
      <c r="AF9" s="114">
        <v>0</v>
      </c>
    </row>
    <row r="10" spans="1:34" ht="15" customHeight="1" x14ac:dyDescent="0.25">
      <c r="A10" s="55" t="s">
        <v>9</v>
      </c>
      <c r="B10" s="56" t="s">
        <v>10</v>
      </c>
      <c r="C10" s="213">
        <v>0.5</v>
      </c>
      <c r="D10" s="223">
        <v>70</v>
      </c>
      <c r="E10" s="238">
        <v>0.5</v>
      </c>
      <c r="F10" s="239">
        <v>70</v>
      </c>
      <c r="G10" s="240" t="s">
        <v>209</v>
      </c>
      <c r="H10" s="241">
        <v>4950</v>
      </c>
      <c r="I10" s="224">
        <v>6187.5</v>
      </c>
      <c r="T10" s="55" t="s">
        <v>9</v>
      </c>
      <c r="U10" s="56" t="s">
        <v>10</v>
      </c>
      <c r="V10" s="57">
        <f>5772.31*1.25</f>
        <v>7215.3875000000007</v>
      </c>
      <c r="W10" s="58"/>
      <c r="X10" s="1">
        <f t="shared" ref="X10:X12" si="1">V10*0.8</f>
        <v>5772.3100000000013</v>
      </c>
      <c r="AC10" s="105">
        <f t="shared" si="0"/>
        <v>58500</v>
      </c>
      <c r="AF10" s="114">
        <v>37925</v>
      </c>
    </row>
    <row r="11" spans="1:34" ht="15" customHeight="1" x14ac:dyDescent="0.25">
      <c r="A11" s="55" t="s">
        <v>11</v>
      </c>
      <c r="B11" s="56" t="s">
        <v>12</v>
      </c>
      <c r="C11" s="213">
        <v>0.25</v>
      </c>
      <c r="D11" s="223">
        <v>35</v>
      </c>
      <c r="E11" s="238">
        <v>0.25</v>
      </c>
      <c r="F11" s="239">
        <v>35</v>
      </c>
      <c r="G11" s="240" t="s">
        <v>209</v>
      </c>
      <c r="H11" s="241">
        <v>2475</v>
      </c>
      <c r="I11" s="224">
        <v>3093.75</v>
      </c>
      <c r="T11" s="55" t="s">
        <v>11</v>
      </c>
      <c r="U11" s="56" t="s">
        <v>12</v>
      </c>
      <c r="V11" s="57">
        <f>2475*1.25</f>
        <v>3093.75</v>
      </c>
      <c r="W11" s="58"/>
      <c r="X11" s="1">
        <f t="shared" si="1"/>
        <v>2475</v>
      </c>
      <c r="AC11" s="107">
        <f t="shared" si="0"/>
        <v>7437.5</v>
      </c>
      <c r="AF11" s="115">
        <f>SUM(AF12:AF17)</f>
        <v>46800</v>
      </c>
    </row>
    <row r="12" spans="1:34" ht="15" customHeight="1" x14ac:dyDescent="0.25">
      <c r="A12" s="55" t="s">
        <v>13</v>
      </c>
      <c r="B12" s="56" t="s">
        <v>14</v>
      </c>
      <c r="C12" s="213">
        <v>0.25</v>
      </c>
      <c r="D12" s="223">
        <v>35</v>
      </c>
      <c r="E12" s="238">
        <v>0.25</v>
      </c>
      <c r="F12" s="239">
        <v>35</v>
      </c>
      <c r="G12" s="240" t="s">
        <v>209</v>
      </c>
      <c r="H12" s="241">
        <v>2475</v>
      </c>
      <c r="I12" s="224">
        <v>3093.75</v>
      </c>
      <c r="T12" s="55" t="s">
        <v>13</v>
      </c>
      <c r="U12" s="56" t="s">
        <v>14</v>
      </c>
      <c r="V12" s="57">
        <f>2475*1.25</f>
        <v>3093.75</v>
      </c>
      <c r="W12" s="58"/>
      <c r="X12" s="1">
        <f t="shared" si="1"/>
        <v>2475</v>
      </c>
      <c r="AC12" s="107">
        <f t="shared" si="0"/>
        <v>14375</v>
      </c>
      <c r="AF12" s="114">
        <v>5950</v>
      </c>
    </row>
    <row r="13" spans="1:34" ht="15" customHeight="1" x14ac:dyDescent="0.25">
      <c r="A13" s="51" t="s">
        <v>15</v>
      </c>
      <c r="B13" s="52" t="s">
        <v>16</v>
      </c>
      <c r="C13" s="247">
        <v>3.75</v>
      </c>
      <c r="D13" s="225">
        <v>525</v>
      </c>
      <c r="E13" s="220">
        <v>3.75</v>
      </c>
      <c r="F13" s="219">
        <v>525</v>
      </c>
      <c r="G13" s="221" t="s">
        <v>209</v>
      </c>
      <c r="H13" s="222">
        <v>37125</v>
      </c>
      <c r="I13" s="222">
        <v>46406.25</v>
      </c>
      <c r="T13" s="51" t="s">
        <v>15</v>
      </c>
      <c r="U13" s="52" t="s">
        <v>16</v>
      </c>
      <c r="V13" s="59">
        <f>SUM(V14:V17)</f>
        <v>30049.1875</v>
      </c>
      <c r="W13" s="60"/>
      <c r="X13" s="1">
        <f>V13*0.8</f>
        <v>24039.350000000002</v>
      </c>
      <c r="AC13" s="107">
        <f t="shared" si="0"/>
        <v>22312.5</v>
      </c>
      <c r="AF13" s="114">
        <v>11500</v>
      </c>
    </row>
    <row r="14" spans="1:34" ht="15" customHeight="1" x14ac:dyDescent="0.25">
      <c r="A14" s="55" t="s">
        <v>17</v>
      </c>
      <c r="B14" s="56" t="s">
        <v>18</v>
      </c>
      <c r="C14" s="213">
        <v>0</v>
      </c>
      <c r="D14" s="223">
        <v>0</v>
      </c>
      <c r="E14" s="238">
        <v>0</v>
      </c>
      <c r="F14" s="239">
        <v>0</v>
      </c>
      <c r="G14" s="240" t="s">
        <v>209</v>
      </c>
      <c r="H14" s="241">
        <v>0</v>
      </c>
      <c r="I14" s="224">
        <v>0</v>
      </c>
      <c r="T14" s="55" t="s">
        <v>17</v>
      </c>
      <c r="U14" s="56" t="s">
        <v>18</v>
      </c>
      <c r="V14" s="57">
        <v>0</v>
      </c>
      <c r="W14" s="58"/>
      <c r="X14" s="1">
        <f t="shared" ref="X14:X47" si="2">V14*0.8</f>
        <v>0</v>
      </c>
      <c r="AC14" s="107">
        <f t="shared" si="0"/>
        <v>0</v>
      </c>
      <c r="AF14" s="114">
        <v>17850</v>
      </c>
    </row>
    <row r="15" spans="1:34" ht="15" customHeight="1" x14ac:dyDescent="0.25">
      <c r="A15" s="55" t="s">
        <v>19</v>
      </c>
      <c r="B15" s="56" t="s">
        <v>20</v>
      </c>
      <c r="C15" s="213">
        <v>0</v>
      </c>
      <c r="D15" s="223">
        <v>0</v>
      </c>
      <c r="E15" s="238">
        <v>0</v>
      </c>
      <c r="F15" s="239">
        <v>0</v>
      </c>
      <c r="G15" s="240" t="s">
        <v>209</v>
      </c>
      <c r="H15" s="241">
        <v>0</v>
      </c>
      <c r="I15" s="224">
        <v>0</v>
      </c>
      <c r="T15" s="55" t="s">
        <v>19</v>
      </c>
      <c r="U15" s="56" t="s">
        <v>20</v>
      </c>
      <c r="V15" s="57">
        <v>0</v>
      </c>
      <c r="W15" s="58"/>
      <c r="X15" s="1">
        <f t="shared" si="2"/>
        <v>0</v>
      </c>
      <c r="AC15" s="107">
        <f t="shared" si="0"/>
        <v>0</v>
      </c>
      <c r="AF15" s="114">
        <v>0</v>
      </c>
    </row>
    <row r="16" spans="1:34" ht="15" customHeight="1" x14ac:dyDescent="0.25">
      <c r="A16" s="55" t="s">
        <v>21</v>
      </c>
      <c r="B16" s="56" t="s">
        <v>22</v>
      </c>
      <c r="C16" s="213">
        <v>0</v>
      </c>
      <c r="D16" s="223">
        <v>0</v>
      </c>
      <c r="E16" s="238">
        <v>0</v>
      </c>
      <c r="F16" s="239">
        <v>0</v>
      </c>
      <c r="G16" s="240" t="s">
        <v>209</v>
      </c>
      <c r="H16" s="241">
        <v>0</v>
      </c>
      <c r="I16" s="224">
        <v>0</v>
      </c>
      <c r="T16" s="55" t="s">
        <v>21</v>
      </c>
      <c r="U16" s="56" t="s">
        <v>22</v>
      </c>
      <c r="V16" s="57">
        <v>0</v>
      </c>
      <c r="W16" s="58"/>
      <c r="X16" s="1">
        <f t="shared" si="2"/>
        <v>0</v>
      </c>
      <c r="AC16" s="107">
        <f t="shared" si="0"/>
        <v>14375</v>
      </c>
      <c r="AF16" s="114">
        <v>0</v>
      </c>
    </row>
    <row r="17" spans="1:32" ht="15" customHeight="1" x14ac:dyDescent="0.25">
      <c r="A17" s="55" t="s">
        <v>23</v>
      </c>
      <c r="B17" s="56" t="s">
        <v>24</v>
      </c>
      <c r="C17" s="213">
        <v>3.75</v>
      </c>
      <c r="D17" s="223">
        <v>525</v>
      </c>
      <c r="E17" s="238">
        <v>3.75</v>
      </c>
      <c r="F17" s="239">
        <v>525</v>
      </c>
      <c r="G17" s="240" t="s">
        <v>209</v>
      </c>
      <c r="H17" s="241">
        <v>37125</v>
      </c>
      <c r="I17" s="224">
        <v>46406.25</v>
      </c>
      <c r="T17" s="55" t="s">
        <v>23</v>
      </c>
      <c r="U17" s="56" t="s">
        <v>24</v>
      </c>
      <c r="V17" s="57">
        <f>24039.35*1.25</f>
        <v>30049.1875</v>
      </c>
      <c r="W17" s="58"/>
      <c r="X17" s="1">
        <f t="shared" si="2"/>
        <v>24039.350000000002</v>
      </c>
      <c r="AC17" s="105">
        <f t="shared" si="0"/>
        <v>41687.5</v>
      </c>
      <c r="AF17" s="114">
        <v>11500</v>
      </c>
    </row>
    <row r="18" spans="1:32" ht="15" customHeight="1" x14ac:dyDescent="0.25">
      <c r="A18" s="51" t="s">
        <v>25</v>
      </c>
      <c r="B18" s="52" t="s">
        <v>26</v>
      </c>
      <c r="C18" s="247">
        <v>4</v>
      </c>
      <c r="D18" s="225">
        <v>560</v>
      </c>
      <c r="E18" s="220">
        <v>4</v>
      </c>
      <c r="F18" s="219">
        <v>560</v>
      </c>
      <c r="G18" s="221" t="s">
        <v>209</v>
      </c>
      <c r="H18" s="222">
        <v>39600</v>
      </c>
      <c r="I18" s="222">
        <v>49500</v>
      </c>
      <c r="T18" s="51" t="s">
        <v>25</v>
      </c>
      <c r="U18" s="52" t="s">
        <v>26</v>
      </c>
      <c r="V18" s="59">
        <f>SUM(V19:V24)</f>
        <v>34570.487500000003</v>
      </c>
      <c r="W18" s="60"/>
      <c r="X18" s="1">
        <f t="shared" si="2"/>
        <v>27656.390000000003</v>
      </c>
      <c r="AC18" s="107">
        <f t="shared" si="0"/>
        <v>0</v>
      </c>
      <c r="AF18" s="116">
        <f>SUM(AF19:AF27)</f>
        <v>33350</v>
      </c>
    </row>
    <row r="19" spans="1:32" ht="15" customHeight="1" x14ac:dyDescent="0.25">
      <c r="A19" s="55" t="s">
        <v>27</v>
      </c>
      <c r="B19" s="56" t="s">
        <v>28</v>
      </c>
      <c r="C19" s="213">
        <v>0.5</v>
      </c>
      <c r="D19" s="223">
        <v>70</v>
      </c>
      <c r="E19" s="238">
        <v>0.5</v>
      </c>
      <c r="F19" s="239">
        <v>70</v>
      </c>
      <c r="G19" s="240" t="s">
        <v>209</v>
      </c>
      <c r="H19" s="241">
        <v>4950</v>
      </c>
      <c r="I19" s="224">
        <v>6187.5</v>
      </c>
      <c r="T19" s="55" t="s">
        <v>27</v>
      </c>
      <c r="U19" s="56" t="s">
        <v>28</v>
      </c>
      <c r="V19" s="57">
        <f>4950*1.25</f>
        <v>6187.5</v>
      </c>
      <c r="W19" s="58"/>
      <c r="X19" s="1">
        <f t="shared" si="2"/>
        <v>4950</v>
      </c>
      <c r="AC19" s="107">
        <f t="shared" si="0"/>
        <v>24312.5</v>
      </c>
      <c r="AF19" s="114">
        <v>0</v>
      </c>
    </row>
    <row r="20" spans="1:32" ht="15" customHeight="1" x14ac:dyDescent="0.25">
      <c r="A20" s="55" t="s">
        <v>29</v>
      </c>
      <c r="B20" s="56" t="s">
        <v>30</v>
      </c>
      <c r="C20" s="213">
        <v>1</v>
      </c>
      <c r="D20" s="223">
        <v>140</v>
      </c>
      <c r="E20" s="238">
        <v>1</v>
      </c>
      <c r="F20" s="239">
        <v>140</v>
      </c>
      <c r="G20" s="240" t="s">
        <v>209</v>
      </c>
      <c r="H20" s="241">
        <v>9900</v>
      </c>
      <c r="I20" s="224">
        <v>12375</v>
      </c>
      <c r="T20" s="55" t="s">
        <v>29</v>
      </c>
      <c r="U20" s="56" t="s">
        <v>30</v>
      </c>
      <c r="V20" s="57">
        <f>5987.52*1.25</f>
        <v>7484.4000000000005</v>
      </c>
      <c r="W20" s="58"/>
      <c r="X20" s="1">
        <f t="shared" si="2"/>
        <v>5987.52</v>
      </c>
      <c r="AC20" s="107">
        <f t="shared" si="0"/>
        <v>8687.5</v>
      </c>
      <c r="AF20" s="114">
        <v>19450</v>
      </c>
    </row>
    <row r="21" spans="1:32" ht="15" customHeight="1" x14ac:dyDescent="0.25">
      <c r="A21" s="55" t="s">
        <v>31</v>
      </c>
      <c r="B21" s="56" t="s">
        <v>32</v>
      </c>
      <c r="C21" s="213">
        <v>1.5</v>
      </c>
      <c r="D21" s="223">
        <v>210</v>
      </c>
      <c r="E21" s="238">
        <v>1.5</v>
      </c>
      <c r="F21" s="239">
        <v>210</v>
      </c>
      <c r="G21" s="240" t="s">
        <v>209</v>
      </c>
      <c r="H21" s="241">
        <v>14850</v>
      </c>
      <c r="I21" s="224">
        <v>18562.5</v>
      </c>
      <c r="T21" s="55" t="s">
        <v>31</v>
      </c>
      <c r="U21" s="56" t="s">
        <v>32</v>
      </c>
      <c r="V21" s="57">
        <f>11768.87*1.25</f>
        <v>14711.087500000001</v>
      </c>
      <c r="W21" s="58"/>
      <c r="X21" s="1">
        <f t="shared" si="2"/>
        <v>11768.870000000003</v>
      </c>
      <c r="Z21" t="s">
        <v>84</v>
      </c>
      <c r="AC21" s="107">
        <f t="shared" si="0"/>
        <v>0</v>
      </c>
      <c r="AF21" s="114">
        <v>6950</v>
      </c>
    </row>
    <row r="22" spans="1:32" ht="15" customHeight="1" x14ac:dyDescent="0.25">
      <c r="A22" s="55" t="s">
        <v>33</v>
      </c>
      <c r="B22" s="56" t="s">
        <v>34</v>
      </c>
      <c r="C22" s="213">
        <v>0</v>
      </c>
      <c r="D22" s="223">
        <v>0</v>
      </c>
      <c r="E22" s="238">
        <v>0</v>
      </c>
      <c r="F22" s="239">
        <v>0</v>
      </c>
      <c r="G22" s="240" t="s">
        <v>210</v>
      </c>
      <c r="H22" s="241">
        <v>0</v>
      </c>
      <c r="I22" s="224">
        <v>0</v>
      </c>
      <c r="T22" s="55" t="s">
        <v>33</v>
      </c>
      <c r="U22" s="56" t="s">
        <v>34</v>
      </c>
      <c r="V22" s="57">
        <v>0</v>
      </c>
      <c r="W22" s="58"/>
      <c r="X22" s="1">
        <f t="shared" si="2"/>
        <v>0</v>
      </c>
      <c r="AC22" s="107">
        <f t="shared" si="0"/>
        <v>0</v>
      </c>
      <c r="AD22" t="s">
        <v>8</v>
      </c>
      <c r="AE22" s="82">
        <f>SUM(V9)</f>
        <v>13402.887500000001</v>
      </c>
      <c r="AF22" s="114">
        <v>0</v>
      </c>
    </row>
    <row r="23" spans="1:32" ht="15" customHeight="1" x14ac:dyDescent="0.25">
      <c r="A23" s="55" t="s">
        <v>35</v>
      </c>
      <c r="B23" s="56" t="s">
        <v>36</v>
      </c>
      <c r="C23" s="213">
        <v>0</v>
      </c>
      <c r="D23" s="223">
        <v>0</v>
      </c>
      <c r="E23" s="238">
        <v>0</v>
      </c>
      <c r="F23" s="239">
        <v>0</v>
      </c>
      <c r="G23" s="240" t="s">
        <v>210</v>
      </c>
      <c r="H23" s="241">
        <v>0</v>
      </c>
      <c r="I23" s="224">
        <v>0</v>
      </c>
      <c r="T23" s="55" t="s">
        <v>35</v>
      </c>
      <c r="U23" s="56" t="s">
        <v>36</v>
      </c>
      <c r="V23" s="57">
        <v>0</v>
      </c>
      <c r="W23" s="58"/>
      <c r="X23" s="1">
        <f t="shared" si="2"/>
        <v>0</v>
      </c>
      <c r="AC23" s="107">
        <f t="shared" si="0"/>
        <v>0</v>
      </c>
      <c r="AD23" t="s">
        <v>16</v>
      </c>
      <c r="AE23" s="82">
        <f>SUM(V13)</f>
        <v>30049.1875</v>
      </c>
      <c r="AF23" s="114">
        <v>0</v>
      </c>
    </row>
    <row r="24" spans="1:32" ht="15" customHeight="1" x14ac:dyDescent="0.25">
      <c r="A24" s="249" t="s">
        <v>37</v>
      </c>
      <c r="B24" s="250" t="s">
        <v>38</v>
      </c>
      <c r="C24" s="213">
        <v>1</v>
      </c>
      <c r="D24" s="223">
        <v>140</v>
      </c>
      <c r="E24" s="238">
        <v>1</v>
      </c>
      <c r="F24" s="239">
        <v>140</v>
      </c>
      <c r="G24" s="240" t="s">
        <v>211</v>
      </c>
      <c r="H24" s="241">
        <v>9900</v>
      </c>
      <c r="I24" s="224">
        <v>12375</v>
      </c>
      <c r="T24" s="65" t="s">
        <v>37</v>
      </c>
      <c r="U24" s="66" t="s">
        <v>38</v>
      </c>
      <c r="V24" s="57">
        <f>4950*1.25</f>
        <v>6187.5</v>
      </c>
      <c r="W24" s="58"/>
      <c r="X24" s="1">
        <f t="shared" si="2"/>
        <v>4950</v>
      </c>
      <c r="AC24" s="107">
        <f t="shared" si="0"/>
        <v>0</v>
      </c>
      <c r="AD24" t="s">
        <v>26</v>
      </c>
      <c r="AE24" s="82">
        <f>SUM(V18)</f>
        <v>34570.487500000003</v>
      </c>
      <c r="AF24" s="114">
        <v>0</v>
      </c>
    </row>
    <row r="25" spans="1:32" ht="15" customHeight="1" x14ac:dyDescent="0.25">
      <c r="A25" s="51" t="s">
        <v>212</v>
      </c>
      <c r="B25" s="52" t="s">
        <v>40</v>
      </c>
      <c r="C25" s="247">
        <v>2.5</v>
      </c>
      <c r="D25" s="225">
        <v>350</v>
      </c>
      <c r="E25" s="220">
        <v>2.5</v>
      </c>
      <c r="F25" s="219">
        <v>350</v>
      </c>
      <c r="G25" s="221" t="s">
        <v>209</v>
      </c>
      <c r="H25" s="222">
        <v>24750</v>
      </c>
      <c r="I25" s="222">
        <v>30937.5</v>
      </c>
      <c r="T25" s="51" t="s">
        <v>39</v>
      </c>
      <c r="U25" s="52" t="s">
        <v>40</v>
      </c>
      <c r="V25" s="59">
        <f>SUM(V26:V34)</f>
        <v>5126.7875000000004</v>
      </c>
      <c r="W25" s="67"/>
      <c r="X25" s="1">
        <f t="shared" si="2"/>
        <v>4101.43</v>
      </c>
      <c r="Y25" s="68" t="s">
        <v>84</v>
      </c>
      <c r="Z25" t="s">
        <v>84</v>
      </c>
      <c r="AC25" s="107">
        <f t="shared" si="0"/>
        <v>0</v>
      </c>
      <c r="AD25" t="s">
        <v>40</v>
      </c>
      <c r="AE25" s="82">
        <f>SUM(V25)</f>
        <v>5126.7875000000004</v>
      </c>
      <c r="AF25" s="114">
        <v>0</v>
      </c>
    </row>
    <row r="26" spans="1:32" ht="15" customHeight="1" x14ac:dyDescent="0.25">
      <c r="A26" s="69" t="s">
        <v>213</v>
      </c>
      <c r="B26" s="56" t="s">
        <v>42</v>
      </c>
      <c r="C26" s="213">
        <v>0</v>
      </c>
      <c r="D26" s="223">
        <v>0</v>
      </c>
      <c r="E26" s="238">
        <v>0</v>
      </c>
      <c r="F26" s="239">
        <v>0</v>
      </c>
      <c r="G26" s="240" t="s">
        <v>209</v>
      </c>
      <c r="H26" s="241">
        <v>0</v>
      </c>
      <c r="I26" s="224">
        <v>0</v>
      </c>
      <c r="T26" s="69" t="s">
        <v>102</v>
      </c>
      <c r="U26" s="56" t="s">
        <v>42</v>
      </c>
      <c r="V26" s="57">
        <v>0</v>
      </c>
      <c r="W26" s="58"/>
      <c r="X26" s="1">
        <f t="shared" si="2"/>
        <v>0</v>
      </c>
      <c r="AC26" s="107">
        <f t="shared" si="0"/>
        <v>8687.5</v>
      </c>
      <c r="AD26" t="s">
        <v>60</v>
      </c>
      <c r="AE26" s="82">
        <f>SUM(V35)</f>
        <v>0</v>
      </c>
      <c r="AF26" s="114">
        <v>0</v>
      </c>
    </row>
    <row r="27" spans="1:32" ht="15" customHeight="1" x14ac:dyDescent="0.25">
      <c r="A27" s="251" t="s">
        <v>43</v>
      </c>
      <c r="B27" s="250" t="s">
        <v>44</v>
      </c>
      <c r="C27" s="213">
        <v>1.5</v>
      </c>
      <c r="D27" s="223">
        <v>210</v>
      </c>
      <c r="E27" s="238">
        <v>1.5</v>
      </c>
      <c r="F27" s="239">
        <v>210</v>
      </c>
      <c r="G27" s="240" t="s">
        <v>210</v>
      </c>
      <c r="H27" s="241">
        <v>14850</v>
      </c>
      <c r="I27" s="224">
        <v>18562.5</v>
      </c>
      <c r="T27" s="69" t="s">
        <v>43</v>
      </c>
      <c r="U27" s="56" t="s">
        <v>44</v>
      </c>
      <c r="V27" s="57">
        <f>4101.43*1.25</f>
        <v>5126.7875000000004</v>
      </c>
      <c r="W27" s="58"/>
      <c r="X27" s="1">
        <f t="shared" si="2"/>
        <v>4101.43</v>
      </c>
      <c r="AC27" s="105">
        <f t="shared" si="0"/>
        <v>9281.25</v>
      </c>
      <c r="AD27" t="s">
        <v>68</v>
      </c>
      <c r="AE27" s="82">
        <f>SUM(V39)</f>
        <v>0</v>
      </c>
      <c r="AF27" s="114">
        <v>6950</v>
      </c>
    </row>
    <row r="28" spans="1:32" ht="15" customHeight="1" x14ac:dyDescent="0.25">
      <c r="A28" s="69" t="s">
        <v>45</v>
      </c>
      <c r="B28" s="56" t="s">
        <v>46</v>
      </c>
      <c r="C28" s="213">
        <v>0.5</v>
      </c>
      <c r="D28" s="223">
        <v>70</v>
      </c>
      <c r="E28" s="238">
        <v>0.5</v>
      </c>
      <c r="F28" s="239">
        <v>70</v>
      </c>
      <c r="G28" s="240" t="s">
        <v>209</v>
      </c>
      <c r="H28" s="241">
        <v>4950</v>
      </c>
      <c r="I28" s="224">
        <v>6187.5</v>
      </c>
      <c r="T28" s="69" t="s">
        <v>45</v>
      </c>
      <c r="U28" s="56" t="s">
        <v>46</v>
      </c>
      <c r="V28" s="57">
        <v>0</v>
      </c>
      <c r="W28" s="58"/>
      <c r="X28" s="1">
        <f t="shared" si="2"/>
        <v>0</v>
      </c>
      <c r="AC28" s="107">
        <f t="shared" si="0"/>
        <v>3093.75</v>
      </c>
      <c r="AD28" t="s">
        <v>76</v>
      </c>
      <c r="AE28" s="82">
        <f>SUM(V43)</f>
        <v>0</v>
      </c>
      <c r="AF28" s="116">
        <f>SUM(AF29:AF31)</f>
        <v>7425</v>
      </c>
    </row>
    <row r="29" spans="1:32" ht="15" customHeight="1" x14ac:dyDescent="0.25">
      <c r="A29" s="69" t="s">
        <v>47</v>
      </c>
      <c r="B29" s="56" t="s">
        <v>48</v>
      </c>
      <c r="C29" s="213">
        <v>0</v>
      </c>
      <c r="D29" s="223">
        <v>0</v>
      </c>
      <c r="E29" s="238">
        <v>0</v>
      </c>
      <c r="F29" s="239">
        <v>0</v>
      </c>
      <c r="G29" s="240" t="s">
        <v>210</v>
      </c>
      <c r="H29" s="241">
        <v>0</v>
      </c>
      <c r="I29" s="224">
        <v>0</v>
      </c>
      <c r="T29" s="69" t="s">
        <v>47</v>
      </c>
      <c r="U29" s="56" t="s">
        <v>48</v>
      </c>
      <c r="V29" s="57">
        <v>0</v>
      </c>
      <c r="W29" s="58"/>
      <c r="X29" s="1">
        <f t="shared" si="2"/>
        <v>0</v>
      </c>
      <c r="AC29" s="107">
        <f t="shared" si="0"/>
        <v>3093.75</v>
      </c>
      <c r="AF29" s="114">
        <v>2475</v>
      </c>
    </row>
    <row r="30" spans="1:32" ht="15" customHeight="1" x14ac:dyDescent="0.25">
      <c r="A30" s="251" t="s">
        <v>214</v>
      </c>
      <c r="B30" s="250" t="s">
        <v>50</v>
      </c>
      <c r="C30" s="213">
        <v>0</v>
      </c>
      <c r="D30" s="223">
        <v>0</v>
      </c>
      <c r="E30" s="238">
        <v>0</v>
      </c>
      <c r="F30" s="239">
        <v>0</v>
      </c>
      <c r="G30" s="240" t="s">
        <v>210</v>
      </c>
      <c r="H30" s="241">
        <v>0</v>
      </c>
      <c r="I30" s="224">
        <v>0</v>
      </c>
      <c r="T30" s="70" t="s">
        <v>99</v>
      </c>
      <c r="U30" s="66" t="s">
        <v>50</v>
      </c>
      <c r="V30" s="57">
        <v>0</v>
      </c>
      <c r="W30" s="58"/>
      <c r="X30" s="1">
        <f t="shared" si="2"/>
        <v>0</v>
      </c>
      <c r="Z30" t="s">
        <v>84</v>
      </c>
      <c r="AC30" s="107">
        <f t="shared" si="0"/>
        <v>3093.75</v>
      </c>
      <c r="AF30" s="114">
        <v>2475</v>
      </c>
    </row>
    <row r="31" spans="1:32" ht="15" customHeight="1" x14ac:dyDescent="0.25">
      <c r="A31" s="69" t="s">
        <v>51</v>
      </c>
      <c r="B31" s="56" t="s">
        <v>52</v>
      </c>
      <c r="C31" s="213">
        <v>0</v>
      </c>
      <c r="D31" s="223">
        <v>0</v>
      </c>
      <c r="E31" s="238">
        <v>0</v>
      </c>
      <c r="F31" s="239">
        <v>0</v>
      </c>
      <c r="G31" s="240" t="s">
        <v>210</v>
      </c>
      <c r="H31" s="241">
        <v>0</v>
      </c>
      <c r="I31" s="224">
        <v>0</v>
      </c>
      <c r="T31" s="69" t="s">
        <v>51</v>
      </c>
      <c r="U31" s="56" t="s">
        <v>52</v>
      </c>
      <c r="V31" s="57">
        <v>0</v>
      </c>
      <c r="W31" s="58"/>
      <c r="X31" s="1">
        <f t="shared" si="2"/>
        <v>0</v>
      </c>
      <c r="AC31" s="105">
        <f t="shared" si="0"/>
        <v>12375</v>
      </c>
      <c r="AF31" s="114">
        <v>2475</v>
      </c>
    </row>
    <row r="32" spans="1:32" ht="15" customHeight="1" x14ac:dyDescent="0.25">
      <c r="A32" s="69" t="s">
        <v>53</v>
      </c>
      <c r="B32" s="56" t="s">
        <v>54</v>
      </c>
      <c r="C32" s="213">
        <v>0</v>
      </c>
      <c r="D32" s="223">
        <v>0</v>
      </c>
      <c r="E32" s="238">
        <v>0</v>
      </c>
      <c r="F32" s="239">
        <v>0</v>
      </c>
      <c r="G32" s="240" t="s">
        <v>210</v>
      </c>
      <c r="H32" s="241">
        <v>0</v>
      </c>
      <c r="I32" s="224">
        <v>0</v>
      </c>
      <c r="T32" s="69" t="s">
        <v>53</v>
      </c>
      <c r="U32" s="56" t="s">
        <v>54</v>
      </c>
      <c r="V32" s="57">
        <v>0</v>
      </c>
      <c r="W32" s="58"/>
      <c r="X32" s="1">
        <f t="shared" si="2"/>
        <v>0</v>
      </c>
      <c r="Y32" t="s">
        <v>84</v>
      </c>
      <c r="AC32" s="107">
        <f t="shared" si="0"/>
        <v>0</v>
      </c>
      <c r="AF32" s="116">
        <f>SUM(AF33:AF35)</f>
        <v>9900</v>
      </c>
    </row>
    <row r="33" spans="1:32" ht="15" customHeight="1" x14ac:dyDescent="0.25">
      <c r="A33" s="55" t="s">
        <v>55</v>
      </c>
      <c r="B33" s="56" t="s">
        <v>56</v>
      </c>
      <c r="C33" s="213">
        <v>0</v>
      </c>
      <c r="D33" s="223">
        <v>0</v>
      </c>
      <c r="E33" s="238">
        <v>0</v>
      </c>
      <c r="F33" s="239">
        <v>0</v>
      </c>
      <c r="G33" s="240" t="s">
        <v>209</v>
      </c>
      <c r="H33" s="241">
        <v>0</v>
      </c>
      <c r="I33" s="224">
        <v>0</v>
      </c>
      <c r="T33" s="55" t="s">
        <v>55</v>
      </c>
      <c r="U33" s="56" t="s">
        <v>56</v>
      </c>
      <c r="V33" s="57">
        <v>0</v>
      </c>
      <c r="W33" s="58"/>
      <c r="X33" s="1">
        <f t="shared" si="2"/>
        <v>0</v>
      </c>
      <c r="AC33" s="107">
        <f t="shared" si="0"/>
        <v>6187.5</v>
      </c>
      <c r="AF33" s="114">
        <v>0</v>
      </c>
    </row>
    <row r="34" spans="1:32" ht="15" customHeight="1" x14ac:dyDescent="0.25">
      <c r="A34" s="55" t="s">
        <v>57</v>
      </c>
      <c r="B34" s="56" t="s">
        <v>58</v>
      </c>
      <c r="C34" s="213">
        <v>0.5</v>
      </c>
      <c r="D34" s="223">
        <v>70</v>
      </c>
      <c r="E34" s="238">
        <v>0.5</v>
      </c>
      <c r="F34" s="239">
        <v>70</v>
      </c>
      <c r="G34" s="240" t="s">
        <v>209</v>
      </c>
      <c r="H34" s="241">
        <v>4950</v>
      </c>
      <c r="I34" s="224">
        <v>6187.5</v>
      </c>
      <c r="T34" s="55" t="s">
        <v>57</v>
      </c>
      <c r="U34" s="56" t="s">
        <v>58</v>
      </c>
      <c r="V34" s="57">
        <v>0</v>
      </c>
      <c r="W34" s="58"/>
      <c r="X34" s="1">
        <f t="shared" si="2"/>
        <v>0</v>
      </c>
      <c r="AC34" s="107">
        <f t="shared" si="0"/>
        <v>6187.5</v>
      </c>
      <c r="AF34" s="114">
        <v>4950</v>
      </c>
    </row>
    <row r="35" spans="1:32" ht="15" customHeight="1" x14ac:dyDescent="0.25">
      <c r="A35" s="51" t="s">
        <v>59</v>
      </c>
      <c r="B35" s="52" t="s">
        <v>60</v>
      </c>
      <c r="C35" s="247">
        <v>0.75</v>
      </c>
      <c r="D35" s="225">
        <v>105</v>
      </c>
      <c r="E35" s="220">
        <v>0.75</v>
      </c>
      <c r="F35" s="219">
        <v>105</v>
      </c>
      <c r="G35" s="221" t="s">
        <v>209</v>
      </c>
      <c r="H35" s="222">
        <v>7425</v>
      </c>
      <c r="I35" s="222">
        <v>9281.25</v>
      </c>
      <c r="T35" s="51" t="s">
        <v>59</v>
      </c>
      <c r="U35" s="52" t="s">
        <v>60</v>
      </c>
      <c r="V35" s="59">
        <f>SUM(V36:V38)</f>
        <v>0</v>
      </c>
      <c r="W35" s="67"/>
      <c r="X35" s="1">
        <f t="shared" si="2"/>
        <v>0</v>
      </c>
      <c r="AC35" s="105">
        <f t="shared" si="0"/>
        <v>0</v>
      </c>
      <c r="AF35" s="114">
        <v>4950</v>
      </c>
    </row>
    <row r="36" spans="1:32" ht="15" customHeight="1" x14ac:dyDescent="0.25">
      <c r="A36" s="249" t="s">
        <v>61</v>
      </c>
      <c r="B36" s="250" t="s">
        <v>62</v>
      </c>
      <c r="C36" s="213">
        <v>0.25</v>
      </c>
      <c r="D36" s="223">
        <v>35</v>
      </c>
      <c r="E36" s="238">
        <v>0.25</v>
      </c>
      <c r="F36" s="239">
        <v>35</v>
      </c>
      <c r="G36" s="240" t="s">
        <v>209</v>
      </c>
      <c r="H36" s="241">
        <v>2475</v>
      </c>
      <c r="I36" s="224">
        <v>3093.75</v>
      </c>
      <c r="T36" s="65" t="s">
        <v>61</v>
      </c>
      <c r="U36" s="66" t="s">
        <v>62</v>
      </c>
      <c r="V36" s="57">
        <v>0</v>
      </c>
      <c r="W36" s="58"/>
      <c r="X36" s="1">
        <f t="shared" si="2"/>
        <v>0</v>
      </c>
      <c r="AC36" s="107">
        <f t="shared" si="0"/>
        <v>0</v>
      </c>
      <c r="AF36" s="116">
        <f>SUM(AF37:AF39)</f>
        <v>0</v>
      </c>
    </row>
    <row r="37" spans="1:32" ht="15" customHeight="1" x14ac:dyDescent="0.25">
      <c r="A37" s="249" t="s">
        <v>215</v>
      </c>
      <c r="B37" s="250" t="s">
        <v>64</v>
      </c>
      <c r="C37" s="213">
        <v>0.25</v>
      </c>
      <c r="D37" s="223">
        <v>35</v>
      </c>
      <c r="E37" s="238">
        <v>0.25</v>
      </c>
      <c r="F37" s="239">
        <v>35</v>
      </c>
      <c r="G37" s="242" t="s">
        <v>209</v>
      </c>
      <c r="H37" s="241">
        <v>2475</v>
      </c>
      <c r="I37" s="224">
        <v>3093.75</v>
      </c>
      <c r="T37" s="65" t="s">
        <v>100</v>
      </c>
      <c r="U37" s="66" t="s">
        <v>64</v>
      </c>
      <c r="V37" s="57">
        <v>0</v>
      </c>
      <c r="W37" s="58"/>
      <c r="X37" s="1">
        <f t="shared" si="2"/>
        <v>0</v>
      </c>
      <c r="AC37" s="107">
        <f t="shared" si="0"/>
        <v>0</v>
      </c>
      <c r="AF37" s="114">
        <v>0</v>
      </c>
    </row>
    <row r="38" spans="1:32" ht="15" customHeight="1" x14ac:dyDescent="0.25">
      <c r="A38" s="249" t="s">
        <v>65</v>
      </c>
      <c r="B38" s="250" t="s">
        <v>66</v>
      </c>
      <c r="C38" s="213">
        <v>0.25</v>
      </c>
      <c r="D38" s="223">
        <v>35</v>
      </c>
      <c r="E38" s="238">
        <v>0.25</v>
      </c>
      <c r="F38" s="239">
        <v>35</v>
      </c>
      <c r="G38" s="240" t="s">
        <v>209</v>
      </c>
      <c r="H38" s="241">
        <v>2475</v>
      </c>
      <c r="I38" s="224">
        <v>3093.75</v>
      </c>
      <c r="T38" s="65" t="s">
        <v>65</v>
      </c>
      <c r="U38" s="66" t="s">
        <v>66</v>
      </c>
      <c r="V38" s="57">
        <v>0</v>
      </c>
      <c r="W38" s="58"/>
      <c r="X38" s="1">
        <f t="shared" si="2"/>
        <v>0</v>
      </c>
      <c r="AC38" s="107">
        <f t="shared" si="0"/>
        <v>0</v>
      </c>
      <c r="AF38" s="114">
        <v>0</v>
      </c>
    </row>
    <row r="39" spans="1:32" ht="15" customHeight="1" thickBot="1" x14ac:dyDescent="0.3">
      <c r="A39" s="51" t="s">
        <v>67</v>
      </c>
      <c r="B39" s="52" t="s">
        <v>68</v>
      </c>
      <c r="C39" s="247">
        <v>1</v>
      </c>
      <c r="D39" s="225">
        <v>140</v>
      </c>
      <c r="E39" s="220">
        <v>1</v>
      </c>
      <c r="F39" s="219">
        <v>140</v>
      </c>
      <c r="G39" s="221" t="s">
        <v>209</v>
      </c>
      <c r="H39" s="222">
        <v>9900</v>
      </c>
      <c r="I39" s="222">
        <v>12375</v>
      </c>
      <c r="T39" s="51" t="s">
        <v>67</v>
      </c>
      <c r="U39" s="52" t="s">
        <v>68</v>
      </c>
      <c r="V39" s="59">
        <f>SUM(V40:V42)</f>
        <v>0</v>
      </c>
      <c r="W39" s="67"/>
      <c r="X39" s="1">
        <f t="shared" si="2"/>
        <v>0</v>
      </c>
      <c r="AC39" s="105">
        <f t="shared" si="0"/>
        <v>181625</v>
      </c>
      <c r="AF39" s="114">
        <v>0</v>
      </c>
    </row>
    <row r="40" spans="1:32" ht="15" customHeight="1" thickBot="1" x14ac:dyDescent="0.3">
      <c r="A40" s="55" t="s">
        <v>69</v>
      </c>
      <c r="B40" s="56" t="s">
        <v>70</v>
      </c>
      <c r="C40" s="213">
        <v>0</v>
      </c>
      <c r="D40" s="223">
        <v>0</v>
      </c>
      <c r="E40" s="238">
        <v>0</v>
      </c>
      <c r="F40" s="239">
        <v>0</v>
      </c>
      <c r="G40" s="240" t="s">
        <v>209</v>
      </c>
      <c r="H40" s="241">
        <v>0</v>
      </c>
      <c r="I40" s="224">
        <v>0</v>
      </c>
      <c r="T40" s="55" t="s">
        <v>69</v>
      </c>
      <c r="U40" s="56" t="s">
        <v>70</v>
      </c>
      <c r="V40" s="57">
        <v>0</v>
      </c>
      <c r="W40" s="58"/>
      <c r="X40" s="1">
        <f t="shared" si="2"/>
        <v>0</v>
      </c>
      <c r="AF40" s="117">
        <f>AF2+AF6+AF11+AF18+AF28+AF32+AF36</f>
        <v>145300</v>
      </c>
    </row>
    <row r="41" spans="1:32" ht="15" customHeight="1" x14ac:dyDescent="0.25">
      <c r="A41" s="55" t="s">
        <v>71</v>
      </c>
      <c r="B41" s="56" t="s">
        <v>72</v>
      </c>
      <c r="C41" s="213">
        <v>0.5</v>
      </c>
      <c r="D41" s="223">
        <v>70</v>
      </c>
      <c r="E41" s="238">
        <v>0.5</v>
      </c>
      <c r="F41" s="239">
        <v>70</v>
      </c>
      <c r="G41" s="240" t="s">
        <v>209</v>
      </c>
      <c r="H41" s="241">
        <v>4950</v>
      </c>
      <c r="I41" s="224">
        <v>6187.5</v>
      </c>
      <c r="T41" s="55" t="s">
        <v>71</v>
      </c>
      <c r="U41" s="56" t="s">
        <v>72</v>
      </c>
      <c r="V41" s="57">
        <v>0</v>
      </c>
      <c r="W41" s="58"/>
      <c r="X41" s="1">
        <f t="shared" si="2"/>
        <v>0</v>
      </c>
    </row>
    <row r="42" spans="1:32" ht="15" customHeight="1" x14ac:dyDescent="0.25">
      <c r="A42" s="55" t="s">
        <v>73</v>
      </c>
      <c r="B42" s="56" t="s">
        <v>74</v>
      </c>
      <c r="C42" s="213">
        <v>0.5</v>
      </c>
      <c r="D42" s="223">
        <v>70</v>
      </c>
      <c r="E42" s="238">
        <v>0.5</v>
      </c>
      <c r="F42" s="239">
        <v>70</v>
      </c>
      <c r="G42" s="240" t="s">
        <v>209</v>
      </c>
      <c r="H42" s="241">
        <v>4950</v>
      </c>
      <c r="I42" s="224">
        <v>6187.5</v>
      </c>
      <c r="T42" s="55" t="s">
        <v>73</v>
      </c>
      <c r="U42" s="56" t="s">
        <v>74</v>
      </c>
      <c r="V42" s="57">
        <v>0</v>
      </c>
      <c r="W42" s="58"/>
      <c r="X42" s="1">
        <f t="shared" si="2"/>
        <v>0</v>
      </c>
    </row>
    <row r="43" spans="1:32" ht="15" customHeight="1" x14ac:dyDescent="0.25">
      <c r="A43" s="51" t="s">
        <v>75</v>
      </c>
      <c r="B43" s="52" t="s">
        <v>76</v>
      </c>
      <c r="C43" s="247">
        <v>0</v>
      </c>
      <c r="D43" s="225">
        <v>0</v>
      </c>
      <c r="E43" s="220">
        <v>0</v>
      </c>
      <c r="F43" s="219">
        <v>0</v>
      </c>
      <c r="G43" s="221" t="s">
        <v>209</v>
      </c>
      <c r="H43" s="222">
        <v>0</v>
      </c>
      <c r="I43" s="222">
        <v>0</v>
      </c>
      <c r="T43" s="51" t="s">
        <v>75</v>
      </c>
      <c r="U43" s="52" t="s">
        <v>76</v>
      </c>
      <c r="V43" s="59">
        <f>SUM(V44:V46)</f>
        <v>0</v>
      </c>
      <c r="W43" s="67"/>
      <c r="X43" s="1">
        <f t="shared" si="2"/>
        <v>0</v>
      </c>
    </row>
    <row r="44" spans="1:32" ht="15" customHeight="1" x14ac:dyDescent="0.25">
      <c r="A44" s="55" t="s">
        <v>77</v>
      </c>
      <c r="B44" s="56" t="s">
        <v>78</v>
      </c>
      <c r="C44" s="213">
        <v>0</v>
      </c>
      <c r="D44" s="223">
        <v>0</v>
      </c>
      <c r="E44" s="238">
        <v>0</v>
      </c>
      <c r="F44" s="239">
        <v>0</v>
      </c>
      <c r="G44" s="240" t="s">
        <v>209</v>
      </c>
      <c r="H44" s="241">
        <v>0</v>
      </c>
      <c r="I44" s="224">
        <v>0</v>
      </c>
      <c r="T44" s="55" t="s">
        <v>77</v>
      </c>
      <c r="U44" s="56" t="s">
        <v>78</v>
      </c>
      <c r="V44" s="57">
        <v>0</v>
      </c>
      <c r="W44" s="58"/>
      <c r="X44" s="1">
        <f t="shared" si="2"/>
        <v>0</v>
      </c>
    </row>
    <row r="45" spans="1:32" ht="15" customHeight="1" x14ac:dyDescent="0.25">
      <c r="A45" s="55" t="s">
        <v>79</v>
      </c>
      <c r="B45" s="56" t="s">
        <v>80</v>
      </c>
      <c r="C45" s="213">
        <v>0</v>
      </c>
      <c r="D45" s="223">
        <v>0</v>
      </c>
      <c r="E45" s="238">
        <v>0</v>
      </c>
      <c r="F45" s="239">
        <v>0</v>
      </c>
      <c r="G45" s="240" t="s">
        <v>209</v>
      </c>
      <c r="H45" s="241">
        <v>0</v>
      </c>
      <c r="I45" s="224">
        <v>0</v>
      </c>
      <c r="T45" s="55" t="s">
        <v>79</v>
      </c>
      <c r="U45" s="56" t="s">
        <v>80</v>
      </c>
      <c r="V45" s="75">
        <v>0</v>
      </c>
      <c r="W45" s="58"/>
      <c r="X45" s="1">
        <f t="shared" si="2"/>
        <v>0</v>
      </c>
    </row>
    <row r="46" spans="1:32" ht="15" customHeight="1" thickBot="1" x14ac:dyDescent="0.3">
      <c r="A46" s="69" t="s">
        <v>81</v>
      </c>
      <c r="B46" s="56" t="s">
        <v>82</v>
      </c>
      <c r="C46" s="213">
        <v>0</v>
      </c>
      <c r="D46" s="223">
        <v>0</v>
      </c>
      <c r="E46" s="238">
        <v>0</v>
      </c>
      <c r="F46" s="239">
        <v>0</v>
      </c>
      <c r="G46" s="240" t="s">
        <v>209</v>
      </c>
      <c r="H46" s="241">
        <v>0</v>
      </c>
      <c r="I46" s="224">
        <v>0</v>
      </c>
      <c r="T46" s="69" t="s">
        <v>81</v>
      </c>
      <c r="U46" s="56" t="s">
        <v>82</v>
      </c>
      <c r="V46" s="75">
        <v>0</v>
      </c>
      <c r="W46" s="58"/>
      <c r="X46" s="1">
        <f t="shared" si="2"/>
        <v>0</v>
      </c>
    </row>
    <row r="47" spans="1:32" ht="15.75" thickBot="1" x14ac:dyDescent="0.3">
      <c r="A47" s="246" t="s">
        <v>216</v>
      </c>
      <c r="B47" s="71" t="s">
        <v>84</v>
      </c>
      <c r="C47" s="248">
        <v>13</v>
      </c>
      <c r="D47" s="244">
        <v>1820</v>
      </c>
      <c r="E47" s="226">
        <v>13</v>
      </c>
      <c r="F47" s="227">
        <v>1820</v>
      </c>
      <c r="G47" s="245"/>
      <c r="H47" s="228">
        <v>128700</v>
      </c>
      <c r="I47" s="228">
        <v>160875</v>
      </c>
      <c r="T47" s="71" t="s">
        <v>83</v>
      </c>
      <c r="U47" s="3" t="s">
        <v>84</v>
      </c>
      <c r="V47" s="72">
        <f>V9+V13+V18+V25+V35+V39+V43</f>
        <v>83149.350000000006</v>
      </c>
      <c r="W47" s="73"/>
      <c r="X47" s="1">
        <f t="shared" si="2"/>
        <v>66519.48000000001</v>
      </c>
    </row>
    <row r="48" spans="1:32" x14ac:dyDescent="0.25">
      <c r="D48" s="2"/>
    </row>
    <row r="55" spans="20:20" x14ac:dyDescent="0.25">
      <c r="T55" t="s">
        <v>84</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911E2-848A-451A-9E1D-75285E83487A}">
  <dimension ref="B1:AA56"/>
  <sheetViews>
    <sheetView topLeftCell="E9" workbookViewId="0">
      <selection activeCell="S44" sqref="S44"/>
    </sheetView>
  </sheetViews>
  <sheetFormatPr baseColWidth="10" defaultColWidth="9.140625" defaultRowHeight="15" x14ac:dyDescent="0.25"/>
  <cols>
    <col min="5" max="5" width="52.140625" customWidth="1"/>
    <col min="6" max="6" width="6" style="6" customWidth="1"/>
    <col min="7" max="7" width="14.140625" style="74" customWidth="1"/>
    <col min="8" max="8" width="4" style="74" customWidth="1"/>
    <col min="9" max="9" width="14.28515625" style="4" customWidth="1"/>
    <col min="20" max="20" width="22.42578125" customWidth="1"/>
  </cols>
  <sheetData>
    <row r="1" spans="3:27" x14ac:dyDescent="0.25">
      <c r="M1">
        <v>16600</v>
      </c>
      <c r="O1">
        <v>1.25</v>
      </c>
    </row>
    <row r="2" spans="3:27" x14ac:dyDescent="0.25">
      <c r="G2" s="6"/>
      <c r="H2" s="45"/>
      <c r="M2" s="105">
        <f>SUM(M3:M5)</f>
        <v>10725</v>
      </c>
      <c r="Q2" s="105">
        <f t="shared" ref="Q2:Q40" si="0">M2*1.25</f>
        <v>13406.25</v>
      </c>
      <c r="T2" s="298" t="s">
        <v>115</v>
      </c>
      <c r="U2" s="299"/>
      <c r="V2" s="299"/>
      <c r="W2" s="299"/>
      <c r="X2" s="300"/>
      <c r="Y2" s="272"/>
      <c r="Z2" s="272"/>
      <c r="AA2" s="272"/>
    </row>
    <row r="3" spans="3:27" x14ac:dyDescent="0.25">
      <c r="E3" s="6"/>
      <c r="G3" s="6"/>
      <c r="H3" s="6"/>
      <c r="M3" s="114">
        <v>0</v>
      </c>
      <c r="Q3" s="105">
        <f t="shared" si="0"/>
        <v>0</v>
      </c>
      <c r="T3" s="309"/>
      <c r="U3" s="308" t="s">
        <v>260</v>
      </c>
      <c r="V3" s="308" t="s">
        <v>261</v>
      </c>
      <c r="W3" s="308" t="s">
        <v>200</v>
      </c>
      <c r="X3" s="308"/>
      <c r="Y3" s="272"/>
      <c r="Z3" s="311" t="s">
        <v>95</v>
      </c>
      <c r="AA3" s="306" t="s">
        <v>262</v>
      </c>
    </row>
    <row r="4" spans="3:27" ht="33.75" x14ac:dyDescent="0.25">
      <c r="E4" t="s">
        <v>84</v>
      </c>
      <c r="G4" s="6"/>
      <c r="H4" s="6"/>
      <c r="M4" s="114">
        <v>5005</v>
      </c>
      <c r="Q4" s="105">
        <f t="shared" si="0"/>
        <v>6256.25</v>
      </c>
      <c r="T4" s="310"/>
      <c r="U4" s="308"/>
      <c r="V4" s="308"/>
      <c r="W4" s="297" t="s">
        <v>263</v>
      </c>
      <c r="X4" s="301" t="s">
        <v>264</v>
      </c>
      <c r="Y4" s="272"/>
      <c r="Z4" s="312"/>
      <c r="AA4" s="307"/>
    </row>
    <row r="5" spans="3:27" ht="90" x14ac:dyDescent="0.3">
      <c r="D5" s="2"/>
      <c r="E5" s="2"/>
      <c r="F5" s="3"/>
      <c r="G5" s="46" t="s">
        <v>0</v>
      </c>
      <c r="H5" s="47"/>
      <c r="K5" s="90"/>
      <c r="M5" s="114">
        <v>5720</v>
      </c>
      <c r="Q5" s="105">
        <f t="shared" si="0"/>
        <v>7150</v>
      </c>
      <c r="T5" s="278" t="s">
        <v>7</v>
      </c>
      <c r="U5" s="279" t="s">
        <v>8</v>
      </c>
      <c r="V5" s="305" t="s">
        <v>265</v>
      </c>
      <c r="W5" s="280">
        <v>13406</v>
      </c>
      <c r="X5" s="304">
        <v>13310.65</v>
      </c>
      <c r="Y5" s="277"/>
      <c r="Z5" s="280">
        <v>3.75</v>
      </c>
      <c r="AA5" s="304">
        <v>3.95</v>
      </c>
    </row>
    <row r="6" spans="3:27" ht="90" x14ac:dyDescent="0.25">
      <c r="D6" s="2"/>
      <c r="E6" s="2"/>
      <c r="F6" s="3"/>
      <c r="G6" s="46" t="s">
        <v>1</v>
      </c>
      <c r="H6" s="48"/>
      <c r="M6" s="115">
        <f>SUM(M7:M10)</f>
        <v>1430</v>
      </c>
      <c r="Q6" s="105">
        <f t="shared" si="0"/>
        <v>1787.5</v>
      </c>
      <c r="T6" s="282" t="s">
        <v>9</v>
      </c>
      <c r="U6" s="283" t="s">
        <v>10</v>
      </c>
      <c r="V6" s="302" t="s">
        <v>266</v>
      </c>
      <c r="W6" s="284">
        <v>0</v>
      </c>
      <c r="X6" s="285">
        <v>384.3</v>
      </c>
      <c r="Y6" s="272"/>
      <c r="Z6" s="284">
        <v>0</v>
      </c>
      <c r="AA6" s="285">
        <v>0.1</v>
      </c>
    </row>
    <row r="7" spans="3:27" ht="56.25" x14ac:dyDescent="0.25">
      <c r="D7" s="2"/>
      <c r="E7" s="2"/>
      <c r="F7" s="3"/>
      <c r="G7" s="46" t="s">
        <v>88</v>
      </c>
      <c r="H7" s="49"/>
      <c r="M7" s="114">
        <v>715</v>
      </c>
      <c r="Q7" s="105">
        <f t="shared" si="0"/>
        <v>893.75</v>
      </c>
      <c r="T7" s="282" t="s">
        <v>11</v>
      </c>
      <c r="U7" s="283" t="s">
        <v>12</v>
      </c>
      <c r="V7" s="302" t="s">
        <v>266</v>
      </c>
      <c r="W7" s="284">
        <v>6256</v>
      </c>
      <c r="X7" s="285">
        <v>4373.1400000000003</v>
      </c>
      <c r="Y7" s="272"/>
      <c r="Z7" s="284">
        <v>1.75</v>
      </c>
      <c r="AA7" s="285">
        <v>1.9</v>
      </c>
    </row>
    <row r="8" spans="3:27" ht="31.5" customHeight="1" x14ac:dyDescent="0.25">
      <c r="D8" s="2"/>
      <c r="E8" s="2" t="s">
        <v>115</v>
      </c>
      <c r="F8" s="50" t="s">
        <v>3</v>
      </c>
      <c r="G8" s="46" t="s">
        <v>97</v>
      </c>
      <c r="H8" s="49"/>
      <c r="I8" s="79"/>
      <c r="M8" s="114">
        <v>0</v>
      </c>
      <c r="Q8" s="105">
        <f t="shared" si="0"/>
        <v>0</v>
      </c>
      <c r="T8" s="282" t="s">
        <v>13</v>
      </c>
      <c r="U8" s="283" t="s">
        <v>14</v>
      </c>
      <c r="V8" s="302" t="s">
        <v>265</v>
      </c>
      <c r="W8" s="284">
        <v>7150</v>
      </c>
      <c r="X8" s="303">
        <v>8553.2099999999991</v>
      </c>
      <c r="Y8" s="272"/>
      <c r="Z8" s="284">
        <v>2</v>
      </c>
      <c r="AA8" s="303">
        <v>1.95</v>
      </c>
    </row>
    <row r="9" spans="3:27" ht="112.5" x14ac:dyDescent="0.25">
      <c r="D9" s="2"/>
      <c r="E9" s="2"/>
      <c r="F9" s="50" t="s">
        <v>4</v>
      </c>
      <c r="G9" s="46" t="s">
        <v>84</v>
      </c>
      <c r="H9" s="49"/>
      <c r="I9" s="1"/>
      <c r="M9" s="114">
        <v>0</v>
      </c>
      <c r="Q9" s="105">
        <f t="shared" si="0"/>
        <v>0</v>
      </c>
      <c r="T9" s="278" t="s">
        <v>15</v>
      </c>
      <c r="U9" s="279" t="s">
        <v>16</v>
      </c>
      <c r="V9" s="286" t="s">
        <v>267</v>
      </c>
      <c r="W9" s="280">
        <v>1788</v>
      </c>
      <c r="X9" s="281">
        <v>1110</v>
      </c>
      <c r="Y9" s="272"/>
      <c r="Z9" s="280">
        <v>0.5</v>
      </c>
      <c r="AA9" s="281">
        <v>0.35</v>
      </c>
    </row>
    <row r="10" spans="3:27" ht="15" customHeight="1" x14ac:dyDescent="0.25">
      <c r="D10" s="2"/>
      <c r="E10" s="51" t="s">
        <v>7</v>
      </c>
      <c r="F10" s="52" t="s">
        <v>8</v>
      </c>
      <c r="G10" s="53">
        <f>SUM(G11:G13)</f>
        <v>8319.0499999999993</v>
      </c>
      <c r="H10" s="54"/>
      <c r="I10" s="1">
        <f>G10*0.8</f>
        <v>6655.24</v>
      </c>
      <c r="J10" t="s">
        <v>84</v>
      </c>
      <c r="M10" s="114">
        <v>715</v>
      </c>
      <c r="Q10" s="105">
        <f t="shared" si="0"/>
        <v>893.75</v>
      </c>
      <c r="T10" s="282" t="s">
        <v>17</v>
      </c>
      <c r="U10" s="283" t="s">
        <v>18</v>
      </c>
      <c r="V10" s="283" t="s">
        <v>267</v>
      </c>
      <c r="W10" s="284">
        <v>894</v>
      </c>
      <c r="X10" s="285">
        <v>760</v>
      </c>
      <c r="Y10" s="272"/>
      <c r="Z10" s="284">
        <v>0.25</v>
      </c>
      <c r="AA10" s="285">
        <v>0.25</v>
      </c>
    </row>
    <row r="11" spans="3:27" ht="15" customHeight="1" x14ac:dyDescent="0.25">
      <c r="D11" s="2"/>
      <c r="E11" s="55" t="s">
        <v>9</v>
      </c>
      <c r="F11" s="56" t="s">
        <v>10</v>
      </c>
      <c r="G11" s="57">
        <v>307.44</v>
      </c>
      <c r="H11" s="58"/>
      <c r="I11" s="1">
        <f t="shared" ref="I11:I48" si="1">G11*0.8</f>
        <v>245.952</v>
      </c>
      <c r="M11" s="115">
        <f>SUM(M12:M17)</f>
        <v>18010</v>
      </c>
      <c r="Q11" s="105">
        <f t="shared" si="0"/>
        <v>22512.5</v>
      </c>
      <c r="T11" s="282" t="s">
        <v>19</v>
      </c>
      <c r="U11" s="283" t="s">
        <v>20</v>
      </c>
      <c r="V11" s="283" t="s">
        <v>267</v>
      </c>
      <c r="W11" s="284">
        <v>0</v>
      </c>
      <c r="X11" s="285"/>
      <c r="Y11" s="272"/>
      <c r="Z11" s="284"/>
      <c r="AA11" s="285"/>
    </row>
    <row r="12" spans="3:27" ht="15" customHeight="1" x14ac:dyDescent="0.25">
      <c r="D12" s="2"/>
      <c r="E12" s="55" t="s">
        <v>11</v>
      </c>
      <c r="F12" s="56" t="s">
        <v>12</v>
      </c>
      <c r="G12" s="57">
        <v>4060.45</v>
      </c>
      <c r="H12" s="58"/>
      <c r="I12" s="1">
        <f t="shared" si="1"/>
        <v>3248.36</v>
      </c>
      <c r="M12" s="114">
        <v>3430</v>
      </c>
      <c r="Q12" s="105">
        <f t="shared" si="0"/>
        <v>4287.5</v>
      </c>
      <c r="T12" s="282" t="s">
        <v>21</v>
      </c>
      <c r="U12" s="283" t="s">
        <v>22</v>
      </c>
      <c r="V12" s="283" t="s">
        <v>267</v>
      </c>
      <c r="W12" s="284">
        <v>0</v>
      </c>
      <c r="X12" s="285"/>
      <c r="Y12" s="272"/>
      <c r="Z12" s="284"/>
      <c r="AA12" s="285"/>
    </row>
    <row r="13" spans="3:27" ht="15" customHeight="1" x14ac:dyDescent="0.25">
      <c r="D13" s="2"/>
      <c r="E13" s="55" t="s">
        <v>13</v>
      </c>
      <c r="F13" s="56" t="s">
        <v>14</v>
      </c>
      <c r="G13" s="57">
        <v>3951.16</v>
      </c>
      <c r="H13" s="58"/>
      <c r="I13" s="1">
        <f t="shared" si="1"/>
        <v>3160.9279999999999</v>
      </c>
      <c r="M13" s="114">
        <v>0</v>
      </c>
      <c r="Q13" s="105">
        <f t="shared" si="0"/>
        <v>0</v>
      </c>
      <c r="T13" s="282" t="s">
        <v>23</v>
      </c>
      <c r="U13" s="283" t="s">
        <v>24</v>
      </c>
      <c r="V13" s="283" t="s">
        <v>267</v>
      </c>
      <c r="W13" s="284">
        <v>894</v>
      </c>
      <c r="X13" s="285">
        <v>350</v>
      </c>
      <c r="Y13" s="272"/>
      <c r="Z13" s="284">
        <v>0.25</v>
      </c>
      <c r="AA13" s="285">
        <v>0.1</v>
      </c>
    </row>
    <row r="14" spans="3:27" ht="15" customHeight="1" x14ac:dyDescent="0.25">
      <c r="C14" t="s">
        <v>84</v>
      </c>
      <c r="D14" s="2"/>
      <c r="E14" s="51" t="s">
        <v>15</v>
      </c>
      <c r="F14" s="52" t="s">
        <v>16</v>
      </c>
      <c r="G14" s="59">
        <f>SUM(G15:G18)</f>
        <v>1776.6100000000001</v>
      </c>
      <c r="H14" s="60"/>
      <c r="I14" s="1">
        <f t="shared" si="1"/>
        <v>1421.2880000000002</v>
      </c>
      <c r="M14" s="114">
        <v>5860</v>
      </c>
      <c r="Q14" s="105">
        <f t="shared" si="0"/>
        <v>7325</v>
      </c>
      <c r="T14" s="278" t="s">
        <v>25</v>
      </c>
      <c r="U14" s="279" t="s">
        <v>26</v>
      </c>
      <c r="V14" s="286" t="s">
        <v>267</v>
      </c>
      <c r="W14" s="280">
        <v>12513</v>
      </c>
      <c r="X14" s="304">
        <v>10105</v>
      </c>
      <c r="Y14" s="272"/>
      <c r="Z14" s="280">
        <v>3.5</v>
      </c>
      <c r="AA14" s="304">
        <v>2.8</v>
      </c>
    </row>
    <row r="15" spans="3:27" ht="15" customHeight="1" x14ac:dyDescent="0.25">
      <c r="D15" s="2"/>
      <c r="E15" s="55" t="s">
        <v>17</v>
      </c>
      <c r="F15" s="56" t="s">
        <v>18</v>
      </c>
      <c r="G15" s="57">
        <v>1115.02</v>
      </c>
      <c r="H15" s="58"/>
      <c r="I15" s="1">
        <f t="shared" si="1"/>
        <v>892.01600000000008</v>
      </c>
      <c r="M15" s="114">
        <v>0</v>
      </c>
      <c r="Q15" s="105">
        <f t="shared" si="0"/>
        <v>0</v>
      </c>
      <c r="T15" s="282" t="s">
        <v>27</v>
      </c>
      <c r="U15" s="283" t="s">
        <v>28</v>
      </c>
      <c r="V15" s="283" t="s">
        <v>268</v>
      </c>
      <c r="W15" s="284">
        <v>1788</v>
      </c>
      <c r="X15" s="303">
        <v>1170</v>
      </c>
      <c r="Y15" s="272">
        <v>-715</v>
      </c>
      <c r="Z15" s="284">
        <v>0.5</v>
      </c>
      <c r="AA15" s="303">
        <v>0.5</v>
      </c>
    </row>
    <row r="16" spans="3:27" ht="15" customHeight="1" x14ac:dyDescent="0.25">
      <c r="D16" s="2"/>
      <c r="E16" s="55" t="s">
        <v>19</v>
      </c>
      <c r="F16" s="56" t="s">
        <v>20</v>
      </c>
      <c r="G16" s="57">
        <v>0</v>
      </c>
      <c r="H16" s="58"/>
      <c r="I16" s="1">
        <f t="shared" si="1"/>
        <v>0</v>
      </c>
      <c r="M16" s="114">
        <v>0</v>
      </c>
      <c r="Q16" s="105">
        <f t="shared" si="0"/>
        <v>0</v>
      </c>
      <c r="T16" s="282" t="s">
        <v>29</v>
      </c>
      <c r="U16" s="283" t="s">
        <v>30</v>
      </c>
      <c r="V16" s="283" t="s">
        <v>269</v>
      </c>
      <c r="W16" s="284">
        <v>0</v>
      </c>
      <c r="X16" s="285"/>
      <c r="Y16" s="272"/>
      <c r="Z16" s="284"/>
      <c r="AA16" s="285"/>
    </row>
    <row r="17" spans="2:27" ht="15" customHeight="1" x14ac:dyDescent="0.25">
      <c r="D17" s="2"/>
      <c r="E17" s="55" t="s">
        <v>21</v>
      </c>
      <c r="F17" s="56" t="s">
        <v>22</v>
      </c>
      <c r="G17" s="57">
        <v>661.59</v>
      </c>
      <c r="H17" s="58"/>
      <c r="I17" s="1">
        <f t="shared" si="1"/>
        <v>529.27200000000005</v>
      </c>
      <c r="M17" s="114">
        <v>8720</v>
      </c>
      <c r="Q17" s="105">
        <f t="shared" si="0"/>
        <v>10900</v>
      </c>
      <c r="T17" s="282" t="s">
        <v>31</v>
      </c>
      <c r="U17" s="283" t="s">
        <v>32</v>
      </c>
      <c r="V17" s="283" t="s">
        <v>270</v>
      </c>
      <c r="W17" s="284">
        <v>3575</v>
      </c>
      <c r="X17" s="285">
        <v>7865.0000000000009</v>
      </c>
      <c r="Y17" s="272"/>
      <c r="Z17" s="284">
        <v>1</v>
      </c>
      <c r="AA17" s="285">
        <v>2</v>
      </c>
    </row>
    <row r="18" spans="2:27" ht="15" customHeight="1" x14ac:dyDescent="0.25">
      <c r="D18" s="2"/>
      <c r="E18" s="55" t="s">
        <v>23</v>
      </c>
      <c r="F18" s="56" t="s">
        <v>24</v>
      </c>
      <c r="G18" s="57">
        <v>0</v>
      </c>
      <c r="H18" s="58"/>
      <c r="I18" s="1">
        <f t="shared" si="1"/>
        <v>0</v>
      </c>
      <c r="M18" s="116">
        <f>SUM(M19:M27)</f>
        <v>15750</v>
      </c>
      <c r="Q18" s="105">
        <f t="shared" si="0"/>
        <v>19687.5</v>
      </c>
      <c r="T18" s="282" t="s">
        <v>33</v>
      </c>
      <c r="U18" s="283" t="s">
        <v>34</v>
      </c>
      <c r="V18" s="283" t="s">
        <v>271</v>
      </c>
      <c r="W18" s="284">
        <v>0</v>
      </c>
      <c r="X18" s="285"/>
      <c r="Y18" s="272"/>
      <c r="Z18" s="284"/>
      <c r="AA18" s="285"/>
    </row>
    <row r="19" spans="2:27" ht="15" customHeight="1" x14ac:dyDescent="0.25">
      <c r="D19" s="2"/>
      <c r="E19" s="51" t="s">
        <v>25</v>
      </c>
      <c r="F19" s="52" t="s">
        <v>26</v>
      </c>
      <c r="G19" s="59">
        <f>SUM(G20:G24)</f>
        <v>2131.5</v>
      </c>
      <c r="H19" s="60"/>
      <c r="I19" s="1">
        <f t="shared" si="1"/>
        <v>1705.2</v>
      </c>
      <c r="M19" s="114">
        <v>0</v>
      </c>
      <c r="Q19" s="105">
        <f t="shared" si="0"/>
        <v>0</v>
      </c>
      <c r="T19" s="282" t="s">
        <v>35</v>
      </c>
      <c r="U19" s="283" t="s">
        <v>36</v>
      </c>
      <c r="V19" s="283" t="s">
        <v>272</v>
      </c>
      <c r="W19" s="284">
        <v>0</v>
      </c>
      <c r="X19" s="285"/>
      <c r="Y19" s="272"/>
      <c r="Z19" s="284"/>
      <c r="AA19" s="285"/>
    </row>
    <row r="20" spans="2:27" ht="15" customHeight="1" x14ac:dyDescent="0.25">
      <c r="D20" s="2"/>
      <c r="E20" s="55" t="s">
        <v>27</v>
      </c>
      <c r="F20" s="56" t="s">
        <v>28</v>
      </c>
      <c r="G20" s="57">
        <v>2131.5</v>
      </c>
      <c r="H20" s="58"/>
      <c r="I20" s="1">
        <f t="shared" si="1"/>
        <v>1705.2</v>
      </c>
      <c r="M20" s="114">
        <v>10290</v>
      </c>
      <c r="Q20" s="105">
        <f t="shared" si="0"/>
        <v>12862.5</v>
      </c>
      <c r="T20" s="287" t="s">
        <v>37</v>
      </c>
      <c r="U20" s="288" t="s">
        <v>38</v>
      </c>
      <c r="V20" s="288" t="s">
        <v>272</v>
      </c>
      <c r="W20" s="289">
        <v>7150</v>
      </c>
      <c r="X20" s="290">
        <v>1070</v>
      </c>
      <c r="Y20" s="272"/>
      <c r="Z20" s="289">
        <v>2</v>
      </c>
      <c r="AA20" s="290">
        <v>0.3</v>
      </c>
    </row>
    <row r="21" spans="2:27" ht="15" customHeight="1" x14ac:dyDescent="0.25">
      <c r="D21" s="2"/>
      <c r="E21" s="55" t="s">
        <v>29</v>
      </c>
      <c r="F21" s="56" t="s">
        <v>30</v>
      </c>
      <c r="G21" s="57">
        <v>0</v>
      </c>
      <c r="H21" s="58"/>
      <c r="I21" s="1">
        <f t="shared" si="1"/>
        <v>0</v>
      </c>
      <c r="M21" s="114">
        <v>3030</v>
      </c>
      <c r="Q21" s="105">
        <f t="shared" si="0"/>
        <v>3787.5</v>
      </c>
      <c r="T21" s="278" t="s">
        <v>39</v>
      </c>
      <c r="U21" s="279" t="s">
        <v>40</v>
      </c>
      <c r="V21" s="279" t="s">
        <v>267</v>
      </c>
      <c r="W21" s="280">
        <v>8938</v>
      </c>
      <c r="X21" s="281">
        <v>5400</v>
      </c>
      <c r="Y21" s="272"/>
      <c r="Z21" s="280">
        <v>2.5</v>
      </c>
      <c r="AA21" s="281">
        <v>1.4</v>
      </c>
    </row>
    <row r="22" spans="2:27" ht="15" customHeight="1" x14ac:dyDescent="0.25">
      <c r="B22" t="s">
        <v>84</v>
      </c>
      <c r="D22" s="2"/>
      <c r="E22" s="55" t="s">
        <v>31</v>
      </c>
      <c r="F22" s="56" t="s">
        <v>32</v>
      </c>
      <c r="G22" s="57">
        <v>0</v>
      </c>
      <c r="H22" s="58"/>
      <c r="I22" s="1">
        <f t="shared" si="1"/>
        <v>0</v>
      </c>
      <c r="M22" s="114">
        <v>0</v>
      </c>
      <c r="Q22" s="105">
        <f t="shared" si="0"/>
        <v>0</v>
      </c>
      <c r="T22" s="282" t="s">
        <v>273</v>
      </c>
      <c r="U22" s="283" t="s">
        <v>42</v>
      </c>
      <c r="V22" s="283" t="s">
        <v>267</v>
      </c>
      <c r="W22" s="284">
        <v>0</v>
      </c>
      <c r="X22" s="285">
        <v>760</v>
      </c>
      <c r="Y22" s="272"/>
      <c r="Z22" s="284"/>
      <c r="AA22" s="285">
        <v>0.1</v>
      </c>
    </row>
    <row r="23" spans="2:27" ht="15" customHeight="1" x14ac:dyDescent="0.25">
      <c r="D23" s="2"/>
      <c r="E23" s="55" t="s">
        <v>33</v>
      </c>
      <c r="F23" s="56" t="s">
        <v>34</v>
      </c>
      <c r="G23" s="57">
        <v>0</v>
      </c>
      <c r="H23" s="58"/>
      <c r="I23" s="1">
        <f t="shared" si="1"/>
        <v>0</v>
      </c>
      <c r="M23" s="114">
        <v>0</v>
      </c>
      <c r="O23" t="s">
        <v>8</v>
      </c>
      <c r="P23" s="82">
        <f>SUM(G10)</f>
        <v>8319.0499999999993</v>
      </c>
      <c r="Q23" s="105">
        <f t="shared" si="0"/>
        <v>0</v>
      </c>
      <c r="T23" s="282" t="s">
        <v>43</v>
      </c>
      <c r="U23" s="283" t="s">
        <v>44</v>
      </c>
      <c r="V23" s="283" t="s">
        <v>274</v>
      </c>
      <c r="W23" s="284">
        <v>5363</v>
      </c>
      <c r="X23" s="285">
        <v>2500</v>
      </c>
      <c r="Y23" s="272"/>
      <c r="Z23" s="284">
        <v>1.5</v>
      </c>
      <c r="AA23" s="285">
        <v>0.7</v>
      </c>
    </row>
    <row r="24" spans="2:27" ht="15" customHeight="1" x14ac:dyDescent="0.25">
      <c r="D24" s="2"/>
      <c r="E24" s="55" t="s">
        <v>35</v>
      </c>
      <c r="F24" s="56" t="s">
        <v>36</v>
      </c>
      <c r="G24" s="57">
        <v>0</v>
      </c>
      <c r="H24" s="58"/>
      <c r="I24" s="1">
        <f t="shared" si="1"/>
        <v>0</v>
      </c>
      <c r="M24" s="114">
        <v>0</v>
      </c>
      <c r="O24" t="s">
        <v>16</v>
      </c>
      <c r="P24" s="82">
        <f>SUM(G14)</f>
        <v>1776.6100000000001</v>
      </c>
      <c r="Q24" s="105">
        <f t="shared" si="0"/>
        <v>0</v>
      </c>
      <c r="T24" s="282" t="s">
        <v>45</v>
      </c>
      <c r="U24" s="283" t="s">
        <v>46</v>
      </c>
      <c r="V24" s="283" t="s">
        <v>274</v>
      </c>
      <c r="W24" s="284">
        <v>1788</v>
      </c>
      <c r="X24" s="291">
        <v>1070</v>
      </c>
      <c r="Y24" s="272"/>
      <c r="Z24" s="284">
        <v>0.5</v>
      </c>
      <c r="AA24" s="291">
        <v>0.3</v>
      </c>
    </row>
    <row r="25" spans="2:27" ht="15" customHeight="1" x14ac:dyDescent="0.25">
      <c r="D25" s="2"/>
      <c r="E25" s="65" t="s">
        <v>37</v>
      </c>
      <c r="F25" s="66" t="s">
        <v>38</v>
      </c>
      <c r="G25" s="57">
        <v>0</v>
      </c>
      <c r="H25" s="58"/>
      <c r="I25" s="1">
        <f t="shared" si="1"/>
        <v>0</v>
      </c>
      <c r="M25" s="114">
        <v>0</v>
      </c>
      <c r="O25" t="s">
        <v>26</v>
      </c>
      <c r="P25" s="82">
        <f>SUM(G19)</f>
        <v>2131.5</v>
      </c>
      <c r="Q25" s="105">
        <f t="shared" si="0"/>
        <v>0</v>
      </c>
      <c r="T25" s="282" t="s">
        <v>47</v>
      </c>
      <c r="U25" s="283" t="s">
        <v>48</v>
      </c>
      <c r="V25" s="283" t="s">
        <v>274</v>
      </c>
      <c r="W25" s="284">
        <v>0</v>
      </c>
      <c r="X25" s="285"/>
      <c r="Y25" s="272"/>
      <c r="Z25" s="284"/>
      <c r="AA25" s="285"/>
    </row>
    <row r="26" spans="2:27" ht="15" customHeight="1" x14ac:dyDescent="0.25">
      <c r="D26" s="2"/>
      <c r="E26" s="51" t="s">
        <v>39</v>
      </c>
      <c r="F26" s="52" t="s">
        <v>40</v>
      </c>
      <c r="G26" s="59">
        <f>SUM(G27:G30)</f>
        <v>661.59</v>
      </c>
      <c r="H26" s="67"/>
      <c r="I26" s="1">
        <f t="shared" si="1"/>
        <v>529.27200000000005</v>
      </c>
      <c r="M26" s="114">
        <v>0</v>
      </c>
      <c r="O26" t="s">
        <v>40</v>
      </c>
      <c r="P26" s="82">
        <f>SUM(G26)</f>
        <v>661.59</v>
      </c>
      <c r="Q26" s="105">
        <f t="shared" si="0"/>
        <v>0</v>
      </c>
      <c r="T26" s="287" t="s">
        <v>275</v>
      </c>
      <c r="U26" s="288" t="s">
        <v>50</v>
      </c>
      <c r="V26" s="288" t="s">
        <v>276</v>
      </c>
      <c r="W26" s="289">
        <v>0</v>
      </c>
      <c r="X26" s="290"/>
      <c r="Y26" s="272"/>
      <c r="Z26" s="289"/>
      <c r="AA26" s="290"/>
    </row>
    <row r="27" spans="2:27" ht="15" customHeight="1" x14ac:dyDescent="0.25">
      <c r="D27" s="2"/>
      <c r="E27" s="69" t="s">
        <v>102</v>
      </c>
      <c r="F27" s="56" t="s">
        <v>42</v>
      </c>
      <c r="G27" s="57">
        <v>661.59</v>
      </c>
      <c r="H27" s="58"/>
      <c r="I27" s="1">
        <f t="shared" si="1"/>
        <v>529.27200000000005</v>
      </c>
      <c r="M27" s="114">
        <v>2430</v>
      </c>
      <c r="O27" t="s">
        <v>60</v>
      </c>
      <c r="P27" s="82">
        <f>SUM(G36)</f>
        <v>1742.0700000000002</v>
      </c>
      <c r="Q27" s="105">
        <f t="shared" si="0"/>
        <v>3037.5</v>
      </c>
      <c r="T27" s="282" t="s">
        <v>51</v>
      </c>
      <c r="U27" s="283" t="s">
        <v>52</v>
      </c>
      <c r="V27" s="283" t="s">
        <v>276</v>
      </c>
      <c r="W27" s="284">
        <v>0</v>
      </c>
      <c r="X27" s="285"/>
      <c r="Y27" s="272"/>
      <c r="Z27" s="284"/>
      <c r="AA27" s="285"/>
    </row>
    <row r="28" spans="2:27" ht="15" customHeight="1" x14ac:dyDescent="0.25">
      <c r="D28" s="2"/>
      <c r="E28" s="69" t="s">
        <v>43</v>
      </c>
      <c r="F28" s="56" t="s">
        <v>44</v>
      </c>
      <c r="G28" s="57">
        <v>0</v>
      </c>
      <c r="H28" s="58"/>
      <c r="I28" s="1">
        <f t="shared" si="1"/>
        <v>0</v>
      </c>
      <c r="M28" s="116">
        <f>SUM(M29:M31)</f>
        <v>2145</v>
      </c>
      <c r="O28" t="s">
        <v>68</v>
      </c>
      <c r="P28" s="82">
        <f>SUM(G40)</f>
        <v>590.42999999999995</v>
      </c>
      <c r="Q28" s="105">
        <f t="shared" si="0"/>
        <v>2681.25</v>
      </c>
      <c r="T28" s="282" t="s">
        <v>53</v>
      </c>
      <c r="U28" s="283" t="s">
        <v>54</v>
      </c>
      <c r="V28" s="283" t="s">
        <v>276</v>
      </c>
      <c r="W28" s="284">
        <v>0</v>
      </c>
      <c r="X28" s="285"/>
      <c r="Y28" s="272"/>
      <c r="Z28" s="284"/>
      <c r="AA28" s="285"/>
    </row>
    <row r="29" spans="2:27" ht="15" customHeight="1" x14ac:dyDescent="0.25">
      <c r="D29" s="2"/>
      <c r="E29" s="69" t="s">
        <v>45</v>
      </c>
      <c r="F29" s="56" t="s">
        <v>46</v>
      </c>
      <c r="G29" s="57">
        <v>0</v>
      </c>
      <c r="H29" s="58"/>
      <c r="I29" s="1">
        <f t="shared" si="1"/>
        <v>0</v>
      </c>
      <c r="M29" s="114">
        <v>715</v>
      </c>
      <c r="O29" t="s">
        <v>76</v>
      </c>
      <c r="P29" s="82">
        <f>SUM(G44)</f>
        <v>0</v>
      </c>
      <c r="Q29" s="105">
        <f t="shared" si="0"/>
        <v>893.75</v>
      </c>
      <c r="T29" s="282" t="s">
        <v>55</v>
      </c>
      <c r="U29" s="283" t="s">
        <v>56</v>
      </c>
      <c r="V29" s="283" t="s">
        <v>276</v>
      </c>
      <c r="W29" s="284">
        <v>0</v>
      </c>
      <c r="X29" s="285"/>
      <c r="Y29" s="272"/>
      <c r="Z29" s="284"/>
      <c r="AA29" s="285"/>
    </row>
    <row r="30" spans="2:27" ht="15" customHeight="1" x14ac:dyDescent="0.25">
      <c r="D30" s="2"/>
      <c r="E30" s="69" t="s">
        <v>47</v>
      </c>
      <c r="F30" s="56" t="s">
        <v>48</v>
      </c>
      <c r="G30" s="57">
        <v>0</v>
      </c>
      <c r="H30" s="58"/>
      <c r="I30" s="1">
        <f t="shared" si="1"/>
        <v>0</v>
      </c>
      <c r="M30" s="114">
        <v>715</v>
      </c>
      <c r="Q30" s="105">
        <f t="shared" si="0"/>
        <v>893.75</v>
      </c>
      <c r="T30" s="282" t="s">
        <v>57</v>
      </c>
      <c r="U30" s="283" t="s">
        <v>58</v>
      </c>
      <c r="V30" s="283" t="s">
        <v>276</v>
      </c>
      <c r="W30" s="284">
        <v>1787</v>
      </c>
      <c r="X30" s="291">
        <v>1070</v>
      </c>
      <c r="Y30" s="272"/>
      <c r="Z30" s="284">
        <v>0.5</v>
      </c>
      <c r="AA30" s="291">
        <v>0.3</v>
      </c>
    </row>
    <row r="31" spans="2:27" ht="15" customHeight="1" x14ac:dyDescent="0.25">
      <c r="D31" s="2"/>
      <c r="E31" s="70" t="s">
        <v>99</v>
      </c>
      <c r="F31" s="66" t="s">
        <v>50</v>
      </c>
      <c r="G31" s="57">
        <v>0</v>
      </c>
      <c r="H31" s="58"/>
      <c r="I31" s="1">
        <f t="shared" si="1"/>
        <v>0</v>
      </c>
      <c r="M31" s="114">
        <v>715</v>
      </c>
      <c r="Q31" s="105">
        <f t="shared" si="0"/>
        <v>893.75</v>
      </c>
      <c r="T31" s="278" t="s">
        <v>59</v>
      </c>
      <c r="U31" s="279" t="s">
        <v>60</v>
      </c>
      <c r="V31" s="279" t="s">
        <v>267</v>
      </c>
      <c r="W31" s="280">
        <v>2680</v>
      </c>
      <c r="X31" s="281">
        <v>1772</v>
      </c>
      <c r="Y31" s="272"/>
      <c r="Z31" s="280">
        <v>0.75</v>
      </c>
      <c r="AA31" s="281">
        <v>0.5</v>
      </c>
    </row>
    <row r="32" spans="2:27" ht="15" customHeight="1" x14ac:dyDescent="0.25">
      <c r="D32" s="2"/>
      <c r="E32" s="69" t="s">
        <v>51</v>
      </c>
      <c r="F32" s="56" t="s">
        <v>52</v>
      </c>
      <c r="G32" s="57">
        <v>0</v>
      </c>
      <c r="H32" s="58"/>
      <c r="I32" s="1">
        <f t="shared" si="1"/>
        <v>0</v>
      </c>
      <c r="M32" s="116">
        <f>SUM(M33:M35)</f>
        <v>2860</v>
      </c>
      <c r="Q32" s="105">
        <f t="shared" si="0"/>
        <v>3575</v>
      </c>
      <c r="T32" s="287" t="s">
        <v>61</v>
      </c>
      <c r="U32" s="288" t="s">
        <v>62</v>
      </c>
      <c r="V32" s="288" t="s">
        <v>267</v>
      </c>
      <c r="W32" s="289">
        <v>893</v>
      </c>
      <c r="X32" s="292">
        <v>1072</v>
      </c>
      <c r="Y32" s="272"/>
      <c r="Z32" s="289">
        <v>0.25</v>
      </c>
      <c r="AA32" s="292">
        <v>0.3</v>
      </c>
    </row>
    <row r="33" spans="4:27" ht="15" customHeight="1" x14ac:dyDescent="0.25">
      <c r="D33" s="2"/>
      <c r="E33" s="69" t="s">
        <v>53</v>
      </c>
      <c r="F33" s="56" t="s">
        <v>54</v>
      </c>
      <c r="G33" s="57">
        <v>0</v>
      </c>
      <c r="H33" s="58"/>
      <c r="I33" s="1">
        <f t="shared" si="1"/>
        <v>0</v>
      </c>
      <c r="M33" s="114">
        <v>0</v>
      </c>
      <c r="Q33" s="105">
        <f t="shared" si="0"/>
        <v>0</v>
      </c>
      <c r="T33" s="287" t="s">
        <v>277</v>
      </c>
      <c r="U33" s="288" t="s">
        <v>64</v>
      </c>
      <c r="V33" s="288" t="s">
        <v>267</v>
      </c>
      <c r="W33" s="289">
        <v>893</v>
      </c>
      <c r="X33" s="292">
        <v>350</v>
      </c>
      <c r="Y33" s="272"/>
      <c r="Z33" s="289">
        <v>0.25</v>
      </c>
      <c r="AA33" s="292">
        <v>0.1</v>
      </c>
    </row>
    <row r="34" spans="4:27" ht="15" customHeight="1" x14ac:dyDescent="0.25">
      <c r="D34" s="2"/>
      <c r="E34" s="55" t="s">
        <v>55</v>
      </c>
      <c r="F34" s="56" t="s">
        <v>56</v>
      </c>
      <c r="G34" s="57">
        <v>0</v>
      </c>
      <c r="H34" s="58"/>
      <c r="I34" s="1">
        <f t="shared" si="1"/>
        <v>0</v>
      </c>
      <c r="M34" s="114">
        <v>1430</v>
      </c>
      <c r="Q34" s="105">
        <f t="shared" si="0"/>
        <v>1787.5</v>
      </c>
      <c r="T34" s="287" t="s">
        <v>65</v>
      </c>
      <c r="U34" s="288" t="s">
        <v>66</v>
      </c>
      <c r="V34" s="288" t="s">
        <v>278</v>
      </c>
      <c r="W34" s="289">
        <v>894</v>
      </c>
      <c r="X34" s="292">
        <v>350</v>
      </c>
      <c r="Y34" s="272"/>
      <c r="Z34" s="289">
        <v>0.25</v>
      </c>
      <c r="AA34" s="292">
        <v>0.1</v>
      </c>
    </row>
    <row r="35" spans="4:27" ht="15" customHeight="1" x14ac:dyDescent="0.25">
      <c r="D35" s="2"/>
      <c r="E35" s="55" t="s">
        <v>57</v>
      </c>
      <c r="F35" s="56" t="s">
        <v>58</v>
      </c>
      <c r="G35" s="57">
        <v>0</v>
      </c>
      <c r="H35" s="58"/>
      <c r="I35" s="1">
        <f t="shared" si="1"/>
        <v>0</v>
      </c>
      <c r="M35" s="114">
        <v>1430</v>
      </c>
      <c r="Q35" s="105">
        <f t="shared" si="0"/>
        <v>1787.5</v>
      </c>
      <c r="T35" s="278" t="s">
        <v>67</v>
      </c>
      <c r="U35" s="279" t="s">
        <v>68</v>
      </c>
      <c r="V35" s="279" t="s">
        <v>267</v>
      </c>
      <c r="W35" s="280">
        <v>3575</v>
      </c>
      <c r="X35" s="281">
        <v>2715</v>
      </c>
      <c r="Y35" s="272"/>
      <c r="Z35" s="280">
        <v>1</v>
      </c>
      <c r="AA35" s="281">
        <v>1</v>
      </c>
    </row>
    <row r="36" spans="4:27" ht="15" customHeight="1" x14ac:dyDescent="0.25">
      <c r="D36" s="2"/>
      <c r="E36" s="51" t="s">
        <v>59</v>
      </c>
      <c r="F36" s="52" t="s">
        <v>60</v>
      </c>
      <c r="G36" s="59">
        <f>SUM(G37:G39)</f>
        <v>1742.0700000000002</v>
      </c>
      <c r="H36" s="67"/>
      <c r="I36" s="1">
        <f t="shared" si="1"/>
        <v>1393.6560000000002</v>
      </c>
      <c r="M36" s="116">
        <f>SUM(M37:M39)</f>
        <v>0</v>
      </c>
      <c r="Q36" s="105">
        <f t="shared" si="0"/>
        <v>0</v>
      </c>
      <c r="T36" s="282" t="s">
        <v>69</v>
      </c>
      <c r="U36" s="283" t="s">
        <v>70</v>
      </c>
      <c r="V36" s="283" t="s">
        <v>267</v>
      </c>
      <c r="W36" s="284">
        <v>0</v>
      </c>
      <c r="X36" s="285"/>
      <c r="Y36" s="272"/>
      <c r="Z36" s="284"/>
      <c r="AA36" s="285"/>
    </row>
    <row r="37" spans="4:27" ht="15" customHeight="1" x14ac:dyDescent="0.25">
      <c r="D37" s="2"/>
      <c r="E37" s="65" t="s">
        <v>61</v>
      </c>
      <c r="F37" s="66" t="s">
        <v>62</v>
      </c>
      <c r="G37" s="57">
        <v>1742.0700000000002</v>
      </c>
      <c r="H37" s="58"/>
      <c r="I37" s="1">
        <f t="shared" si="1"/>
        <v>1393.6560000000002</v>
      </c>
      <c r="M37" s="114">
        <v>0</v>
      </c>
      <c r="Q37" s="105">
        <f t="shared" si="0"/>
        <v>0</v>
      </c>
      <c r="T37" s="282" t="s">
        <v>71</v>
      </c>
      <c r="U37" s="283" t="s">
        <v>72</v>
      </c>
      <c r="V37" s="283" t="s">
        <v>267</v>
      </c>
      <c r="W37" s="284">
        <v>1787.5</v>
      </c>
      <c r="X37" s="291">
        <v>2000</v>
      </c>
      <c r="Y37" s="272"/>
      <c r="Z37" s="284">
        <v>0.5</v>
      </c>
      <c r="AA37" s="291">
        <v>0.8</v>
      </c>
    </row>
    <row r="38" spans="4:27" ht="15" customHeight="1" x14ac:dyDescent="0.25">
      <c r="D38" s="2"/>
      <c r="E38" s="65" t="s">
        <v>100</v>
      </c>
      <c r="F38" s="66" t="s">
        <v>64</v>
      </c>
      <c r="G38" s="57">
        <v>0</v>
      </c>
      <c r="H38" s="58"/>
      <c r="I38" s="1">
        <f t="shared" si="1"/>
        <v>0</v>
      </c>
      <c r="M38" s="114">
        <v>0</v>
      </c>
      <c r="Q38" s="105">
        <f t="shared" si="0"/>
        <v>0</v>
      </c>
      <c r="T38" s="282" t="s">
        <v>73</v>
      </c>
      <c r="U38" s="283" t="s">
        <v>74</v>
      </c>
      <c r="V38" s="283" t="s">
        <v>267</v>
      </c>
      <c r="W38" s="284">
        <v>1787.5</v>
      </c>
      <c r="X38" s="291">
        <v>715</v>
      </c>
      <c r="Y38" s="272"/>
      <c r="Z38" s="284">
        <v>0.5</v>
      </c>
      <c r="AA38" s="291">
        <v>0.2</v>
      </c>
    </row>
    <row r="39" spans="4:27" ht="15" customHeight="1" thickBot="1" x14ac:dyDescent="0.3">
      <c r="D39" s="2"/>
      <c r="E39" s="65" t="s">
        <v>65</v>
      </c>
      <c r="F39" s="66" t="s">
        <v>66</v>
      </c>
      <c r="G39" s="57">
        <v>0</v>
      </c>
      <c r="H39" s="58"/>
      <c r="I39" s="1">
        <f t="shared" si="1"/>
        <v>0</v>
      </c>
      <c r="M39" s="114">
        <v>0</v>
      </c>
      <c r="Q39" s="105">
        <f t="shared" si="0"/>
        <v>0</v>
      </c>
      <c r="T39" s="278" t="s">
        <v>75</v>
      </c>
      <c r="U39" s="279" t="s">
        <v>76</v>
      </c>
      <c r="V39" s="279" t="s">
        <v>267</v>
      </c>
      <c r="W39" s="280">
        <v>0</v>
      </c>
      <c r="X39" s="280">
        <v>8487.35</v>
      </c>
      <c r="Y39" s="272"/>
      <c r="Z39" s="280">
        <v>0</v>
      </c>
      <c r="AA39" s="280">
        <v>2</v>
      </c>
    </row>
    <row r="40" spans="4:27" ht="15" customHeight="1" thickBot="1" x14ac:dyDescent="0.3">
      <c r="D40" s="2"/>
      <c r="E40" s="51" t="s">
        <v>67</v>
      </c>
      <c r="F40" s="52" t="s">
        <v>68</v>
      </c>
      <c r="G40" s="59">
        <f>SUM(G41:G43)</f>
        <v>590.42999999999995</v>
      </c>
      <c r="H40" s="67"/>
      <c r="I40" s="1">
        <f t="shared" si="1"/>
        <v>472.34399999999999</v>
      </c>
      <c r="M40" s="117">
        <f>SUM(M2+M6+M11+M18+M28+M32+M36)</f>
        <v>50920</v>
      </c>
      <c r="Q40" s="105">
        <f t="shared" si="0"/>
        <v>63650</v>
      </c>
      <c r="T40" s="282" t="s">
        <v>77</v>
      </c>
      <c r="U40" s="283" t="s">
        <v>78</v>
      </c>
      <c r="V40" s="283" t="s">
        <v>267</v>
      </c>
      <c r="W40" s="284">
        <v>0</v>
      </c>
      <c r="X40" s="284">
        <v>3575</v>
      </c>
      <c r="Y40" s="272"/>
      <c r="Z40" s="284"/>
      <c r="AA40" s="284">
        <v>0.8</v>
      </c>
    </row>
    <row r="41" spans="4:27" ht="15" customHeight="1" x14ac:dyDescent="0.25">
      <c r="D41" s="2"/>
      <c r="E41" s="55" t="s">
        <v>69</v>
      </c>
      <c r="F41" s="56" t="s">
        <v>70</v>
      </c>
      <c r="G41" s="57">
        <v>0</v>
      </c>
      <c r="H41" s="58"/>
      <c r="I41" s="1">
        <f t="shared" si="1"/>
        <v>0</v>
      </c>
      <c r="T41" s="282" t="s">
        <v>79</v>
      </c>
      <c r="U41" s="283" t="s">
        <v>80</v>
      </c>
      <c r="V41" s="283" t="s">
        <v>267</v>
      </c>
      <c r="W41" s="284">
        <v>0</v>
      </c>
      <c r="X41" s="284">
        <v>4912.3500000000004</v>
      </c>
      <c r="Y41" s="272"/>
      <c r="Z41" s="284"/>
      <c r="AA41" s="284">
        <v>1.2</v>
      </c>
    </row>
    <row r="42" spans="4:27" ht="15" customHeight="1" x14ac:dyDescent="0.25">
      <c r="D42" s="2"/>
      <c r="E42" s="55" t="s">
        <v>71</v>
      </c>
      <c r="F42" s="56" t="s">
        <v>72</v>
      </c>
      <c r="G42" s="57">
        <v>590.42999999999995</v>
      </c>
      <c r="H42" s="58"/>
      <c r="I42" s="1">
        <f t="shared" si="1"/>
        <v>472.34399999999999</v>
      </c>
      <c r="J42" t="s">
        <v>84</v>
      </c>
      <c r="T42" s="282" t="s">
        <v>81</v>
      </c>
      <c r="U42" s="283" t="s">
        <v>82</v>
      </c>
      <c r="V42" s="283" t="s">
        <v>267</v>
      </c>
      <c r="W42" s="284">
        <v>0</v>
      </c>
      <c r="X42" s="284"/>
      <c r="Y42" s="272"/>
      <c r="Z42" s="284"/>
      <c r="AA42" s="284"/>
    </row>
    <row r="43" spans="4:27" ht="15" customHeight="1" x14ac:dyDescent="0.25">
      <c r="D43" s="2"/>
      <c r="E43" s="55" t="s">
        <v>73</v>
      </c>
      <c r="F43" s="56" t="s">
        <v>74</v>
      </c>
      <c r="G43" s="57">
        <v>0</v>
      </c>
      <c r="H43" s="58"/>
      <c r="I43" s="1">
        <f t="shared" si="1"/>
        <v>0</v>
      </c>
      <c r="T43" s="293" t="s">
        <v>83</v>
      </c>
      <c r="U43" s="279" t="s">
        <v>84</v>
      </c>
      <c r="V43" s="279"/>
      <c r="W43" s="280">
        <v>42900</v>
      </c>
      <c r="X43" s="280">
        <v>42900</v>
      </c>
      <c r="Y43" s="272"/>
      <c r="Z43" s="280">
        <v>12</v>
      </c>
      <c r="AA43" s="280">
        <v>12</v>
      </c>
    </row>
    <row r="44" spans="4:27" ht="15" customHeight="1" x14ac:dyDescent="0.25">
      <c r="D44" s="2"/>
      <c r="E44" s="51" t="s">
        <v>75</v>
      </c>
      <c r="F44" s="52" t="s">
        <v>76</v>
      </c>
      <c r="G44" s="59">
        <v>0</v>
      </c>
      <c r="H44" s="67"/>
      <c r="I44" s="1">
        <f t="shared" si="1"/>
        <v>0</v>
      </c>
      <c r="T44" s="272"/>
      <c r="U44" s="272"/>
      <c r="V44" s="272"/>
      <c r="W44" s="275"/>
      <c r="X44" s="274"/>
      <c r="Y44" s="272"/>
      <c r="Z44" s="276"/>
      <c r="AA44" s="273"/>
    </row>
    <row r="45" spans="4:27" ht="15" customHeight="1" x14ac:dyDescent="0.25">
      <c r="D45" s="2"/>
      <c r="E45" s="55" t="s">
        <v>77</v>
      </c>
      <c r="F45" s="56" t="s">
        <v>78</v>
      </c>
      <c r="G45" s="57">
        <v>0</v>
      </c>
      <c r="H45" s="58"/>
      <c r="I45" s="1">
        <f t="shared" si="1"/>
        <v>0</v>
      </c>
      <c r="T45" s="294" t="s">
        <v>279</v>
      </c>
      <c r="U45" s="295"/>
      <c r="V45" s="295"/>
      <c r="W45" s="296">
        <v>20750</v>
      </c>
      <c r="X45" s="274"/>
      <c r="Y45" s="272"/>
      <c r="Z45" s="272"/>
      <c r="AA45" s="272"/>
    </row>
    <row r="46" spans="4:27" ht="15" customHeight="1" x14ac:dyDescent="0.25">
      <c r="D46" s="2"/>
      <c r="E46" s="55" t="s">
        <v>79</v>
      </c>
      <c r="F46" s="56" t="s">
        <v>80</v>
      </c>
      <c r="G46" s="75">
        <v>0</v>
      </c>
      <c r="H46" s="58"/>
      <c r="I46" s="1">
        <f t="shared" si="1"/>
        <v>0</v>
      </c>
      <c r="T46" s="294" t="s">
        <v>280</v>
      </c>
      <c r="U46" s="295"/>
      <c r="V46" s="295"/>
      <c r="W46" s="296">
        <v>63650</v>
      </c>
      <c r="X46" s="274"/>
      <c r="Y46" s="272"/>
      <c r="Z46" s="272"/>
      <c r="AA46" s="272"/>
    </row>
    <row r="47" spans="4:27" ht="15" customHeight="1" thickBot="1" x14ac:dyDescent="0.3">
      <c r="D47" s="2"/>
      <c r="E47" s="69" t="s">
        <v>81</v>
      </c>
      <c r="F47" s="56" t="s">
        <v>82</v>
      </c>
      <c r="G47" s="75">
        <v>0</v>
      </c>
      <c r="H47" s="58"/>
      <c r="I47" s="1">
        <f t="shared" si="1"/>
        <v>0</v>
      </c>
    </row>
    <row r="48" spans="4:27" ht="15.75" thickBot="1" x14ac:dyDescent="0.3">
      <c r="D48" s="2"/>
      <c r="E48" s="71" t="s">
        <v>83</v>
      </c>
      <c r="F48" s="3" t="s">
        <v>84</v>
      </c>
      <c r="G48" s="72">
        <f>G44+G40+G36+G26+G19+G14+G10</f>
        <v>15221.25</v>
      </c>
      <c r="H48" s="73"/>
      <c r="I48" s="1">
        <f t="shared" si="1"/>
        <v>12177</v>
      </c>
    </row>
    <row r="49" spans="4:7" x14ac:dyDescent="0.25">
      <c r="D49" s="2"/>
      <c r="G49" s="80"/>
    </row>
    <row r="56" spans="4:7" x14ac:dyDescent="0.25">
      <c r="E56" t="s">
        <v>84</v>
      </c>
    </row>
  </sheetData>
  <mergeCells count="6">
    <mergeCell ref="AA3:AA4"/>
    <mergeCell ref="W3:X3"/>
    <mergeCell ref="T3:T4"/>
    <mergeCell ref="U3:U4"/>
    <mergeCell ref="V3:V4"/>
    <mergeCell ref="Z3:Z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CE18E-078B-459E-858B-7DE944A6517C}">
  <dimension ref="A1:X100"/>
  <sheetViews>
    <sheetView topLeftCell="C48" workbookViewId="0">
      <selection activeCell="V75" sqref="V75"/>
    </sheetView>
  </sheetViews>
  <sheetFormatPr baseColWidth="10" defaultColWidth="9.140625" defaultRowHeight="15" x14ac:dyDescent="0.25"/>
  <cols>
    <col min="1" max="1" width="52.140625" customWidth="1"/>
    <col min="2" max="2" width="6" style="6" customWidth="1"/>
    <col min="3" max="3" width="17.85546875" style="24" customWidth="1"/>
    <col min="4" max="4" width="18.42578125" style="24" customWidth="1"/>
    <col min="5" max="5" width="14.28515625" style="4" customWidth="1"/>
    <col min="6" max="6" width="11" style="83" customWidth="1"/>
    <col min="7" max="7" width="12.85546875" style="97" customWidth="1"/>
    <col min="8" max="8" width="9.140625" style="83"/>
    <col min="9" max="9" width="10.28515625" style="83" bestFit="1" customWidth="1"/>
    <col min="10" max="10" width="54.140625" customWidth="1"/>
    <col min="11" max="11" width="9.140625" style="41"/>
  </cols>
  <sheetData>
    <row r="1" spans="1:24" x14ac:dyDescent="0.25">
      <c r="T1">
        <v>1.25</v>
      </c>
      <c r="V1">
        <v>31600</v>
      </c>
    </row>
    <row r="2" spans="1:24" x14ac:dyDescent="0.25">
      <c r="A2" s="2"/>
      <c r="B2" s="3"/>
      <c r="C2" s="92" t="s">
        <v>0</v>
      </c>
      <c r="D2" s="92"/>
      <c r="V2" s="105">
        <f>SUM(V3:V5)</f>
        <v>8250</v>
      </c>
      <c r="X2" s="105">
        <f>V2*1.25</f>
        <v>10312.5</v>
      </c>
    </row>
    <row r="3" spans="1:24" ht="18.75" x14ac:dyDescent="0.3">
      <c r="A3" s="2"/>
      <c r="B3" s="3"/>
      <c r="C3" s="92" t="s">
        <v>1</v>
      </c>
      <c r="D3" s="92" t="s">
        <v>131</v>
      </c>
      <c r="F3" s="90" t="s">
        <v>90</v>
      </c>
      <c r="I3" s="84"/>
      <c r="J3" t="s">
        <v>116</v>
      </c>
      <c r="V3" s="114">
        <v>5500</v>
      </c>
      <c r="X3" s="105">
        <f t="shared" ref="X3:X40" si="0">V3*1.25</f>
        <v>6875</v>
      </c>
    </row>
    <row r="4" spans="1:24" x14ac:dyDescent="0.25">
      <c r="A4" s="2"/>
      <c r="B4" s="3"/>
      <c r="C4" s="92" t="s">
        <v>88</v>
      </c>
      <c r="D4" s="92"/>
      <c r="J4" t="s">
        <v>117</v>
      </c>
      <c r="V4" s="114">
        <v>1375</v>
      </c>
      <c r="X4" s="105">
        <f t="shared" si="0"/>
        <v>1718.75</v>
      </c>
    </row>
    <row r="5" spans="1:24" x14ac:dyDescent="0.25">
      <c r="A5" s="25" t="s">
        <v>2</v>
      </c>
      <c r="B5" s="3" t="s">
        <v>3</v>
      </c>
      <c r="C5" s="92" t="s">
        <v>92</v>
      </c>
      <c r="D5" s="92"/>
      <c r="E5" s="1"/>
      <c r="F5" s="85"/>
      <c r="H5" s="85"/>
      <c r="J5" t="s">
        <v>118</v>
      </c>
      <c r="V5" s="114">
        <v>1375</v>
      </c>
      <c r="X5" s="105">
        <f t="shared" si="0"/>
        <v>1718.75</v>
      </c>
    </row>
    <row r="6" spans="1:24" x14ac:dyDescent="0.25">
      <c r="A6" s="2"/>
      <c r="B6" s="3" t="s">
        <v>4</v>
      </c>
      <c r="C6" s="7" t="s">
        <v>84</v>
      </c>
      <c r="D6" s="8"/>
      <c r="E6" s="1"/>
      <c r="G6" s="98"/>
      <c r="I6" s="86"/>
      <c r="J6" t="s">
        <v>119</v>
      </c>
      <c r="V6" s="115">
        <f>SUM(V7:V10)</f>
        <v>2750</v>
      </c>
      <c r="X6" s="105">
        <f t="shared" si="0"/>
        <v>3437.5</v>
      </c>
    </row>
    <row r="7" spans="1:24" ht="15" customHeight="1" x14ac:dyDescent="0.25">
      <c r="A7" s="9" t="s">
        <v>7</v>
      </c>
      <c r="B7" s="10" t="s">
        <v>8</v>
      </c>
      <c r="C7" s="11">
        <f>H7</f>
        <v>7696.99</v>
      </c>
      <c r="D7" s="19">
        <f>C7*0.8</f>
        <v>6157.5920000000006</v>
      </c>
      <c r="E7" s="1" t="s">
        <v>95</v>
      </c>
      <c r="F7" s="87">
        <v>1.5</v>
      </c>
      <c r="G7" s="99"/>
      <c r="H7" s="87">
        <f>SUM(H8:H10)</f>
        <v>7696.99</v>
      </c>
      <c r="I7" s="86"/>
      <c r="J7" t="s">
        <v>95</v>
      </c>
      <c r="K7" s="41">
        <v>3.37</v>
      </c>
      <c r="V7" s="114">
        <v>1375</v>
      </c>
      <c r="X7" s="105">
        <f t="shared" si="0"/>
        <v>1718.75</v>
      </c>
    </row>
    <row r="8" spans="1:24" ht="15" customHeight="1" x14ac:dyDescent="0.25">
      <c r="A8" s="13" t="s">
        <v>9</v>
      </c>
      <c r="B8" s="14" t="s">
        <v>10</v>
      </c>
      <c r="C8" s="102">
        <f t="shared" ref="C8:C45" si="1">H8</f>
        <v>6508.7449999999999</v>
      </c>
      <c r="D8" s="19">
        <f t="shared" ref="D8:D45" si="2">C8*0.8</f>
        <v>5206.9960000000001</v>
      </c>
      <c r="E8" s="17"/>
      <c r="F8" s="87"/>
      <c r="G8" s="100"/>
      <c r="H8" s="87">
        <v>6508.7449999999999</v>
      </c>
      <c r="I8" s="86"/>
      <c r="J8" t="s">
        <v>120</v>
      </c>
      <c r="K8" s="41">
        <v>35.47</v>
      </c>
      <c r="V8" s="114">
        <v>0</v>
      </c>
      <c r="X8" s="105">
        <f t="shared" si="0"/>
        <v>0</v>
      </c>
    </row>
    <row r="9" spans="1:24" ht="15" customHeight="1" x14ac:dyDescent="0.25">
      <c r="A9" s="13" t="s">
        <v>11</v>
      </c>
      <c r="B9" s="14" t="s">
        <v>12</v>
      </c>
      <c r="C9" s="102">
        <f t="shared" si="1"/>
        <v>0</v>
      </c>
      <c r="D9" s="19">
        <f t="shared" si="2"/>
        <v>0</v>
      </c>
      <c r="E9" s="17"/>
      <c r="F9" s="87"/>
      <c r="G9" s="100"/>
      <c r="H9" s="87">
        <v>0</v>
      </c>
      <c r="I9" s="86"/>
      <c r="J9" t="s">
        <v>121</v>
      </c>
      <c r="L9">
        <v>483.03</v>
      </c>
      <c r="V9" s="114">
        <v>0</v>
      </c>
      <c r="X9" s="105">
        <f t="shared" si="0"/>
        <v>0</v>
      </c>
    </row>
    <row r="10" spans="1:24" ht="15" customHeight="1" x14ac:dyDescent="0.25">
      <c r="A10" s="13" t="s">
        <v>13</v>
      </c>
      <c r="B10" s="14" t="s">
        <v>14</v>
      </c>
      <c r="C10" s="102">
        <f t="shared" si="1"/>
        <v>1188.2449999999999</v>
      </c>
      <c r="D10" s="19">
        <f t="shared" si="2"/>
        <v>950.596</v>
      </c>
      <c r="E10" s="17"/>
      <c r="F10" s="87"/>
      <c r="G10" s="100"/>
      <c r="H10" s="87">
        <v>1188.2449999999999</v>
      </c>
      <c r="I10" s="86"/>
      <c r="V10" s="114">
        <v>1375</v>
      </c>
      <c r="X10" s="105">
        <f t="shared" si="0"/>
        <v>1718.75</v>
      </c>
    </row>
    <row r="11" spans="1:24" ht="15" customHeight="1" x14ac:dyDescent="0.25">
      <c r="A11" s="9" t="s">
        <v>15</v>
      </c>
      <c r="B11" s="10" t="s">
        <v>16</v>
      </c>
      <c r="C11" s="11">
        <f t="shared" si="1"/>
        <v>565.24</v>
      </c>
      <c r="D11" s="19">
        <f t="shared" si="2"/>
        <v>452.19200000000001</v>
      </c>
      <c r="E11" s="1" t="s">
        <v>95</v>
      </c>
      <c r="F11" s="87">
        <v>0.11</v>
      </c>
      <c r="G11" s="101"/>
      <c r="H11" s="87">
        <f>SUM(H12:H15)</f>
        <v>565.24</v>
      </c>
      <c r="I11" s="86"/>
      <c r="J11" t="s">
        <v>122</v>
      </c>
      <c r="L11">
        <f>K8*L9</f>
        <v>17133.074099999998</v>
      </c>
      <c r="V11" s="115">
        <f>SUM(V12:V17)</f>
        <v>21749</v>
      </c>
      <c r="X11" s="105">
        <f t="shared" si="0"/>
        <v>27186.25</v>
      </c>
    </row>
    <row r="12" spans="1:24" ht="15" customHeight="1" x14ac:dyDescent="0.25">
      <c r="A12" s="13" t="s">
        <v>17</v>
      </c>
      <c r="B12" s="14" t="s">
        <v>18</v>
      </c>
      <c r="C12" s="102">
        <f t="shared" si="1"/>
        <v>559.24</v>
      </c>
      <c r="D12" s="19">
        <f t="shared" si="2"/>
        <v>447.39200000000005</v>
      </c>
      <c r="E12" s="17"/>
      <c r="F12" s="87"/>
      <c r="G12" s="100"/>
      <c r="H12" s="87">
        <v>559.24</v>
      </c>
      <c r="I12" s="86"/>
      <c r="V12" s="114">
        <v>4649</v>
      </c>
      <c r="X12" s="105">
        <f t="shared" si="0"/>
        <v>5811.25</v>
      </c>
    </row>
    <row r="13" spans="1:24" ht="15" customHeight="1" x14ac:dyDescent="0.25">
      <c r="A13" s="13" t="s">
        <v>19</v>
      </c>
      <c r="B13" s="14" t="s">
        <v>20</v>
      </c>
      <c r="C13" s="102">
        <f t="shared" si="1"/>
        <v>0</v>
      </c>
      <c r="D13" s="19">
        <f t="shared" si="2"/>
        <v>0</v>
      </c>
      <c r="E13" s="17"/>
      <c r="F13" s="87"/>
      <c r="G13" s="100"/>
      <c r="H13" s="87">
        <v>0</v>
      </c>
      <c r="I13" s="86"/>
      <c r="J13" t="s">
        <v>123</v>
      </c>
      <c r="K13" s="41">
        <v>143.333</v>
      </c>
      <c r="V13" s="114">
        <v>0</v>
      </c>
      <c r="X13" s="105">
        <f t="shared" si="0"/>
        <v>0</v>
      </c>
    </row>
    <row r="14" spans="1:24" ht="15" customHeight="1" x14ac:dyDescent="0.25">
      <c r="A14" s="13" t="s">
        <v>21</v>
      </c>
      <c r="B14" s="14" t="s">
        <v>22</v>
      </c>
      <c r="C14" s="102">
        <f t="shared" si="1"/>
        <v>6</v>
      </c>
      <c r="D14" s="19">
        <f t="shared" si="2"/>
        <v>4.8000000000000007</v>
      </c>
      <c r="E14" s="17"/>
      <c r="F14" s="87"/>
      <c r="G14" s="100"/>
      <c r="H14" s="87">
        <v>6</v>
      </c>
      <c r="I14" s="86"/>
      <c r="V14" s="114">
        <v>8550</v>
      </c>
      <c r="X14" s="105">
        <f t="shared" si="0"/>
        <v>10687.5</v>
      </c>
    </row>
    <row r="15" spans="1:24" ht="15" customHeight="1" x14ac:dyDescent="0.25">
      <c r="A15" s="13" t="s">
        <v>23</v>
      </c>
      <c r="B15" s="14" t="s">
        <v>24</v>
      </c>
      <c r="C15" s="102">
        <f t="shared" si="1"/>
        <v>0</v>
      </c>
      <c r="D15" s="19">
        <f t="shared" si="2"/>
        <v>0</v>
      </c>
      <c r="E15" s="17"/>
      <c r="F15" s="87"/>
      <c r="G15" s="100"/>
      <c r="H15" s="87">
        <v>0</v>
      </c>
      <c r="I15" s="86"/>
      <c r="J15" t="s">
        <v>124</v>
      </c>
      <c r="V15" s="114">
        <v>0</v>
      </c>
      <c r="X15" s="105">
        <f t="shared" si="0"/>
        <v>0</v>
      </c>
    </row>
    <row r="16" spans="1:24" ht="15" customHeight="1" x14ac:dyDescent="0.25">
      <c r="A16" s="9" t="s">
        <v>25</v>
      </c>
      <c r="B16" s="10" t="s">
        <v>26</v>
      </c>
      <c r="C16" s="11">
        <f t="shared" si="1"/>
        <v>2898.0549999999998</v>
      </c>
      <c r="D16" s="19">
        <f t="shared" si="2"/>
        <v>2318.444</v>
      </c>
      <c r="E16" s="1" t="s">
        <v>95</v>
      </c>
      <c r="F16" s="87">
        <v>0.45</v>
      </c>
      <c r="G16" s="101"/>
      <c r="H16" s="87">
        <f>SUM(H17:H22)</f>
        <v>2898.0549999999998</v>
      </c>
      <c r="I16" s="86"/>
      <c r="V16" s="114">
        <v>0</v>
      </c>
      <c r="X16" s="105">
        <f t="shared" si="0"/>
        <v>0</v>
      </c>
    </row>
    <row r="17" spans="1:24" ht="15" customHeight="1" x14ac:dyDescent="0.25">
      <c r="A17" s="13" t="s">
        <v>27</v>
      </c>
      <c r="B17" s="14" t="s">
        <v>28</v>
      </c>
      <c r="C17" s="102">
        <f t="shared" si="1"/>
        <v>2004.0549999999998</v>
      </c>
      <c r="D17" s="19">
        <f t="shared" si="2"/>
        <v>1603.2439999999999</v>
      </c>
      <c r="E17" s="17"/>
      <c r="F17" s="87"/>
      <c r="G17" s="100"/>
      <c r="H17" s="87">
        <v>2004.0549999999998</v>
      </c>
      <c r="I17" s="86"/>
      <c r="V17" s="114">
        <v>8550</v>
      </c>
      <c r="X17" s="105">
        <f t="shared" si="0"/>
        <v>10687.5</v>
      </c>
    </row>
    <row r="18" spans="1:24" ht="15" customHeight="1" x14ac:dyDescent="0.25">
      <c r="A18" s="13" t="s">
        <v>29</v>
      </c>
      <c r="B18" s="14" t="s">
        <v>30</v>
      </c>
      <c r="C18" s="102">
        <f t="shared" si="1"/>
        <v>0</v>
      </c>
      <c r="D18" s="19">
        <f t="shared" si="2"/>
        <v>0</v>
      </c>
      <c r="E18" s="17"/>
      <c r="F18" s="87"/>
      <c r="G18" s="100"/>
      <c r="H18" s="87">
        <v>0</v>
      </c>
      <c r="I18" s="86"/>
      <c r="V18" s="116">
        <f>SUM(V19:V27)</f>
        <v>56600</v>
      </c>
      <c r="X18" s="105">
        <f t="shared" si="0"/>
        <v>70750</v>
      </c>
    </row>
    <row r="19" spans="1:24" ht="15" customHeight="1" x14ac:dyDescent="0.25">
      <c r="A19" s="13" t="s">
        <v>31</v>
      </c>
      <c r="B19" s="14" t="s">
        <v>32</v>
      </c>
      <c r="C19" s="102">
        <f t="shared" si="1"/>
        <v>894</v>
      </c>
      <c r="D19" s="19">
        <f t="shared" si="2"/>
        <v>715.2</v>
      </c>
      <c r="E19" s="17"/>
      <c r="F19" s="87"/>
      <c r="G19" s="100"/>
      <c r="H19" s="87">
        <v>894</v>
      </c>
      <c r="I19" s="86"/>
      <c r="V19" s="114">
        <v>0</v>
      </c>
      <c r="X19" s="105">
        <f t="shared" si="0"/>
        <v>0</v>
      </c>
    </row>
    <row r="20" spans="1:24" ht="15" customHeight="1" x14ac:dyDescent="0.25">
      <c r="A20" s="13" t="s">
        <v>33</v>
      </c>
      <c r="B20" s="14" t="s">
        <v>34</v>
      </c>
      <c r="C20" s="102">
        <f t="shared" si="1"/>
        <v>0</v>
      </c>
      <c r="D20" s="19">
        <f t="shared" si="2"/>
        <v>0</v>
      </c>
      <c r="E20" s="17"/>
      <c r="F20" s="87"/>
      <c r="G20" s="100"/>
      <c r="H20" s="87">
        <v>0</v>
      </c>
      <c r="I20" s="86"/>
      <c r="V20" s="114">
        <v>10500</v>
      </c>
      <c r="X20" s="105">
        <f t="shared" si="0"/>
        <v>13125</v>
      </c>
    </row>
    <row r="21" spans="1:24" ht="15" customHeight="1" x14ac:dyDescent="0.25">
      <c r="A21" s="13" t="s">
        <v>35</v>
      </c>
      <c r="B21" s="14" t="s">
        <v>36</v>
      </c>
      <c r="C21" s="102">
        <f t="shared" si="1"/>
        <v>0</v>
      </c>
      <c r="D21" s="19">
        <f t="shared" si="2"/>
        <v>0</v>
      </c>
      <c r="E21" s="17"/>
      <c r="F21" s="87"/>
      <c r="G21" s="100"/>
      <c r="H21" s="87">
        <v>0</v>
      </c>
      <c r="I21" s="86"/>
      <c r="V21" s="114">
        <v>5250</v>
      </c>
      <c r="X21" s="105">
        <f t="shared" si="0"/>
        <v>6562.5</v>
      </c>
    </row>
    <row r="22" spans="1:24" ht="15" customHeight="1" x14ac:dyDescent="0.25">
      <c r="A22" s="13" t="s">
        <v>37</v>
      </c>
      <c r="B22" s="14" t="s">
        <v>38</v>
      </c>
      <c r="C22" s="102">
        <f t="shared" si="1"/>
        <v>0</v>
      </c>
      <c r="D22" s="19">
        <f t="shared" si="2"/>
        <v>0</v>
      </c>
      <c r="E22" s="17"/>
      <c r="F22" s="87"/>
      <c r="G22" s="100"/>
      <c r="H22" s="87">
        <v>0</v>
      </c>
      <c r="I22" s="86"/>
      <c r="O22" t="s">
        <v>125</v>
      </c>
      <c r="V22" s="114">
        <v>5250</v>
      </c>
      <c r="X22" s="105">
        <f t="shared" si="0"/>
        <v>6562.5</v>
      </c>
    </row>
    <row r="23" spans="1:24" ht="15" customHeight="1" x14ac:dyDescent="0.25">
      <c r="A23" s="9" t="s">
        <v>39</v>
      </c>
      <c r="B23" s="10" t="s">
        <v>40</v>
      </c>
      <c r="C23" s="11">
        <f t="shared" si="1"/>
        <v>1169.1299999999999</v>
      </c>
      <c r="D23" s="19">
        <f t="shared" si="2"/>
        <v>935.30399999999997</v>
      </c>
      <c r="E23" s="1" t="s">
        <v>95</v>
      </c>
      <c r="F23" s="87">
        <v>0.22</v>
      </c>
      <c r="G23" s="101"/>
      <c r="H23" s="87">
        <f>SUM(H24:H32)</f>
        <v>1169.1299999999999</v>
      </c>
      <c r="I23" s="86"/>
      <c r="O23" t="s">
        <v>8</v>
      </c>
      <c r="P23" s="82">
        <f>SUM(C7)</f>
        <v>7696.99</v>
      </c>
      <c r="Q23" s="82" t="e">
        <f>SUM(#REF!)</f>
        <v>#REF!</v>
      </c>
      <c r="V23" s="114">
        <v>0</v>
      </c>
      <c r="X23" s="105">
        <f t="shared" si="0"/>
        <v>0</v>
      </c>
    </row>
    <row r="24" spans="1:24" ht="15" customHeight="1" x14ac:dyDescent="0.25">
      <c r="A24" s="21" t="s">
        <v>41</v>
      </c>
      <c r="B24" s="14" t="s">
        <v>42</v>
      </c>
      <c r="C24" s="102">
        <f t="shared" si="1"/>
        <v>101</v>
      </c>
      <c r="D24" s="19">
        <f t="shared" si="2"/>
        <v>80.800000000000011</v>
      </c>
      <c r="E24" s="17"/>
      <c r="F24" s="87"/>
      <c r="G24" s="100"/>
      <c r="H24" s="87">
        <v>101</v>
      </c>
      <c r="I24" s="86"/>
      <c r="O24" t="s">
        <v>16</v>
      </c>
      <c r="P24" s="82">
        <f>SUM(C11)</f>
        <v>565.24</v>
      </c>
      <c r="Q24" s="82" t="e">
        <f>SUM(#REF!)</f>
        <v>#REF!</v>
      </c>
      <c r="V24" s="114">
        <v>0</v>
      </c>
      <c r="X24" s="105">
        <f t="shared" si="0"/>
        <v>0</v>
      </c>
    </row>
    <row r="25" spans="1:24" ht="15" customHeight="1" x14ac:dyDescent="0.25">
      <c r="A25" s="21" t="s">
        <v>43</v>
      </c>
      <c r="B25" s="14" t="s">
        <v>44</v>
      </c>
      <c r="C25" s="102">
        <f t="shared" si="1"/>
        <v>0</v>
      </c>
      <c r="D25" s="19">
        <f t="shared" si="2"/>
        <v>0</v>
      </c>
      <c r="E25" s="17"/>
      <c r="F25" s="87"/>
      <c r="G25" s="100"/>
      <c r="H25" s="87">
        <v>0</v>
      </c>
      <c r="I25" s="86"/>
      <c r="O25" t="s">
        <v>26</v>
      </c>
      <c r="P25" s="82">
        <f>SUM(C16)</f>
        <v>2898.0549999999998</v>
      </c>
      <c r="Q25" s="82" t="e">
        <f>SUM(#REF!)</f>
        <v>#REF!</v>
      </c>
      <c r="V25" s="114">
        <v>17000</v>
      </c>
      <c r="X25" s="105">
        <f t="shared" si="0"/>
        <v>21250</v>
      </c>
    </row>
    <row r="26" spans="1:24" ht="15" customHeight="1" x14ac:dyDescent="0.25">
      <c r="A26" s="43" t="s">
        <v>45</v>
      </c>
      <c r="B26" s="44" t="s">
        <v>46</v>
      </c>
      <c r="C26" s="102">
        <f t="shared" si="1"/>
        <v>0</v>
      </c>
      <c r="D26" s="19">
        <f t="shared" si="2"/>
        <v>0</v>
      </c>
      <c r="E26" s="17"/>
      <c r="F26" s="87"/>
      <c r="G26" s="100"/>
      <c r="H26" s="87">
        <v>0</v>
      </c>
      <c r="I26" s="86"/>
      <c r="O26" t="s">
        <v>40</v>
      </c>
      <c r="P26" s="82">
        <f>SUM(C23)</f>
        <v>1169.1299999999999</v>
      </c>
      <c r="Q26" s="82" t="e">
        <f>SUM(#REF!)</f>
        <v>#REF!</v>
      </c>
      <c r="V26" s="114">
        <v>0</v>
      </c>
      <c r="X26" s="105">
        <f t="shared" si="0"/>
        <v>0</v>
      </c>
    </row>
    <row r="27" spans="1:24" ht="15" customHeight="1" x14ac:dyDescent="0.25">
      <c r="A27" s="21" t="s">
        <v>47</v>
      </c>
      <c r="B27" s="14" t="s">
        <v>48</v>
      </c>
      <c r="C27" s="102">
        <f t="shared" si="1"/>
        <v>0</v>
      </c>
      <c r="D27" s="19">
        <f t="shared" si="2"/>
        <v>0</v>
      </c>
      <c r="E27" s="17"/>
      <c r="F27" s="87"/>
      <c r="G27" s="100"/>
      <c r="H27" s="87">
        <v>0</v>
      </c>
      <c r="I27" s="86"/>
      <c r="O27" t="s">
        <v>60</v>
      </c>
      <c r="P27" s="82">
        <f>SUM(C33)</f>
        <v>1627</v>
      </c>
      <c r="Q27" s="82" t="e">
        <f>SUM(#REF!)</f>
        <v>#REF!</v>
      </c>
      <c r="V27" s="114">
        <v>18600</v>
      </c>
      <c r="X27" s="105">
        <f t="shared" si="0"/>
        <v>23250</v>
      </c>
    </row>
    <row r="28" spans="1:24" ht="15" customHeight="1" x14ac:dyDescent="0.25">
      <c r="A28" s="21" t="s">
        <v>49</v>
      </c>
      <c r="B28" s="14" t="s">
        <v>50</v>
      </c>
      <c r="C28" s="102">
        <f t="shared" si="1"/>
        <v>39.5</v>
      </c>
      <c r="D28" s="19">
        <f t="shared" si="2"/>
        <v>31.6</v>
      </c>
      <c r="E28" s="17"/>
      <c r="F28" s="87"/>
      <c r="G28" s="100"/>
      <c r="H28" s="87">
        <v>39.5</v>
      </c>
      <c r="I28" s="86"/>
      <c r="O28" t="s">
        <v>68</v>
      </c>
      <c r="P28" s="82">
        <f>SUM(C37)</f>
        <v>620.72499999999991</v>
      </c>
      <c r="Q28" s="82" t="e">
        <f>SUM(#REF!)</f>
        <v>#REF!</v>
      </c>
      <c r="V28" s="116">
        <f>SUM(V29:V31)</f>
        <v>4125</v>
      </c>
      <c r="X28" s="105">
        <f t="shared" si="0"/>
        <v>5156.25</v>
      </c>
    </row>
    <row r="29" spans="1:24" ht="15" customHeight="1" x14ac:dyDescent="0.25">
      <c r="A29" s="21" t="s">
        <v>51</v>
      </c>
      <c r="B29" s="14" t="s">
        <v>52</v>
      </c>
      <c r="C29" s="102">
        <f t="shared" si="1"/>
        <v>230.55500000000001</v>
      </c>
      <c r="D29" s="19">
        <f t="shared" si="2"/>
        <v>184.44400000000002</v>
      </c>
      <c r="E29" s="17"/>
      <c r="F29" s="87"/>
      <c r="G29" s="100"/>
      <c r="H29" s="87">
        <v>230.55500000000001</v>
      </c>
      <c r="I29" s="86"/>
      <c r="O29" t="s">
        <v>76</v>
      </c>
      <c r="P29" s="82">
        <f>SUM(C41)</f>
        <v>283.76</v>
      </c>
      <c r="Q29" s="82" t="e">
        <f>SUM(#REF!)</f>
        <v>#REF!</v>
      </c>
      <c r="V29" s="114">
        <v>1375</v>
      </c>
      <c r="X29" s="105">
        <f t="shared" si="0"/>
        <v>1718.75</v>
      </c>
    </row>
    <row r="30" spans="1:24" ht="15" customHeight="1" x14ac:dyDescent="0.25">
      <c r="A30" s="21" t="s">
        <v>53</v>
      </c>
      <c r="B30" s="14" t="s">
        <v>54</v>
      </c>
      <c r="C30" s="102">
        <f t="shared" si="1"/>
        <v>798.07499999999993</v>
      </c>
      <c r="D30" s="19">
        <f t="shared" si="2"/>
        <v>638.46</v>
      </c>
      <c r="E30" s="17"/>
      <c r="F30" s="87"/>
      <c r="G30" s="100"/>
      <c r="H30" s="87">
        <v>798.07499999999993</v>
      </c>
      <c r="I30" s="86"/>
      <c r="V30" s="114">
        <v>1375</v>
      </c>
      <c r="X30" s="105">
        <f t="shared" si="0"/>
        <v>1718.75</v>
      </c>
    </row>
    <row r="31" spans="1:24" ht="15" customHeight="1" x14ac:dyDescent="0.25">
      <c r="A31" s="13" t="s">
        <v>55</v>
      </c>
      <c r="B31" s="14" t="s">
        <v>56</v>
      </c>
      <c r="C31" s="102">
        <f t="shared" si="1"/>
        <v>0</v>
      </c>
      <c r="D31" s="19">
        <f t="shared" si="2"/>
        <v>0</v>
      </c>
      <c r="E31" s="17"/>
      <c r="F31" s="87"/>
      <c r="G31" s="100"/>
      <c r="H31" s="87">
        <v>0</v>
      </c>
      <c r="I31" s="86"/>
      <c r="V31" s="114">
        <v>1375</v>
      </c>
      <c r="X31" s="105">
        <f t="shared" si="0"/>
        <v>1718.75</v>
      </c>
    </row>
    <row r="32" spans="1:24" ht="15" customHeight="1" x14ac:dyDescent="0.25">
      <c r="A32" s="13" t="s">
        <v>57</v>
      </c>
      <c r="B32" s="14" t="s">
        <v>58</v>
      </c>
      <c r="C32" s="102">
        <f t="shared" si="1"/>
        <v>0</v>
      </c>
      <c r="D32" s="19">
        <f t="shared" si="2"/>
        <v>0</v>
      </c>
      <c r="E32" s="17"/>
      <c r="F32" s="87"/>
      <c r="G32" s="100"/>
      <c r="H32" s="87">
        <v>0</v>
      </c>
      <c r="I32" s="86"/>
      <c r="V32" s="116">
        <f>SUM(V33:V35)</f>
        <v>11000</v>
      </c>
      <c r="X32" s="105">
        <f t="shared" si="0"/>
        <v>13750</v>
      </c>
    </row>
    <row r="33" spans="1:24" ht="15" customHeight="1" x14ac:dyDescent="0.25">
      <c r="A33" s="9" t="s">
        <v>59</v>
      </c>
      <c r="B33" s="10" t="s">
        <v>60</v>
      </c>
      <c r="C33" s="11">
        <f t="shared" si="1"/>
        <v>1627</v>
      </c>
      <c r="D33" s="19">
        <f t="shared" si="2"/>
        <v>1301.6000000000001</v>
      </c>
      <c r="E33" s="1" t="s">
        <v>95</v>
      </c>
      <c r="F33" s="87">
        <v>0.82</v>
      </c>
      <c r="G33" s="101"/>
      <c r="H33" s="87">
        <f>SUM(H34:H36)</f>
        <v>1627</v>
      </c>
      <c r="I33" s="86"/>
      <c r="V33" s="114">
        <v>2750</v>
      </c>
      <c r="X33" s="105">
        <f t="shared" si="0"/>
        <v>3437.5</v>
      </c>
    </row>
    <row r="34" spans="1:24" ht="15" customHeight="1" x14ac:dyDescent="0.25">
      <c r="A34" s="13" t="s">
        <v>61</v>
      </c>
      <c r="B34" s="14" t="s">
        <v>62</v>
      </c>
      <c r="C34" s="102">
        <f t="shared" si="1"/>
        <v>1375</v>
      </c>
      <c r="D34" s="19">
        <f t="shared" si="2"/>
        <v>1100</v>
      </c>
      <c r="E34" s="17"/>
      <c r="F34" s="87"/>
      <c r="G34" s="100"/>
      <c r="H34" s="87">
        <v>1375</v>
      </c>
      <c r="I34" s="86"/>
      <c r="V34" s="114">
        <v>5500</v>
      </c>
      <c r="X34" s="105">
        <f t="shared" si="0"/>
        <v>6875</v>
      </c>
    </row>
    <row r="35" spans="1:24" ht="15" customHeight="1" x14ac:dyDescent="0.25">
      <c r="A35" s="13" t="s">
        <v>63</v>
      </c>
      <c r="B35" s="14" t="s">
        <v>64</v>
      </c>
      <c r="C35" s="102">
        <f t="shared" si="1"/>
        <v>25</v>
      </c>
      <c r="D35" s="19">
        <f t="shared" si="2"/>
        <v>20</v>
      </c>
      <c r="E35" s="17"/>
      <c r="F35" s="87"/>
      <c r="G35" s="100"/>
      <c r="H35" s="87">
        <v>25</v>
      </c>
      <c r="I35" s="86"/>
      <c r="V35" s="114">
        <v>2750</v>
      </c>
      <c r="X35" s="105">
        <f t="shared" si="0"/>
        <v>3437.5</v>
      </c>
    </row>
    <row r="36" spans="1:24" ht="15" customHeight="1" x14ac:dyDescent="0.25">
      <c r="A36" s="13" t="s">
        <v>65</v>
      </c>
      <c r="B36" s="14" t="s">
        <v>66</v>
      </c>
      <c r="C36" s="102">
        <f t="shared" si="1"/>
        <v>227</v>
      </c>
      <c r="D36" s="19">
        <f t="shared" si="2"/>
        <v>181.60000000000002</v>
      </c>
      <c r="E36" s="17"/>
      <c r="F36" s="87"/>
      <c r="G36" s="100"/>
      <c r="H36" s="87">
        <v>227</v>
      </c>
      <c r="I36" s="86"/>
      <c r="V36" s="116">
        <f>SUM(V37:V39)</f>
        <v>0</v>
      </c>
      <c r="X36" s="105">
        <f t="shared" si="0"/>
        <v>0</v>
      </c>
    </row>
    <row r="37" spans="1:24" ht="15" customHeight="1" x14ac:dyDescent="0.25">
      <c r="A37" s="9" t="s">
        <v>67</v>
      </c>
      <c r="B37" s="10" t="s">
        <v>68</v>
      </c>
      <c r="C37" s="11">
        <f t="shared" si="1"/>
        <v>620.72499999999991</v>
      </c>
      <c r="D37" s="19">
        <f t="shared" si="2"/>
        <v>496.57999999999993</v>
      </c>
      <c r="E37" s="1" t="s">
        <v>95</v>
      </c>
      <c r="F37" s="87">
        <v>0.22</v>
      </c>
      <c r="G37" s="101"/>
      <c r="H37" s="87">
        <f>SUM(H38:H40)</f>
        <v>620.72499999999991</v>
      </c>
      <c r="I37" s="86"/>
      <c r="V37" s="114">
        <v>0</v>
      </c>
      <c r="X37" s="105">
        <f t="shared" si="0"/>
        <v>0</v>
      </c>
    </row>
    <row r="38" spans="1:24" ht="15" customHeight="1" x14ac:dyDescent="0.25">
      <c r="A38" s="13" t="s">
        <v>69</v>
      </c>
      <c r="B38" s="14" t="s">
        <v>70</v>
      </c>
      <c r="C38" s="102">
        <f t="shared" si="1"/>
        <v>514.31499999999994</v>
      </c>
      <c r="D38" s="19">
        <f t="shared" si="2"/>
        <v>411.452</v>
      </c>
      <c r="E38" s="17"/>
      <c r="F38" s="87"/>
      <c r="G38" s="100"/>
      <c r="H38" s="87">
        <v>514.31499999999994</v>
      </c>
      <c r="I38" s="86"/>
      <c r="V38" s="114">
        <v>0</v>
      </c>
      <c r="X38" s="105">
        <f t="shared" si="0"/>
        <v>0</v>
      </c>
    </row>
    <row r="39" spans="1:24" ht="15" customHeight="1" thickBot="1" x14ac:dyDescent="0.3">
      <c r="A39" s="13" t="s">
        <v>71</v>
      </c>
      <c r="B39" s="14" t="s">
        <v>72</v>
      </c>
      <c r="C39" s="102">
        <f t="shared" si="1"/>
        <v>0</v>
      </c>
      <c r="D39" s="19">
        <f t="shared" si="2"/>
        <v>0</v>
      </c>
      <c r="E39" s="17"/>
      <c r="F39" s="87"/>
      <c r="G39" s="100"/>
      <c r="H39" s="87">
        <v>0</v>
      </c>
      <c r="I39" s="86"/>
      <c r="V39" s="114">
        <v>0</v>
      </c>
      <c r="X39" s="105">
        <f t="shared" si="0"/>
        <v>0</v>
      </c>
    </row>
    <row r="40" spans="1:24" ht="15" customHeight="1" thickBot="1" x14ac:dyDescent="0.3">
      <c r="A40" s="13" t="s">
        <v>73</v>
      </c>
      <c r="B40" s="14" t="s">
        <v>74</v>
      </c>
      <c r="C40" s="102">
        <f t="shared" si="1"/>
        <v>106.41</v>
      </c>
      <c r="D40" s="19">
        <f t="shared" si="2"/>
        <v>85.128</v>
      </c>
      <c r="E40" s="17"/>
      <c r="F40" s="87"/>
      <c r="G40" s="100"/>
      <c r="H40" s="87">
        <v>106.41</v>
      </c>
      <c r="I40" s="86"/>
      <c r="V40" s="117">
        <f>SUM(V2+V6+V11+V18+V28+V32+V36)</f>
        <v>104474</v>
      </c>
      <c r="X40" s="105">
        <f t="shared" si="0"/>
        <v>130592.5</v>
      </c>
    </row>
    <row r="41" spans="1:24" ht="15" customHeight="1" x14ac:dyDescent="0.25">
      <c r="A41" s="9" t="s">
        <v>75</v>
      </c>
      <c r="B41" s="10" t="s">
        <v>76</v>
      </c>
      <c r="C41" s="11">
        <f t="shared" si="1"/>
        <v>283.76</v>
      </c>
      <c r="D41" s="19">
        <f t="shared" si="2"/>
        <v>227.00800000000001</v>
      </c>
      <c r="E41" s="1" t="s">
        <v>95</v>
      </c>
      <c r="F41" s="87">
        <v>0.05</v>
      </c>
      <c r="G41" s="101"/>
      <c r="H41" s="87">
        <f>SUM(H42:H44)</f>
        <v>283.76</v>
      </c>
      <c r="I41" s="86"/>
    </row>
    <row r="42" spans="1:24" ht="15" customHeight="1" x14ac:dyDescent="0.25">
      <c r="A42" s="13" t="s">
        <v>77</v>
      </c>
      <c r="B42" s="14" t="s">
        <v>78</v>
      </c>
      <c r="C42" s="102">
        <f t="shared" si="1"/>
        <v>0</v>
      </c>
      <c r="D42" s="19">
        <f t="shared" si="2"/>
        <v>0</v>
      </c>
      <c r="E42" s="17"/>
      <c r="F42" s="87"/>
      <c r="G42" s="100"/>
      <c r="H42" s="87">
        <v>0</v>
      </c>
      <c r="I42" s="86"/>
    </row>
    <row r="43" spans="1:24" ht="15" customHeight="1" x14ac:dyDescent="0.25">
      <c r="A43" s="13" t="s">
        <v>79</v>
      </c>
      <c r="B43" s="14" t="s">
        <v>80</v>
      </c>
      <c r="C43" s="102">
        <f t="shared" si="1"/>
        <v>0</v>
      </c>
      <c r="D43" s="19">
        <f t="shared" si="2"/>
        <v>0</v>
      </c>
      <c r="E43" s="17"/>
      <c r="F43" s="88"/>
      <c r="G43" s="100"/>
      <c r="H43" s="88">
        <v>0</v>
      </c>
      <c r="I43" s="86"/>
    </row>
    <row r="44" spans="1:24" ht="15" customHeight="1" x14ac:dyDescent="0.25">
      <c r="A44" s="36" t="s">
        <v>81</v>
      </c>
      <c r="B44" s="37" t="s">
        <v>82</v>
      </c>
      <c r="C44" s="102">
        <f t="shared" si="1"/>
        <v>283.76</v>
      </c>
      <c r="D44" s="19">
        <f t="shared" si="2"/>
        <v>227.00800000000001</v>
      </c>
      <c r="E44" s="17"/>
      <c r="F44" s="88"/>
      <c r="G44" s="100"/>
      <c r="H44" s="88">
        <v>283.76</v>
      </c>
      <c r="I44" s="86"/>
    </row>
    <row r="45" spans="1:24" x14ac:dyDescent="0.25">
      <c r="A45" s="39" t="s">
        <v>83</v>
      </c>
      <c r="B45" s="38" t="s">
        <v>84</v>
      </c>
      <c r="C45" s="11">
        <f t="shared" si="1"/>
        <v>14743.662378999998</v>
      </c>
      <c r="D45" s="19">
        <f t="shared" si="2"/>
        <v>11794.929903199998</v>
      </c>
      <c r="E45" s="4" t="s">
        <v>95</v>
      </c>
      <c r="F45" s="88">
        <f>SUM(F7:F44)</f>
        <v>3.37</v>
      </c>
      <c r="G45" s="101"/>
      <c r="H45" s="88">
        <v>14743.662378999998</v>
      </c>
      <c r="I45" s="86"/>
    </row>
    <row r="53" spans="1:18" x14ac:dyDescent="0.25">
      <c r="A53" t="s">
        <v>84</v>
      </c>
    </row>
    <row r="55" spans="1:18" x14ac:dyDescent="0.25">
      <c r="J55" s="314" t="s">
        <v>84</v>
      </c>
      <c r="K55" s="314"/>
      <c r="L55" s="314"/>
      <c r="M55" s="314"/>
      <c r="N55" s="314"/>
      <c r="O55" s="314"/>
      <c r="P55" s="314"/>
      <c r="Q55" s="345" t="s">
        <v>194</v>
      </c>
      <c r="R55" s="356" t="s">
        <v>194</v>
      </c>
    </row>
    <row r="56" spans="1:18" x14ac:dyDescent="0.25">
      <c r="J56" s="314"/>
      <c r="K56" s="314"/>
      <c r="L56" s="318"/>
      <c r="M56" s="314"/>
      <c r="N56" s="314"/>
      <c r="O56" s="314"/>
      <c r="P56" s="314"/>
      <c r="Q56" s="348" t="s">
        <v>195</v>
      </c>
      <c r="R56" s="324" t="s">
        <v>196</v>
      </c>
    </row>
    <row r="57" spans="1:18" x14ac:dyDescent="0.25">
      <c r="J57" s="317"/>
      <c r="K57" s="319"/>
      <c r="L57" s="349" t="s">
        <v>197</v>
      </c>
      <c r="M57" s="350" t="s">
        <v>197</v>
      </c>
      <c r="N57" s="321"/>
      <c r="O57" s="321"/>
      <c r="P57" s="321"/>
      <c r="Q57" s="346" t="s">
        <v>198</v>
      </c>
      <c r="R57" s="322" t="s">
        <v>198</v>
      </c>
    </row>
    <row r="58" spans="1:18" x14ac:dyDescent="0.25">
      <c r="J58" s="317"/>
      <c r="K58" s="319"/>
      <c r="L58" s="349" t="s">
        <v>199</v>
      </c>
      <c r="M58" s="350" t="s">
        <v>199</v>
      </c>
      <c r="N58" s="342" t="s">
        <v>194</v>
      </c>
      <c r="O58" s="342" t="s">
        <v>194</v>
      </c>
      <c r="P58" s="342" t="s">
        <v>194</v>
      </c>
      <c r="Q58" s="347">
        <v>9369.9805825242711</v>
      </c>
      <c r="R58" s="323">
        <v>9369.9805825242711</v>
      </c>
    </row>
    <row r="59" spans="1:18" x14ac:dyDescent="0.25">
      <c r="J59" s="317"/>
      <c r="K59" s="319"/>
      <c r="L59" s="349" t="s">
        <v>200</v>
      </c>
      <c r="M59" s="350" t="s">
        <v>200</v>
      </c>
      <c r="N59" s="343" t="s">
        <v>201</v>
      </c>
      <c r="O59" s="343" t="s">
        <v>201</v>
      </c>
      <c r="P59" s="343"/>
      <c r="Q59" s="348" t="s">
        <v>201</v>
      </c>
      <c r="R59" s="324" t="s">
        <v>201</v>
      </c>
    </row>
    <row r="60" spans="1:18" x14ac:dyDescent="0.25">
      <c r="J60" s="317"/>
      <c r="K60" s="320" t="s">
        <v>3</v>
      </c>
      <c r="L60" s="349" t="s">
        <v>84</v>
      </c>
      <c r="M60" s="350" t="s">
        <v>84</v>
      </c>
      <c r="N60" s="343" t="s">
        <v>83</v>
      </c>
      <c r="O60" s="343" t="s">
        <v>83</v>
      </c>
      <c r="P60" s="344" t="s">
        <v>202</v>
      </c>
      <c r="Q60" s="348" t="s">
        <v>203</v>
      </c>
      <c r="R60" s="324" t="s">
        <v>204</v>
      </c>
    </row>
    <row r="61" spans="1:18" x14ac:dyDescent="0.25">
      <c r="J61" s="317"/>
      <c r="K61" s="320" t="s">
        <v>4</v>
      </c>
      <c r="L61" s="349" t="s">
        <v>95</v>
      </c>
      <c r="M61" s="350" t="s">
        <v>205</v>
      </c>
      <c r="N61" s="343" t="s">
        <v>206</v>
      </c>
      <c r="O61" s="343" t="s">
        <v>207</v>
      </c>
      <c r="P61" s="343"/>
      <c r="Q61" s="348" t="s">
        <v>208</v>
      </c>
      <c r="R61" s="324" t="s">
        <v>208</v>
      </c>
    </row>
    <row r="62" spans="1:18" ht="15" customHeight="1" x14ac:dyDescent="0.25">
      <c r="J62" s="325" t="s">
        <v>7</v>
      </c>
      <c r="K62" s="326" t="s">
        <v>8</v>
      </c>
      <c r="L62" s="360">
        <v>1.5</v>
      </c>
      <c r="M62" s="327">
        <v>215.00000000000003</v>
      </c>
      <c r="N62" s="329">
        <v>0</v>
      </c>
      <c r="O62" s="328">
        <v>0</v>
      </c>
      <c r="P62" s="330" t="s">
        <v>209</v>
      </c>
      <c r="Q62" s="331">
        <v>0</v>
      </c>
      <c r="R62" s="331">
        <v>0</v>
      </c>
    </row>
    <row r="63" spans="1:18" ht="15" customHeight="1" x14ac:dyDescent="0.25">
      <c r="J63" s="332" t="s">
        <v>9</v>
      </c>
      <c r="K63" s="333" t="s">
        <v>10</v>
      </c>
      <c r="L63" s="316">
        <v>1</v>
      </c>
      <c r="M63" s="334">
        <v>143.33333333333334</v>
      </c>
      <c r="N63" s="351"/>
      <c r="O63" s="352">
        <v>0</v>
      </c>
      <c r="P63" s="353"/>
      <c r="Q63" s="354">
        <v>0</v>
      </c>
      <c r="R63" s="335">
        <v>0</v>
      </c>
    </row>
    <row r="64" spans="1:18" ht="15" customHeight="1" x14ac:dyDescent="0.25">
      <c r="J64" s="332" t="s">
        <v>11</v>
      </c>
      <c r="K64" s="333" t="s">
        <v>12</v>
      </c>
      <c r="L64" s="316">
        <v>0.25</v>
      </c>
      <c r="M64" s="334">
        <v>35.833333333333336</v>
      </c>
      <c r="N64" s="351"/>
      <c r="O64" s="352">
        <v>0</v>
      </c>
      <c r="P64" s="353"/>
      <c r="Q64" s="354">
        <v>0</v>
      </c>
      <c r="R64" s="335">
        <v>0</v>
      </c>
    </row>
    <row r="65" spans="10:18" ht="15" customHeight="1" x14ac:dyDescent="0.25">
      <c r="J65" s="332" t="s">
        <v>13</v>
      </c>
      <c r="K65" s="333" t="s">
        <v>14</v>
      </c>
      <c r="L65" s="316">
        <v>0.25</v>
      </c>
      <c r="M65" s="334">
        <v>35.833333333333336</v>
      </c>
      <c r="N65" s="351"/>
      <c r="O65" s="352">
        <v>0</v>
      </c>
      <c r="P65" s="353"/>
      <c r="Q65" s="354">
        <v>0</v>
      </c>
      <c r="R65" s="335">
        <v>0</v>
      </c>
    </row>
    <row r="66" spans="10:18" ht="15" customHeight="1" x14ac:dyDescent="0.25">
      <c r="J66" s="325" t="s">
        <v>15</v>
      </c>
      <c r="K66" s="326" t="s">
        <v>16</v>
      </c>
      <c r="L66" s="360">
        <v>0.5</v>
      </c>
      <c r="M66" s="336">
        <v>71.666666666666671</v>
      </c>
      <c r="N66" s="329">
        <v>0</v>
      </c>
      <c r="O66" s="328">
        <v>0</v>
      </c>
      <c r="P66" s="330" t="s">
        <v>211</v>
      </c>
      <c r="Q66" s="331">
        <v>0</v>
      </c>
      <c r="R66" s="331">
        <v>0</v>
      </c>
    </row>
    <row r="67" spans="10:18" ht="15" customHeight="1" x14ac:dyDescent="0.25">
      <c r="J67" s="332" t="s">
        <v>17</v>
      </c>
      <c r="K67" s="333" t="s">
        <v>18</v>
      </c>
      <c r="L67" s="316">
        <v>0.25</v>
      </c>
      <c r="M67" s="334">
        <v>35.833333333333336</v>
      </c>
      <c r="N67" s="351"/>
      <c r="O67" s="352">
        <v>0</v>
      </c>
      <c r="P67" s="353"/>
      <c r="Q67" s="354">
        <v>0</v>
      </c>
      <c r="R67" s="335">
        <v>0</v>
      </c>
    </row>
    <row r="68" spans="10:18" ht="15" customHeight="1" x14ac:dyDescent="0.25">
      <c r="J68" s="332" t="s">
        <v>19</v>
      </c>
      <c r="K68" s="333" t="s">
        <v>20</v>
      </c>
      <c r="L68" s="316">
        <v>0</v>
      </c>
      <c r="M68" s="334">
        <v>0</v>
      </c>
      <c r="N68" s="351"/>
      <c r="O68" s="352">
        <v>0</v>
      </c>
      <c r="P68" s="353"/>
      <c r="Q68" s="354">
        <v>0</v>
      </c>
      <c r="R68" s="335">
        <v>0</v>
      </c>
    </row>
    <row r="69" spans="10:18" ht="15" customHeight="1" x14ac:dyDescent="0.25">
      <c r="J69" s="332" t="s">
        <v>21</v>
      </c>
      <c r="K69" s="333" t="s">
        <v>22</v>
      </c>
      <c r="L69" s="316">
        <v>0</v>
      </c>
      <c r="M69" s="334">
        <v>0</v>
      </c>
      <c r="N69" s="351"/>
      <c r="O69" s="352">
        <v>0</v>
      </c>
      <c r="P69" s="353"/>
      <c r="Q69" s="354">
        <v>0</v>
      </c>
      <c r="R69" s="335">
        <v>0</v>
      </c>
    </row>
    <row r="70" spans="10:18" ht="15" customHeight="1" x14ac:dyDescent="0.25">
      <c r="J70" s="332" t="s">
        <v>23</v>
      </c>
      <c r="K70" s="333" t="s">
        <v>24</v>
      </c>
      <c r="L70" s="316">
        <v>0.25</v>
      </c>
      <c r="M70" s="334">
        <v>35.833333333333336</v>
      </c>
      <c r="N70" s="351"/>
      <c r="O70" s="352">
        <v>0</v>
      </c>
      <c r="P70" s="353"/>
      <c r="Q70" s="354">
        <v>0</v>
      </c>
      <c r="R70" s="335">
        <v>0</v>
      </c>
    </row>
    <row r="71" spans="10:18" ht="15" customHeight="1" x14ac:dyDescent="0.25">
      <c r="J71" s="325" t="s">
        <v>25</v>
      </c>
      <c r="K71" s="326" t="s">
        <v>26</v>
      </c>
      <c r="L71" s="360">
        <v>2.5</v>
      </c>
      <c r="M71" s="336">
        <v>358.33333333333337</v>
      </c>
      <c r="N71" s="329">
        <v>0</v>
      </c>
      <c r="O71" s="328">
        <v>0</v>
      </c>
      <c r="P71" s="330" t="s">
        <v>220</v>
      </c>
      <c r="Q71" s="331">
        <v>0</v>
      </c>
      <c r="R71" s="331">
        <v>0</v>
      </c>
    </row>
    <row r="72" spans="10:18" ht="15" customHeight="1" x14ac:dyDescent="0.25">
      <c r="J72" s="332" t="s">
        <v>27</v>
      </c>
      <c r="K72" s="333" t="s">
        <v>28</v>
      </c>
      <c r="L72" s="316">
        <v>0.5</v>
      </c>
      <c r="M72" s="334">
        <v>71.666666666666671</v>
      </c>
      <c r="N72" s="351"/>
      <c r="O72" s="352">
        <v>0</v>
      </c>
      <c r="P72" s="353"/>
      <c r="Q72" s="354">
        <v>0</v>
      </c>
      <c r="R72" s="335">
        <v>0</v>
      </c>
    </row>
    <row r="73" spans="10:18" ht="15" customHeight="1" x14ac:dyDescent="0.25">
      <c r="J73" s="332" t="s">
        <v>29</v>
      </c>
      <c r="K73" s="333" t="s">
        <v>30</v>
      </c>
      <c r="L73" s="316">
        <v>0</v>
      </c>
      <c r="M73" s="334">
        <v>0</v>
      </c>
      <c r="N73" s="351"/>
      <c r="O73" s="352">
        <v>0</v>
      </c>
      <c r="P73" s="353"/>
      <c r="Q73" s="354">
        <v>0</v>
      </c>
      <c r="R73" s="335">
        <v>0</v>
      </c>
    </row>
    <row r="74" spans="10:18" ht="15" customHeight="1" x14ac:dyDescent="0.25">
      <c r="J74" s="332" t="s">
        <v>31</v>
      </c>
      <c r="K74" s="333" t="s">
        <v>32</v>
      </c>
      <c r="L74" s="316">
        <v>1</v>
      </c>
      <c r="M74" s="334">
        <v>143.33333333333334</v>
      </c>
      <c r="N74" s="351"/>
      <c r="O74" s="352">
        <v>0</v>
      </c>
      <c r="P74" s="353"/>
      <c r="Q74" s="354">
        <v>0</v>
      </c>
      <c r="R74" s="335">
        <v>0</v>
      </c>
    </row>
    <row r="75" spans="10:18" ht="15" customHeight="1" x14ac:dyDescent="0.25">
      <c r="J75" s="332" t="s">
        <v>33</v>
      </c>
      <c r="K75" s="333" t="s">
        <v>34</v>
      </c>
      <c r="L75" s="316">
        <v>0</v>
      </c>
      <c r="M75" s="334">
        <v>0</v>
      </c>
      <c r="N75" s="351"/>
      <c r="O75" s="352">
        <v>0</v>
      </c>
      <c r="P75" s="353"/>
      <c r="Q75" s="354">
        <v>0</v>
      </c>
      <c r="R75" s="335">
        <v>0</v>
      </c>
    </row>
    <row r="76" spans="10:18" ht="15" customHeight="1" x14ac:dyDescent="0.25">
      <c r="J76" s="332" t="s">
        <v>35</v>
      </c>
      <c r="K76" s="333" t="s">
        <v>36</v>
      </c>
      <c r="L76" s="316">
        <v>0</v>
      </c>
      <c r="M76" s="334">
        <v>0</v>
      </c>
      <c r="N76" s="351"/>
      <c r="O76" s="352">
        <v>0</v>
      </c>
      <c r="P76" s="353"/>
      <c r="Q76" s="354">
        <v>0</v>
      </c>
      <c r="R76" s="335">
        <v>0</v>
      </c>
    </row>
    <row r="77" spans="10:18" ht="15" customHeight="1" x14ac:dyDescent="0.25">
      <c r="J77" s="362" t="s">
        <v>37</v>
      </c>
      <c r="K77" s="363" t="s">
        <v>38</v>
      </c>
      <c r="L77" s="316">
        <v>1</v>
      </c>
      <c r="M77" s="334">
        <v>143.33333333333334</v>
      </c>
      <c r="N77" s="351"/>
      <c r="O77" s="352">
        <v>0</v>
      </c>
      <c r="P77" s="353"/>
      <c r="Q77" s="354">
        <v>0</v>
      </c>
      <c r="R77" s="335">
        <v>0</v>
      </c>
    </row>
    <row r="78" spans="10:18" ht="15" customHeight="1" x14ac:dyDescent="0.25">
      <c r="J78" s="325" t="s">
        <v>212</v>
      </c>
      <c r="K78" s="326" t="s">
        <v>40</v>
      </c>
      <c r="L78" s="360">
        <v>6</v>
      </c>
      <c r="M78" s="336">
        <v>860</v>
      </c>
      <c r="N78" s="329">
        <v>-0.1</v>
      </c>
      <c r="O78" s="328">
        <v>-14.333333333333336</v>
      </c>
      <c r="P78" s="330" t="s">
        <v>281</v>
      </c>
      <c r="Q78" s="331">
        <v>-936.99800000000005</v>
      </c>
      <c r="R78" s="331">
        <v>-1171.2474999999999</v>
      </c>
    </row>
    <row r="79" spans="10:18" ht="15" customHeight="1" x14ac:dyDescent="0.25">
      <c r="J79" s="337" t="s">
        <v>213</v>
      </c>
      <c r="K79" s="333" t="s">
        <v>42</v>
      </c>
      <c r="L79" s="316">
        <v>0</v>
      </c>
      <c r="M79" s="334">
        <v>0</v>
      </c>
      <c r="N79" s="351"/>
      <c r="O79" s="352">
        <v>0</v>
      </c>
      <c r="P79" s="353"/>
      <c r="Q79" s="354">
        <v>0</v>
      </c>
      <c r="R79" s="335">
        <v>0</v>
      </c>
    </row>
    <row r="80" spans="10:18" ht="15" customHeight="1" x14ac:dyDescent="0.25">
      <c r="J80" s="364" t="s">
        <v>43</v>
      </c>
      <c r="K80" s="363" t="s">
        <v>44</v>
      </c>
      <c r="L80" s="316">
        <v>1</v>
      </c>
      <c r="M80" s="334">
        <v>143.33333333333334</v>
      </c>
      <c r="N80" s="351"/>
      <c r="O80" s="352">
        <v>0</v>
      </c>
      <c r="P80" s="353"/>
      <c r="Q80" s="354">
        <v>0</v>
      </c>
      <c r="R80" s="335">
        <v>0</v>
      </c>
    </row>
    <row r="81" spans="10:18" ht="15" customHeight="1" x14ac:dyDescent="0.25">
      <c r="J81" s="337" t="s">
        <v>45</v>
      </c>
      <c r="K81" s="333" t="s">
        <v>46</v>
      </c>
      <c r="L81" s="316">
        <v>0.5</v>
      </c>
      <c r="M81" s="334">
        <v>71.666666666666671</v>
      </c>
      <c r="N81" s="351"/>
      <c r="O81" s="352">
        <v>0</v>
      </c>
      <c r="P81" s="353"/>
      <c r="Q81" s="354">
        <v>0</v>
      </c>
      <c r="R81" s="335">
        <v>0</v>
      </c>
    </row>
    <row r="82" spans="10:18" ht="15" customHeight="1" x14ac:dyDescent="0.25">
      <c r="J82" s="337" t="s">
        <v>47</v>
      </c>
      <c r="K82" s="333" t="s">
        <v>48</v>
      </c>
      <c r="L82" s="316">
        <v>0.5</v>
      </c>
      <c r="M82" s="334">
        <v>71.666666666666671</v>
      </c>
      <c r="N82" s="351"/>
      <c r="O82" s="352">
        <v>0</v>
      </c>
      <c r="P82" s="353"/>
      <c r="Q82" s="354">
        <v>0</v>
      </c>
      <c r="R82" s="335">
        <v>0</v>
      </c>
    </row>
    <row r="83" spans="10:18" ht="15" customHeight="1" x14ac:dyDescent="0.25">
      <c r="J83" s="364" t="s">
        <v>214</v>
      </c>
      <c r="K83" s="363" t="s">
        <v>50</v>
      </c>
      <c r="L83" s="316">
        <v>0</v>
      </c>
      <c r="M83" s="334">
        <v>0</v>
      </c>
      <c r="N83" s="351"/>
      <c r="O83" s="352">
        <v>0</v>
      </c>
      <c r="P83" s="353"/>
      <c r="Q83" s="354">
        <v>0</v>
      </c>
      <c r="R83" s="335">
        <v>0</v>
      </c>
    </row>
    <row r="84" spans="10:18" ht="15" customHeight="1" x14ac:dyDescent="0.25">
      <c r="J84" s="337" t="s">
        <v>51</v>
      </c>
      <c r="K84" s="333" t="s">
        <v>52</v>
      </c>
      <c r="L84" s="316">
        <v>0</v>
      </c>
      <c r="M84" s="334">
        <v>0</v>
      </c>
      <c r="N84" s="351"/>
      <c r="O84" s="352">
        <v>0</v>
      </c>
      <c r="P84" s="353"/>
      <c r="Q84" s="354">
        <v>0</v>
      </c>
      <c r="R84" s="335">
        <v>0</v>
      </c>
    </row>
    <row r="85" spans="10:18" ht="15" customHeight="1" x14ac:dyDescent="0.25">
      <c r="J85" s="337" t="s">
        <v>53</v>
      </c>
      <c r="K85" s="333" t="s">
        <v>54</v>
      </c>
      <c r="L85" s="316">
        <v>2</v>
      </c>
      <c r="M85" s="334">
        <v>286.66666666666669</v>
      </c>
      <c r="N85" s="351">
        <v>-0.1</v>
      </c>
      <c r="O85" s="352">
        <v>-14.333333333333336</v>
      </c>
      <c r="P85" s="353" t="s">
        <v>281</v>
      </c>
      <c r="Q85" s="354">
        <v>-936.99800000000005</v>
      </c>
      <c r="R85" s="335">
        <v>-1171.2474999999999</v>
      </c>
    </row>
    <row r="86" spans="10:18" ht="15" customHeight="1" x14ac:dyDescent="0.25">
      <c r="J86" s="332" t="s">
        <v>55</v>
      </c>
      <c r="K86" s="333" t="s">
        <v>56</v>
      </c>
      <c r="L86" s="316">
        <v>0</v>
      </c>
      <c r="M86" s="334">
        <v>0</v>
      </c>
      <c r="N86" s="351"/>
      <c r="O86" s="352">
        <v>0</v>
      </c>
      <c r="P86" s="353"/>
      <c r="Q86" s="354">
        <v>0</v>
      </c>
      <c r="R86" s="335">
        <v>0</v>
      </c>
    </row>
    <row r="87" spans="10:18" ht="15" customHeight="1" x14ac:dyDescent="0.25">
      <c r="J87" s="332" t="s">
        <v>57</v>
      </c>
      <c r="K87" s="333" t="s">
        <v>58</v>
      </c>
      <c r="L87" s="316">
        <v>2</v>
      </c>
      <c r="M87" s="334">
        <v>286.66666666666669</v>
      </c>
      <c r="N87" s="351"/>
      <c r="O87" s="352">
        <v>0</v>
      </c>
      <c r="P87" s="353"/>
      <c r="Q87" s="354">
        <v>0</v>
      </c>
      <c r="R87" s="335">
        <v>0</v>
      </c>
    </row>
    <row r="88" spans="10:18" ht="15" customHeight="1" x14ac:dyDescent="0.25">
      <c r="J88" s="325" t="s">
        <v>59</v>
      </c>
      <c r="K88" s="326" t="s">
        <v>60</v>
      </c>
      <c r="L88" s="360">
        <v>0.75</v>
      </c>
      <c r="M88" s="336">
        <v>107.5</v>
      </c>
      <c r="N88" s="329">
        <v>0</v>
      </c>
      <c r="O88" s="328">
        <v>0</v>
      </c>
      <c r="P88" s="330" t="s">
        <v>209</v>
      </c>
      <c r="Q88" s="331">
        <v>0</v>
      </c>
      <c r="R88" s="331">
        <v>0</v>
      </c>
    </row>
    <row r="89" spans="10:18" ht="15" customHeight="1" x14ac:dyDescent="0.25">
      <c r="J89" s="362" t="s">
        <v>61</v>
      </c>
      <c r="K89" s="363" t="s">
        <v>62</v>
      </c>
      <c r="L89" s="316">
        <v>0.25</v>
      </c>
      <c r="M89" s="334">
        <v>35.833333333333336</v>
      </c>
      <c r="N89" s="351"/>
      <c r="O89" s="352">
        <v>0</v>
      </c>
      <c r="P89" s="353"/>
      <c r="Q89" s="354">
        <v>0</v>
      </c>
      <c r="R89" s="335">
        <v>0</v>
      </c>
    </row>
    <row r="90" spans="10:18" ht="15" customHeight="1" x14ac:dyDescent="0.25">
      <c r="J90" s="362" t="s">
        <v>215</v>
      </c>
      <c r="K90" s="363" t="s">
        <v>64</v>
      </c>
      <c r="L90" s="316">
        <v>0.25</v>
      </c>
      <c r="M90" s="334">
        <v>35.833333333333336</v>
      </c>
      <c r="N90" s="351"/>
      <c r="O90" s="352">
        <v>0</v>
      </c>
      <c r="P90" s="355"/>
      <c r="Q90" s="354">
        <v>0</v>
      </c>
      <c r="R90" s="335">
        <v>0</v>
      </c>
    </row>
    <row r="91" spans="10:18" ht="15" customHeight="1" x14ac:dyDescent="0.25">
      <c r="J91" s="362" t="s">
        <v>65</v>
      </c>
      <c r="K91" s="363" t="s">
        <v>66</v>
      </c>
      <c r="L91" s="316">
        <v>0.25</v>
      </c>
      <c r="M91" s="334">
        <v>35.833333333333336</v>
      </c>
      <c r="N91" s="351"/>
      <c r="O91" s="352">
        <v>0</v>
      </c>
      <c r="P91" s="353"/>
      <c r="Q91" s="354">
        <v>0</v>
      </c>
      <c r="R91" s="335">
        <v>0</v>
      </c>
    </row>
    <row r="92" spans="10:18" ht="15" customHeight="1" x14ac:dyDescent="0.25">
      <c r="J92" s="325" t="s">
        <v>67</v>
      </c>
      <c r="K92" s="326" t="s">
        <v>68</v>
      </c>
      <c r="L92" s="360">
        <v>2</v>
      </c>
      <c r="M92" s="336">
        <v>286.66666666666669</v>
      </c>
      <c r="N92" s="329">
        <v>0</v>
      </c>
      <c r="O92" s="328">
        <v>0</v>
      </c>
      <c r="P92" s="330" t="s">
        <v>220</v>
      </c>
      <c r="Q92" s="331">
        <v>0</v>
      </c>
      <c r="R92" s="331">
        <v>0</v>
      </c>
    </row>
    <row r="93" spans="10:18" ht="15" customHeight="1" x14ac:dyDescent="0.25">
      <c r="J93" s="332" t="s">
        <v>69</v>
      </c>
      <c r="K93" s="333" t="s">
        <v>70</v>
      </c>
      <c r="L93" s="316">
        <v>0.5</v>
      </c>
      <c r="M93" s="334">
        <v>71.666666666666671</v>
      </c>
      <c r="N93" s="351"/>
      <c r="O93" s="352">
        <v>0</v>
      </c>
      <c r="P93" s="353"/>
      <c r="Q93" s="354">
        <v>0</v>
      </c>
      <c r="R93" s="335">
        <v>0</v>
      </c>
    </row>
    <row r="94" spans="10:18" ht="15" customHeight="1" x14ac:dyDescent="0.25">
      <c r="J94" s="332" t="s">
        <v>71</v>
      </c>
      <c r="K94" s="333" t="s">
        <v>72</v>
      </c>
      <c r="L94" s="316">
        <v>1</v>
      </c>
      <c r="M94" s="334">
        <v>143.33333333333334</v>
      </c>
      <c r="N94" s="351"/>
      <c r="O94" s="352">
        <v>0</v>
      </c>
      <c r="P94" s="353"/>
      <c r="Q94" s="354">
        <v>0</v>
      </c>
      <c r="R94" s="335">
        <v>0</v>
      </c>
    </row>
    <row r="95" spans="10:18" ht="15" customHeight="1" x14ac:dyDescent="0.25">
      <c r="J95" s="332" t="s">
        <v>73</v>
      </c>
      <c r="K95" s="333" t="s">
        <v>74</v>
      </c>
      <c r="L95" s="316">
        <v>0.5</v>
      </c>
      <c r="M95" s="334">
        <v>71.666666666666671</v>
      </c>
      <c r="N95" s="351"/>
      <c r="O95" s="352">
        <v>0</v>
      </c>
      <c r="P95" s="353"/>
      <c r="Q95" s="354">
        <v>0</v>
      </c>
      <c r="R95" s="335">
        <v>0</v>
      </c>
    </row>
    <row r="96" spans="10:18" ht="15" customHeight="1" x14ac:dyDescent="0.25">
      <c r="J96" s="325" t="s">
        <v>75</v>
      </c>
      <c r="K96" s="326" t="s">
        <v>76</v>
      </c>
      <c r="L96" s="360">
        <v>0</v>
      </c>
      <c r="M96" s="336">
        <v>0</v>
      </c>
      <c r="N96" s="329">
        <v>0.1</v>
      </c>
      <c r="O96" s="328">
        <v>14.333333333333336</v>
      </c>
      <c r="P96" s="330" t="s">
        <v>226</v>
      </c>
      <c r="Q96" s="331">
        <v>936.99800000000005</v>
      </c>
      <c r="R96" s="331">
        <v>1171.2474999999999</v>
      </c>
    </row>
    <row r="97" spans="10:18" ht="15" customHeight="1" x14ac:dyDescent="0.25">
      <c r="J97" s="332" t="s">
        <v>77</v>
      </c>
      <c r="K97" s="333" t="s">
        <v>78</v>
      </c>
      <c r="L97" s="316">
        <v>0</v>
      </c>
      <c r="M97" s="334">
        <v>0</v>
      </c>
      <c r="N97" s="351"/>
      <c r="O97" s="352">
        <v>0</v>
      </c>
      <c r="P97" s="353"/>
      <c r="Q97" s="354">
        <v>0</v>
      </c>
      <c r="R97" s="335">
        <v>0</v>
      </c>
    </row>
    <row r="98" spans="10:18" ht="15" customHeight="1" x14ac:dyDescent="0.25">
      <c r="J98" s="332" t="s">
        <v>79</v>
      </c>
      <c r="K98" s="333" t="s">
        <v>80</v>
      </c>
      <c r="L98" s="316">
        <v>0</v>
      </c>
      <c r="M98" s="334">
        <v>0</v>
      </c>
      <c r="N98" s="351"/>
      <c r="O98" s="352">
        <v>0</v>
      </c>
      <c r="P98" s="353"/>
      <c r="Q98" s="354">
        <v>0</v>
      </c>
      <c r="R98" s="335">
        <v>0</v>
      </c>
    </row>
    <row r="99" spans="10:18" ht="15" customHeight="1" thickBot="1" x14ac:dyDescent="0.3">
      <c r="J99" s="337" t="s">
        <v>81</v>
      </c>
      <c r="K99" s="333" t="s">
        <v>82</v>
      </c>
      <c r="L99" s="316">
        <v>0</v>
      </c>
      <c r="M99" s="334">
        <v>0</v>
      </c>
      <c r="N99" s="351">
        <v>0.1</v>
      </c>
      <c r="O99" s="352">
        <v>14.333333333333336</v>
      </c>
      <c r="P99" s="353" t="s">
        <v>282</v>
      </c>
      <c r="Q99" s="354">
        <v>936.99800000000005</v>
      </c>
      <c r="R99" s="335">
        <v>1171.2474999999999</v>
      </c>
    </row>
    <row r="100" spans="10:18" ht="15.75" thickBot="1" x14ac:dyDescent="0.3">
      <c r="J100" s="359" t="s">
        <v>216</v>
      </c>
      <c r="K100" s="338" t="s">
        <v>84</v>
      </c>
      <c r="L100" s="361">
        <v>13.25</v>
      </c>
      <c r="M100" s="357">
        <v>1899.1666666666667</v>
      </c>
      <c r="N100" s="339">
        <v>0</v>
      </c>
      <c r="O100" s="340">
        <v>0</v>
      </c>
      <c r="P100" s="358"/>
      <c r="Q100" s="341">
        <v>0</v>
      </c>
      <c r="R100" s="341">
        <v>0</v>
      </c>
    </row>
  </sheetData>
  <phoneticPr fontId="1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C227-6414-4E85-A87F-3B6DE4AF14CB}">
  <dimension ref="A1:R95"/>
  <sheetViews>
    <sheetView topLeftCell="A45" workbookViewId="0">
      <selection activeCell="K45" sqref="K45"/>
    </sheetView>
  </sheetViews>
  <sheetFormatPr baseColWidth="10" defaultColWidth="9.140625" defaultRowHeight="15" x14ac:dyDescent="0.25"/>
  <cols>
    <col min="1" max="1" width="52.140625" customWidth="1"/>
    <col min="2" max="2" width="6" style="6" customWidth="1"/>
    <col min="3" max="3" width="14.140625" style="24" customWidth="1"/>
    <col min="4" max="4" width="4" style="24" customWidth="1"/>
    <col min="5" max="5" width="19.42578125" style="24" customWidth="1"/>
    <col min="6" max="6" width="14.28515625" style="4" customWidth="1"/>
    <col min="7" max="7" width="24.85546875" style="83" customWidth="1"/>
    <col min="8" max="8" width="16" style="83" customWidth="1"/>
    <col min="9" max="9" width="21.28515625" style="83" customWidth="1"/>
    <col min="10" max="10" width="10.28515625" style="83" bestFit="1" customWidth="1"/>
    <col min="11" max="11" width="13.7109375" customWidth="1"/>
    <col min="12" max="12" width="9.140625" style="41"/>
  </cols>
  <sheetData>
    <row r="1" spans="1:13" x14ac:dyDescent="0.25">
      <c r="A1" s="2"/>
      <c r="B1" s="3"/>
      <c r="C1" s="252" t="s">
        <v>0</v>
      </c>
      <c r="D1" s="252"/>
      <c r="E1" s="92"/>
    </row>
    <row r="2" spans="1:13" ht="18.75" x14ac:dyDescent="0.3">
      <c r="A2" s="2"/>
      <c r="B2" s="3"/>
      <c r="C2" s="252" t="s">
        <v>1</v>
      </c>
      <c r="D2" s="252"/>
      <c r="E2" s="92" t="s">
        <v>131</v>
      </c>
      <c r="G2" s="90" t="s">
        <v>90</v>
      </c>
      <c r="J2" s="84"/>
      <c r="K2" t="s">
        <v>126</v>
      </c>
    </row>
    <row r="3" spans="1:13" x14ac:dyDescent="0.25">
      <c r="A3" s="2"/>
      <c r="B3" s="3"/>
      <c r="C3" s="252" t="s">
        <v>88</v>
      </c>
      <c r="D3" s="252"/>
      <c r="E3" s="92"/>
      <c r="K3" t="s">
        <v>127</v>
      </c>
    </row>
    <row r="4" spans="1:13" x14ac:dyDescent="0.25">
      <c r="A4" s="25" t="s">
        <v>2</v>
      </c>
      <c r="B4" s="3" t="s">
        <v>3</v>
      </c>
      <c r="C4" s="252" t="s">
        <v>92</v>
      </c>
      <c r="D4" s="252"/>
      <c r="E4" s="92"/>
      <c r="F4" s="1"/>
      <c r="G4" s="85"/>
      <c r="I4" s="85"/>
      <c r="K4" t="s">
        <v>128</v>
      </c>
    </row>
    <row r="5" spans="1:13" x14ac:dyDescent="0.25">
      <c r="A5" s="2"/>
      <c r="B5" s="3" t="s">
        <v>4</v>
      </c>
      <c r="C5" s="7" t="s">
        <v>84</v>
      </c>
      <c r="D5" s="8"/>
      <c r="E5" s="8"/>
      <c r="F5" s="1"/>
      <c r="H5" s="86"/>
      <c r="J5" s="86"/>
    </row>
    <row r="6" spans="1:13" ht="15" customHeight="1" x14ac:dyDescent="0.25">
      <c r="A6" s="9" t="s">
        <v>7</v>
      </c>
      <c r="B6" s="10" t="s">
        <v>8</v>
      </c>
      <c r="C6" s="11">
        <v>4376.1299999999992</v>
      </c>
      <c r="D6" s="12"/>
      <c r="E6" s="19">
        <f>C6*0.8</f>
        <v>3500.9039999999995</v>
      </c>
      <c r="F6" s="1" t="s">
        <v>95</v>
      </c>
      <c r="G6" s="87">
        <v>1</v>
      </c>
      <c r="H6" s="86">
        <f>G6*L12*L7</f>
        <v>3505.9251800000002</v>
      </c>
      <c r="I6" s="87"/>
      <c r="J6" s="86"/>
      <c r="K6" t="s">
        <v>95</v>
      </c>
      <c r="L6" s="41">
        <v>3.37</v>
      </c>
    </row>
    <row r="7" spans="1:13" ht="15" customHeight="1" x14ac:dyDescent="0.25">
      <c r="A7" s="13" t="s">
        <v>9</v>
      </c>
      <c r="B7" s="14" t="s">
        <v>10</v>
      </c>
      <c r="C7" s="15">
        <v>1596.86</v>
      </c>
      <c r="D7" s="16"/>
      <c r="E7" s="19">
        <f t="shared" ref="E7:E44" si="0">C7*0.8</f>
        <v>1277.4880000000001</v>
      </c>
      <c r="F7" s="17"/>
      <c r="G7" s="87"/>
      <c r="H7" s="86"/>
      <c r="I7" s="87"/>
      <c r="J7" s="86"/>
      <c r="K7" t="s">
        <v>120</v>
      </c>
      <c r="L7" s="41">
        <v>24.46</v>
      </c>
      <c r="M7" t="s">
        <v>129</v>
      </c>
    </row>
    <row r="8" spans="1:13" ht="15" customHeight="1" x14ac:dyDescent="0.25">
      <c r="A8" s="13" t="s">
        <v>11</v>
      </c>
      <c r="B8" s="14" t="s">
        <v>12</v>
      </c>
      <c r="C8" s="15">
        <v>1350</v>
      </c>
      <c r="D8" s="16"/>
      <c r="E8" s="19">
        <f t="shared" si="0"/>
        <v>1080</v>
      </c>
      <c r="F8" s="17"/>
      <c r="G8" s="87"/>
      <c r="H8" s="86"/>
      <c r="I8" s="87"/>
      <c r="J8" s="86"/>
      <c r="K8" t="s">
        <v>121</v>
      </c>
      <c r="M8">
        <v>1030.56</v>
      </c>
    </row>
    <row r="9" spans="1:13" ht="15" customHeight="1" x14ac:dyDescent="0.25">
      <c r="A9" s="13" t="s">
        <v>13</v>
      </c>
      <c r="B9" s="14" t="s">
        <v>14</v>
      </c>
      <c r="C9" s="15">
        <v>1429.27</v>
      </c>
      <c r="D9" s="16"/>
      <c r="E9" s="19">
        <f t="shared" si="0"/>
        <v>1143.4159999999999</v>
      </c>
      <c r="F9" s="17"/>
      <c r="G9" s="87"/>
      <c r="H9" s="86"/>
      <c r="I9" s="87"/>
      <c r="J9" s="86"/>
    </row>
    <row r="10" spans="1:13" ht="15" customHeight="1" x14ac:dyDescent="0.25">
      <c r="A10" s="9" t="s">
        <v>15</v>
      </c>
      <c r="B10" s="10" t="s">
        <v>16</v>
      </c>
      <c r="C10" s="42">
        <v>6573.6097125000006</v>
      </c>
      <c r="D10" s="19"/>
      <c r="E10" s="19">
        <f t="shared" si="0"/>
        <v>5258.8877700000012</v>
      </c>
      <c r="F10" s="1" t="s">
        <v>95</v>
      </c>
      <c r="G10" s="87">
        <v>1.5</v>
      </c>
      <c r="H10" s="86"/>
      <c r="I10" s="87"/>
      <c r="J10" s="86"/>
      <c r="K10" t="s">
        <v>122</v>
      </c>
      <c r="M10">
        <f>L7*M8</f>
        <v>25207.497599999999</v>
      </c>
    </row>
    <row r="11" spans="1:13" ht="15" customHeight="1" x14ac:dyDescent="0.25">
      <c r="A11" s="13" t="s">
        <v>17</v>
      </c>
      <c r="B11" s="14" t="s">
        <v>18</v>
      </c>
      <c r="C11" s="15">
        <v>0</v>
      </c>
      <c r="D11" s="16"/>
      <c r="E11" s="19">
        <f t="shared" si="0"/>
        <v>0</v>
      </c>
      <c r="F11" s="17"/>
      <c r="G11" s="87"/>
      <c r="H11" s="86"/>
      <c r="I11" s="87"/>
      <c r="J11" s="86"/>
    </row>
    <row r="12" spans="1:13" ht="15" customHeight="1" x14ac:dyDescent="0.25">
      <c r="A12" s="13" t="s">
        <v>19</v>
      </c>
      <c r="B12" s="14" t="s">
        <v>20</v>
      </c>
      <c r="C12" s="15">
        <v>0</v>
      </c>
      <c r="D12" s="16"/>
      <c r="E12" s="19">
        <f t="shared" si="0"/>
        <v>0</v>
      </c>
      <c r="F12" s="17"/>
      <c r="G12" s="87"/>
      <c r="H12" s="86"/>
      <c r="I12" s="87"/>
      <c r="J12" s="86"/>
      <c r="K12" t="s">
        <v>123</v>
      </c>
      <c r="L12" s="41">
        <v>143.333</v>
      </c>
    </row>
    <row r="13" spans="1:13" ht="15" customHeight="1" x14ac:dyDescent="0.25">
      <c r="A13" s="13" t="s">
        <v>21</v>
      </c>
      <c r="B13" s="14" t="s">
        <v>22</v>
      </c>
      <c r="C13" s="15">
        <v>6573.61</v>
      </c>
      <c r="D13" s="16"/>
      <c r="E13" s="19">
        <f t="shared" si="0"/>
        <v>5258.8879999999999</v>
      </c>
      <c r="F13" s="17"/>
      <c r="G13" s="87"/>
      <c r="H13" s="86"/>
      <c r="I13" s="87"/>
      <c r="J13" s="86"/>
    </row>
    <row r="14" spans="1:13" ht="15" customHeight="1" x14ac:dyDescent="0.25">
      <c r="A14" s="13" t="s">
        <v>23</v>
      </c>
      <c r="B14" s="14" t="s">
        <v>24</v>
      </c>
      <c r="C14" s="15">
        <v>0</v>
      </c>
      <c r="D14" s="16"/>
      <c r="E14" s="19">
        <f t="shared" si="0"/>
        <v>0</v>
      </c>
      <c r="F14" s="17"/>
      <c r="G14" s="87"/>
      <c r="H14" s="86"/>
      <c r="I14" s="87"/>
      <c r="J14" s="86"/>
    </row>
    <row r="15" spans="1:13" ht="15" customHeight="1" x14ac:dyDescent="0.25">
      <c r="A15" s="9" t="s">
        <v>25</v>
      </c>
      <c r="B15" s="10" t="s">
        <v>26</v>
      </c>
      <c r="C15" s="42">
        <v>19720.829137500001</v>
      </c>
      <c r="D15" s="19"/>
      <c r="E15" s="19">
        <f t="shared" si="0"/>
        <v>15776.663310000002</v>
      </c>
      <c r="F15" s="1" t="s">
        <v>95</v>
      </c>
      <c r="G15" s="87">
        <v>4.5</v>
      </c>
      <c r="H15" s="86"/>
      <c r="I15" s="87"/>
      <c r="J15" s="86"/>
    </row>
    <row r="16" spans="1:13" ht="15" customHeight="1" x14ac:dyDescent="0.25">
      <c r="A16" s="13" t="s">
        <v>27</v>
      </c>
      <c r="B16" s="14" t="s">
        <v>28</v>
      </c>
      <c r="C16" s="15">
        <v>19720.830000000002</v>
      </c>
      <c r="D16" s="16"/>
      <c r="E16" s="19">
        <f t="shared" si="0"/>
        <v>15776.664000000002</v>
      </c>
      <c r="F16" s="17"/>
      <c r="G16" s="87"/>
      <c r="H16" s="86"/>
      <c r="I16" s="87"/>
      <c r="J16" s="86"/>
    </row>
    <row r="17" spans="1:18" ht="15" customHeight="1" x14ac:dyDescent="0.25">
      <c r="A17" s="13" t="s">
        <v>29</v>
      </c>
      <c r="B17" s="14" t="s">
        <v>30</v>
      </c>
      <c r="C17" s="15">
        <v>0</v>
      </c>
      <c r="D17" s="16"/>
      <c r="E17" s="19">
        <f t="shared" si="0"/>
        <v>0</v>
      </c>
      <c r="F17" s="17"/>
      <c r="G17" s="87"/>
      <c r="H17" s="86"/>
      <c r="I17" s="87"/>
      <c r="J17" s="86"/>
    </row>
    <row r="18" spans="1:18" ht="15" customHeight="1" x14ac:dyDescent="0.25">
      <c r="A18" s="13" t="s">
        <v>31</v>
      </c>
      <c r="B18" s="14" t="s">
        <v>32</v>
      </c>
      <c r="C18" s="15">
        <v>0</v>
      </c>
      <c r="D18" s="16"/>
      <c r="E18" s="19">
        <f t="shared" si="0"/>
        <v>0</v>
      </c>
      <c r="F18" s="17"/>
      <c r="G18" s="87"/>
      <c r="H18" s="86"/>
      <c r="I18" s="87"/>
      <c r="J18" s="86"/>
    </row>
    <row r="19" spans="1:18" ht="15" customHeight="1" x14ac:dyDescent="0.25">
      <c r="A19" s="13" t="s">
        <v>33</v>
      </c>
      <c r="B19" s="14" t="s">
        <v>34</v>
      </c>
      <c r="C19" s="15">
        <v>0</v>
      </c>
      <c r="D19" s="16"/>
      <c r="E19" s="19">
        <f t="shared" si="0"/>
        <v>0</v>
      </c>
      <c r="F19" s="17"/>
      <c r="G19" s="87"/>
      <c r="H19" s="86"/>
      <c r="I19" s="87"/>
      <c r="J19" s="86"/>
    </row>
    <row r="20" spans="1:18" ht="15" customHeight="1" x14ac:dyDescent="0.25">
      <c r="A20" s="13" t="s">
        <v>35</v>
      </c>
      <c r="B20" s="14" t="s">
        <v>36</v>
      </c>
      <c r="C20" s="15">
        <v>0</v>
      </c>
      <c r="D20" s="16"/>
      <c r="E20" s="19">
        <f t="shared" si="0"/>
        <v>0</v>
      </c>
      <c r="F20" s="17"/>
      <c r="G20" s="87"/>
      <c r="H20" s="86"/>
      <c r="I20" s="87"/>
      <c r="J20" s="86"/>
    </row>
    <row r="21" spans="1:18" ht="15" customHeight="1" x14ac:dyDescent="0.25">
      <c r="A21" s="13" t="s">
        <v>37</v>
      </c>
      <c r="B21" s="14" t="s">
        <v>38</v>
      </c>
      <c r="C21" s="15">
        <v>0</v>
      </c>
      <c r="D21" s="16"/>
      <c r="E21" s="19">
        <f t="shared" si="0"/>
        <v>0</v>
      </c>
      <c r="F21" s="17"/>
      <c r="G21" s="87"/>
      <c r="H21" s="86"/>
      <c r="I21" s="87"/>
      <c r="J21" s="86"/>
      <c r="P21" t="s">
        <v>125</v>
      </c>
    </row>
    <row r="22" spans="1:18" ht="15" customHeight="1" x14ac:dyDescent="0.25">
      <c r="A22" s="9" t="s">
        <v>39</v>
      </c>
      <c r="B22" s="10" t="s">
        <v>40</v>
      </c>
      <c r="C22" s="42">
        <v>0</v>
      </c>
      <c r="D22" s="20"/>
      <c r="E22" s="19">
        <f t="shared" si="0"/>
        <v>0</v>
      </c>
      <c r="F22" s="1" t="s">
        <v>95</v>
      </c>
      <c r="G22" s="87">
        <v>0</v>
      </c>
      <c r="H22" s="86"/>
      <c r="I22" s="87"/>
      <c r="J22" s="86"/>
      <c r="P22" t="s">
        <v>8</v>
      </c>
      <c r="Q22" s="82">
        <f>SUM(C6)</f>
        <v>4376.1299999999992</v>
      </c>
      <c r="R22" s="82">
        <f>SUM(D6)</f>
        <v>0</v>
      </c>
    </row>
    <row r="23" spans="1:18" ht="15" customHeight="1" x14ac:dyDescent="0.25">
      <c r="A23" s="21" t="s">
        <v>41</v>
      </c>
      <c r="B23" s="14" t="s">
        <v>42</v>
      </c>
      <c r="C23" s="15">
        <v>0</v>
      </c>
      <c r="D23" s="16"/>
      <c r="E23" s="19">
        <f t="shared" si="0"/>
        <v>0</v>
      </c>
      <c r="F23" s="17"/>
      <c r="G23" s="87"/>
      <c r="H23" s="86"/>
      <c r="I23" s="87"/>
      <c r="J23" s="86"/>
      <c r="P23" t="s">
        <v>16</v>
      </c>
      <c r="Q23" s="82">
        <f>SUM(C10)</f>
        <v>6573.6097125000006</v>
      </c>
      <c r="R23" s="82">
        <f>SUM(D10)</f>
        <v>0</v>
      </c>
    </row>
    <row r="24" spans="1:18" ht="15" customHeight="1" x14ac:dyDescent="0.25">
      <c r="A24" s="21" t="s">
        <v>43</v>
      </c>
      <c r="B24" s="14" t="s">
        <v>44</v>
      </c>
      <c r="C24" s="15">
        <v>0</v>
      </c>
      <c r="D24" s="16"/>
      <c r="E24" s="19">
        <f t="shared" si="0"/>
        <v>0</v>
      </c>
      <c r="F24" s="17"/>
      <c r="G24" s="87"/>
      <c r="H24" s="86"/>
      <c r="I24" s="87"/>
      <c r="J24" s="86"/>
      <c r="P24" t="s">
        <v>26</v>
      </c>
      <c r="Q24" s="82">
        <f>SUM(C15)</f>
        <v>19720.829137500001</v>
      </c>
      <c r="R24" s="82">
        <f>SUM(D15)</f>
        <v>0</v>
      </c>
    </row>
    <row r="25" spans="1:18" ht="15" customHeight="1" x14ac:dyDescent="0.25">
      <c r="A25" s="43" t="s">
        <v>45</v>
      </c>
      <c r="B25" s="44" t="s">
        <v>46</v>
      </c>
      <c r="C25" s="15">
        <v>0</v>
      </c>
      <c r="D25" s="16"/>
      <c r="E25" s="19">
        <f t="shared" si="0"/>
        <v>0</v>
      </c>
      <c r="F25" s="17"/>
      <c r="G25" s="87"/>
      <c r="H25" s="86"/>
      <c r="I25" s="87"/>
      <c r="J25" s="86"/>
      <c r="P25" t="s">
        <v>40</v>
      </c>
      <c r="Q25" s="82">
        <f>SUM(C22)</f>
        <v>0</v>
      </c>
      <c r="R25" s="82">
        <f>SUM(D22)</f>
        <v>0</v>
      </c>
    </row>
    <row r="26" spans="1:18" ht="15" customHeight="1" x14ac:dyDescent="0.25">
      <c r="A26" s="21" t="s">
        <v>47</v>
      </c>
      <c r="B26" s="14" t="s">
        <v>48</v>
      </c>
      <c r="C26" s="15">
        <v>0</v>
      </c>
      <c r="D26" s="16"/>
      <c r="E26" s="19">
        <f t="shared" si="0"/>
        <v>0</v>
      </c>
      <c r="F26" s="17"/>
      <c r="G26" s="87"/>
      <c r="H26" s="86"/>
      <c r="I26" s="87"/>
      <c r="J26" s="86"/>
      <c r="P26" t="s">
        <v>60</v>
      </c>
      <c r="Q26" s="82">
        <f>SUM(C32)</f>
        <v>438.24064750000002</v>
      </c>
      <c r="R26" s="82">
        <f>SUM(D32)</f>
        <v>0</v>
      </c>
    </row>
    <row r="27" spans="1:18" ht="15" customHeight="1" x14ac:dyDescent="0.25">
      <c r="A27" s="21" t="s">
        <v>49</v>
      </c>
      <c r="B27" s="14" t="s">
        <v>50</v>
      </c>
      <c r="C27" s="15">
        <v>0</v>
      </c>
      <c r="D27" s="16"/>
      <c r="E27" s="19">
        <f t="shared" si="0"/>
        <v>0</v>
      </c>
      <c r="F27" s="17"/>
      <c r="G27" s="87"/>
      <c r="H27" s="86"/>
      <c r="I27" s="87"/>
      <c r="J27" s="86"/>
      <c r="P27" t="s">
        <v>68</v>
      </c>
      <c r="Q27" s="82">
        <f>SUM(C36)</f>
        <v>394.41658275000003</v>
      </c>
      <c r="R27" s="82">
        <f>SUM(D36)</f>
        <v>0</v>
      </c>
    </row>
    <row r="28" spans="1:18" ht="15" customHeight="1" x14ac:dyDescent="0.25">
      <c r="A28" s="21" t="s">
        <v>51</v>
      </c>
      <c r="B28" s="14" t="s">
        <v>52</v>
      </c>
      <c r="C28" s="15">
        <v>0</v>
      </c>
      <c r="D28" s="16"/>
      <c r="E28" s="19">
        <f t="shared" si="0"/>
        <v>0</v>
      </c>
      <c r="F28" s="17"/>
      <c r="G28" s="87"/>
      <c r="H28" s="86"/>
      <c r="I28" s="87"/>
      <c r="J28" s="86"/>
      <c r="P28" t="s">
        <v>76</v>
      </c>
      <c r="Q28" s="82">
        <f>SUM(C40)</f>
        <v>0</v>
      </c>
      <c r="R28" s="82">
        <f>SUM(D40)</f>
        <v>0</v>
      </c>
    </row>
    <row r="29" spans="1:18" ht="15" customHeight="1" x14ac:dyDescent="0.25">
      <c r="A29" s="21" t="s">
        <v>53</v>
      </c>
      <c r="B29" s="14" t="s">
        <v>54</v>
      </c>
      <c r="C29" s="15">
        <v>0</v>
      </c>
      <c r="D29" s="16"/>
      <c r="E29" s="19">
        <f t="shared" si="0"/>
        <v>0</v>
      </c>
      <c r="F29" s="17"/>
      <c r="G29" s="87"/>
      <c r="H29" s="86"/>
      <c r="I29" s="87"/>
      <c r="J29" s="86"/>
    </row>
    <row r="30" spans="1:18" ht="15" customHeight="1" x14ac:dyDescent="0.25">
      <c r="A30" s="13" t="s">
        <v>55</v>
      </c>
      <c r="B30" s="14" t="s">
        <v>56</v>
      </c>
      <c r="C30" s="15">
        <v>0</v>
      </c>
      <c r="D30" s="16"/>
      <c r="E30" s="19">
        <f t="shared" si="0"/>
        <v>0</v>
      </c>
      <c r="F30" s="17"/>
      <c r="G30" s="87"/>
      <c r="H30" s="86"/>
      <c r="I30" s="87"/>
      <c r="J30" s="86"/>
    </row>
    <row r="31" spans="1:18" ht="15" customHeight="1" x14ac:dyDescent="0.25">
      <c r="A31" s="13" t="s">
        <v>57</v>
      </c>
      <c r="B31" s="14" t="s">
        <v>58</v>
      </c>
      <c r="C31" s="15">
        <v>0</v>
      </c>
      <c r="D31" s="16"/>
      <c r="E31" s="19">
        <f t="shared" si="0"/>
        <v>0</v>
      </c>
      <c r="F31" s="17"/>
      <c r="G31" s="87"/>
      <c r="H31" s="86"/>
      <c r="I31" s="87"/>
      <c r="J31" s="86"/>
    </row>
    <row r="32" spans="1:18" ht="15" customHeight="1" x14ac:dyDescent="0.25">
      <c r="A32" s="9" t="s">
        <v>59</v>
      </c>
      <c r="B32" s="10" t="s">
        <v>60</v>
      </c>
      <c r="C32" s="42">
        <v>438.24064750000002</v>
      </c>
      <c r="D32" s="20"/>
      <c r="E32" s="19">
        <f t="shared" si="0"/>
        <v>350.59251800000004</v>
      </c>
      <c r="F32" s="1" t="s">
        <v>95</v>
      </c>
      <c r="G32" s="87">
        <v>0.1</v>
      </c>
      <c r="H32" s="86"/>
      <c r="I32" s="87"/>
      <c r="J32" s="86"/>
    </row>
    <row r="33" spans="1:10" ht="15" customHeight="1" x14ac:dyDescent="0.25">
      <c r="A33" s="13" t="s">
        <v>61</v>
      </c>
      <c r="B33" s="14" t="s">
        <v>62</v>
      </c>
      <c r="C33" s="15">
        <v>438.24</v>
      </c>
      <c r="D33" s="16"/>
      <c r="E33" s="19">
        <f t="shared" si="0"/>
        <v>350.59200000000004</v>
      </c>
      <c r="F33" s="17"/>
      <c r="G33" s="87"/>
      <c r="H33" s="86"/>
      <c r="I33" s="87"/>
      <c r="J33" s="86"/>
    </row>
    <row r="34" spans="1:10" ht="15" customHeight="1" x14ac:dyDescent="0.25">
      <c r="A34" s="13" t="s">
        <v>63</v>
      </c>
      <c r="B34" s="14" t="s">
        <v>64</v>
      </c>
      <c r="C34" s="15">
        <v>0</v>
      </c>
      <c r="D34" s="16"/>
      <c r="E34" s="19">
        <f t="shared" si="0"/>
        <v>0</v>
      </c>
      <c r="F34" s="17"/>
      <c r="G34" s="87"/>
      <c r="H34" s="86"/>
      <c r="I34" s="87"/>
      <c r="J34" s="86"/>
    </row>
    <row r="35" spans="1:10" ht="15" customHeight="1" x14ac:dyDescent="0.25">
      <c r="A35" s="13" t="s">
        <v>65</v>
      </c>
      <c r="B35" s="14" t="s">
        <v>66</v>
      </c>
      <c r="C35" s="15">
        <v>0</v>
      </c>
      <c r="D35" s="16"/>
      <c r="E35" s="19">
        <f t="shared" si="0"/>
        <v>0</v>
      </c>
      <c r="F35" s="17"/>
      <c r="G35" s="87"/>
      <c r="H35" s="86"/>
      <c r="I35" s="87"/>
      <c r="J35" s="86"/>
    </row>
    <row r="36" spans="1:10" ht="15" customHeight="1" x14ac:dyDescent="0.25">
      <c r="A36" s="9" t="s">
        <v>67</v>
      </c>
      <c r="B36" s="10" t="s">
        <v>68</v>
      </c>
      <c r="C36" s="42">
        <v>394.41658275000003</v>
      </c>
      <c r="D36" s="20"/>
      <c r="E36" s="19">
        <f t="shared" si="0"/>
        <v>315.53326620000007</v>
      </c>
      <c r="F36" s="1" t="s">
        <v>95</v>
      </c>
      <c r="G36" s="87">
        <v>0.09</v>
      </c>
      <c r="H36" s="86"/>
      <c r="I36" s="87"/>
      <c r="J36" s="86"/>
    </row>
    <row r="37" spans="1:10" ht="15" customHeight="1" x14ac:dyDescent="0.25">
      <c r="A37" s="13" t="s">
        <v>69</v>
      </c>
      <c r="B37" s="14" t="s">
        <v>70</v>
      </c>
      <c r="C37" s="15">
        <v>398.1</v>
      </c>
      <c r="D37" s="16"/>
      <c r="E37" s="19">
        <f t="shared" si="0"/>
        <v>318.48</v>
      </c>
      <c r="F37" s="17"/>
      <c r="G37" s="87"/>
      <c r="H37" s="86"/>
      <c r="I37" s="87"/>
      <c r="J37" s="86"/>
    </row>
    <row r="38" spans="1:10" ht="15" customHeight="1" x14ac:dyDescent="0.25">
      <c r="A38" s="13" t="s">
        <v>71</v>
      </c>
      <c r="B38" s="14" t="s">
        <v>72</v>
      </c>
      <c r="C38" s="15">
        <v>0</v>
      </c>
      <c r="D38" s="16"/>
      <c r="E38" s="19">
        <f t="shared" si="0"/>
        <v>0</v>
      </c>
      <c r="F38" s="17"/>
      <c r="G38" s="87"/>
      <c r="H38" s="86"/>
      <c r="I38" s="87"/>
      <c r="J38" s="86"/>
    </row>
    <row r="39" spans="1:10" ht="15" customHeight="1" x14ac:dyDescent="0.25">
      <c r="A39" s="13" t="s">
        <v>73</v>
      </c>
      <c r="B39" s="14" t="s">
        <v>74</v>
      </c>
      <c r="C39" s="15">
        <v>0</v>
      </c>
      <c r="D39" s="16"/>
      <c r="E39" s="19">
        <f t="shared" si="0"/>
        <v>0</v>
      </c>
      <c r="F39" s="17"/>
      <c r="G39" s="87"/>
      <c r="H39" s="86"/>
      <c r="I39" s="87"/>
      <c r="J39" s="86"/>
    </row>
    <row r="40" spans="1:10" ht="15" customHeight="1" x14ac:dyDescent="0.25">
      <c r="A40" s="9" t="s">
        <v>75</v>
      </c>
      <c r="B40" s="10" t="s">
        <v>76</v>
      </c>
      <c r="C40" s="42">
        <v>0</v>
      </c>
      <c r="D40" s="20"/>
      <c r="E40" s="19">
        <f t="shared" si="0"/>
        <v>0</v>
      </c>
      <c r="F40" s="1" t="s">
        <v>95</v>
      </c>
      <c r="G40" s="87">
        <v>0</v>
      </c>
      <c r="H40" s="86"/>
      <c r="I40" s="87"/>
      <c r="J40" s="86"/>
    </row>
    <row r="41" spans="1:10" ht="15" customHeight="1" x14ac:dyDescent="0.25">
      <c r="A41" s="13" t="s">
        <v>77</v>
      </c>
      <c r="B41" s="14" t="s">
        <v>78</v>
      </c>
      <c r="C41" s="15">
        <v>0</v>
      </c>
      <c r="D41" s="16"/>
      <c r="E41" s="19">
        <f t="shared" si="0"/>
        <v>0</v>
      </c>
      <c r="F41" s="17"/>
      <c r="G41" s="87"/>
      <c r="H41" s="86"/>
      <c r="I41" s="87"/>
      <c r="J41" s="86"/>
    </row>
    <row r="42" spans="1:10" ht="15" customHeight="1" x14ac:dyDescent="0.25">
      <c r="A42" s="13" t="s">
        <v>79</v>
      </c>
      <c r="B42" s="14" t="s">
        <v>80</v>
      </c>
      <c r="C42" s="15">
        <v>0</v>
      </c>
      <c r="D42" s="16"/>
      <c r="E42" s="19">
        <f t="shared" si="0"/>
        <v>0</v>
      </c>
      <c r="F42" s="17"/>
      <c r="G42" s="88"/>
      <c r="H42" s="86"/>
      <c r="I42" s="88"/>
      <c r="J42" s="86"/>
    </row>
    <row r="43" spans="1:10" ht="15" customHeight="1" thickBot="1" x14ac:dyDescent="0.3">
      <c r="A43" s="36" t="s">
        <v>81</v>
      </c>
      <c r="B43" s="37" t="s">
        <v>82</v>
      </c>
      <c r="C43" s="15">
        <v>0</v>
      </c>
      <c r="D43" s="16"/>
      <c r="E43" s="19">
        <f t="shared" si="0"/>
        <v>0</v>
      </c>
      <c r="F43" s="17"/>
      <c r="G43" s="88"/>
      <c r="H43" s="86"/>
      <c r="I43" s="88"/>
      <c r="J43" s="86"/>
    </row>
    <row r="44" spans="1:10" ht="15.75" thickBot="1" x14ac:dyDescent="0.3">
      <c r="A44" s="39" t="s">
        <v>83</v>
      </c>
      <c r="B44" s="38" t="s">
        <v>84</v>
      </c>
      <c r="C44" s="42">
        <v>31503.226080249999</v>
      </c>
      <c r="D44" s="23"/>
      <c r="E44" s="19">
        <f t="shared" si="0"/>
        <v>25202.580864200001</v>
      </c>
      <c r="F44" s="4" t="s">
        <v>95</v>
      </c>
      <c r="G44" s="88">
        <f>SUM(G6:G43)</f>
        <v>7.1899999999999995</v>
      </c>
      <c r="H44" s="86"/>
      <c r="I44" s="88"/>
      <c r="J44" s="86"/>
    </row>
    <row r="49" spans="1:9" x14ac:dyDescent="0.25">
      <c r="A49" s="561"/>
      <c r="B49" s="562"/>
      <c r="C49" s="563"/>
      <c r="D49" s="564"/>
      <c r="E49" s="564"/>
      <c r="F49" s="564"/>
      <c r="G49" s="564"/>
      <c r="H49" s="564"/>
      <c r="I49" s="564"/>
    </row>
    <row r="50" spans="1:9" x14ac:dyDescent="0.25">
      <c r="A50" s="561" t="s">
        <v>84</v>
      </c>
      <c r="B50" s="562"/>
      <c r="C50" s="563"/>
      <c r="D50" s="564"/>
      <c r="E50" s="564"/>
      <c r="F50" s="564"/>
      <c r="G50" s="564"/>
      <c r="H50" s="593" t="s">
        <v>194</v>
      </c>
      <c r="I50" s="603" t="s">
        <v>194</v>
      </c>
    </row>
    <row r="51" spans="1:9" x14ac:dyDescent="0.25">
      <c r="A51" s="561"/>
      <c r="B51" s="562"/>
      <c r="C51" s="566"/>
      <c r="D51" s="564"/>
      <c r="E51" s="564"/>
      <c r="F51" s="564"/>
      <c r="G51" s="564"/>
      <c r="H51" s="596" t="s">
        <v>195</v>
      </c>
      <c r="I51" s="572" t="s">
        <v>196</v>
      </c>
    </row>
    <row r="52" spans="1:9" x14ac:dyDescent="0.25">
      <c r="A52" s="565"/>
      <c r="B52" s="567"/>
      <c r="C52" s="597" t="s">
        <v>197</v>
      </c>
      <c r="D52" s="598" t="s">
        <v>197</v>
      </c>
      <c r="E52" s="569"/>
      <c r="F52" s="569"/>
      <c r="G52" s="569"/>
      <c r="H52" s="594" t="s">
        <v>198</v>
      </c>
      <c r="I52" s="570" t="s">
        <v>198</v>
      </c>
    </row>
    <row r="53" spans="1:9" x14ac:dyDescent="0.25">
      <c r="A53" s="565"/>
      <c r="B53" s="567"/>
      <c r="C53" s="597" t="s">
        <v>199</v>
      </c>
      <c r="D53" s="598" t="s">
        <v>199</v>
      </c>
      <c r="E53" s="590" t="s">
        <v>194</v>
      </c>
      <c r="F53" s="590" t="s">
        <v>194</v>
      </c>
      <c r="G53" s="590" t="s">
        <v>194</v>
      </c>
      <c r="H53" s="595">
        <v>3498.6</v>
      </c>
      <c r="I53" s="571">
        <v>3498.5</v>
      </c>
    </row>
    <row r="54" spans="1:9" x14ac:dyDescent="0.25">
      <c r="A54" s="565"/>
      <c r="B54" s="567"/>
      <c r="C54" s="597" t="s">
        <v>200</v>
      </c>
      <c r="D54" s="598" t="s">
        <v>200</v>
      </c>
      <c r="E54" s="591" t="s">
        <v>201</v>
      </c>
      <c r="F54" s="591" t="s">
        <v>201</v>
      </c>
      <c r="G54" s="591"/>
      <c r="H54" s="596" t="s">
        <v>201</v>
      </c>
      <c r="I54" s="572" t="s">
        <v>201</v>
      </c>
    </row>
    <row r="55" spans="1:9" x14ac:dyDescent="0.25">
      <c r="A55" s="565"/>
      <c r="B55" s="568" t="s">
        <v>3</v>
      </c>
      <c r="C55" s="597" t="s">
        <v>84</v>
      </c>
      <c r="D55" s="598" t="s">
        <v>84</v>
      </c>
      <c r="E55" s="591" t="s">
        <v>83</v>
      </c>
      <c r="F55" s="591" t="s">
        <v>83</v>
      </c>
      <c r="G55" s="592" t="s">
        <v>202</v>
      </c>
      <c r="H55" s="596" t="s">
        <v>203</v>
      </c>
      <c r="I55" s="572" t="s">
        <v>204</v>
      </c>
    </row>
    <row r="56" spans="1:9" x14ac:dyDescent="0.25">
      <c r="A56" s="565"/>
      <c r="B56" s="568" t="s">
        <v>4</v>
      </c>
      <c r="C56" s="597" t="s">
        <v>95</v>
      </c>
      <c r="D56" s="598" t="s">
        <v>205</v>
      </c>
      <c r="E56" s="591" t="s">
        <v>206</v>
      </c>
      <c r="F56" s="591" t="s">
        <v>207</v>
      </c>
      <c r="G56" s="591"/>
      <c r="H56" s="596" t="s">
        <v>208</v>
      </c>
      <c r="I56" s="572" t="s">
        <v>208</v>
      </c>
    </row>
    <row r="57" spans="1:9" ht="22.5" x14ac:dyDescent="0.25">
      <c r="A57" s="573" t="s">
        <v>7</v>
      </c>
      <c r="B57" s="574" t="s">
        <v>8</v>
      </c>
      <c r="C57" s="607">
        <f t="shared" ref="C57" si="1">SUM(C58:C60)</f>
        <v>3.25</v>
      </c>
      <c r="D57" s="575">
        <f t="shared" ref="D57" si="2">SUM(D58:D60)</f>
        <v>465.83333333333337</v>
      </c>
      <c r="E57" s="577">
        <f>SUM(E58:E60)</f>
        <v>2.25</v>
      </c>
      <c r="F57" s="576">
        <f>E57*(1720/12)</f>
        <v>322.5</v>
      </c>
      <c r="G57" s="578" t="s">
        <v>422</v>
      </c>
      <c r="H57" s="579">
        <f>SUM(H58:H60)</f>
        <v>7871.85</v>
      </c>
      <c r="I57" s="579">
        <f>SUM(I58:I60)</f>
        <v>9839.8125</v>
      </c>
    </row>
    <row r="58" spans="1:9" ht="22.5" x14ac:dyDescent="0.25">
      <c r="A58" s="580" t="s">
        <v>9</v>
      </c>
      <c r="B58" s="581" t="s">
        <v>10</v>
      </c>
      <c r="C58" s="563">
        <v>0.25</v>
      </c>
      <c r="D58" s="582">
        <f>C58*1720/12</f>
        <v>35.833333333333336</v>
      </c>
      <c r="E58" s="599">
        <v>0.25</v>
      </c>
      <c r="F58" s="600">
        <f>E58*(1720/12)</f>
        <v>35.833333333333336</v>
      </c>
      <c r="G58" s="601" t="s">
        <v>210</v>
      </c>
      <c r="H58" s="602">
        <f>E58*H53</f>
        <v>874.65</v>
      </c>
      <c r="I58" s="583">
        <f>H58*1.25</f>
        <v>1093.3125</v>
      </c>
    </row>
    <row r="59" spans="1:9" x14ac:dyDescent="0.25">
      <c r="A59" s="580" t="s">
        <v>11</v>
      </c>
      <c r="B59" s="581" t="s">
        <v>12</v>
      </c>
      <c r="C59" s="563">
        <v>1</v>
      </c>
      <c r="D59" s="582">
        <f t="shared" ref="D59:D60" si="3">C59*1720/12</f>
        <v>143.33333333333334</v>
      </c>
      <c r="E59" s="599">
        <v>1</v>
      </c>
      <c r="F59" s="600">
        <f t="shared" ref="F59:F60" si="4">E59*(1720/12)</f>
        <v>143.33333333333334</v>
      </c>
      <c r="G59" s="601" t="s">
        <v>210</v>
      </c>
      <c r="H59" s="602">
        <f>E59*H53</f>
        <v>3498.6</v>
      </c>
      <c r="I59" s="583">
        <f t="shared" ref="I59:I60" si="5">H59*1.25</f>
        <v>4373.25</v>
      </c>
    </row>
    <row r="60" spans="1:9" x14ac:dyDescent="0.25">
      <c r="A60" s="580" t="s">
        <v>13</v>
      </c>
      <c r="B60" s="581" t="s">
        <v>14</v>
      </c>
      <c r="C60" s="563">
        <v>2</v>
      </c>
      <c r="D60" s="582">
        <f t="shared" si="3"/>
        <v>286.66666666666669</v>
      </c>
      <c r="E60" s="599">
        <v>1</v>
      </c>
      <c r="F60" s="600">
        <f t="shared" si="4"/>
        <v>143.33333333333334</v>
      </c>
      <c r="G60" s="601" t="s">
        <v>423</v>
      </c>
      <c r="H60" s="602">
        <f>E60*H53</f>
        <v>3498.6</v>
      </c>
      <c r="I60" s="583">
        <f t="shared" si="5"/>
        <v>4373.25</v>
      </c>
    </row>
    <row r="61" spans="1:9" ht="22.5" x14ac:dyDescent="0.25">
      <c r="A61" s="573" t="s">
        <v>15</v>
      </c>
      <c r="B61" s="574" t="s">
        <v>16</v>
      </c>
      <c r="C61" s="607">
        <f t="shared" ref="C61" si="6">SUM(C62:C65)</f>
        <v>2</v>
      </c>
      <c r="D61" s="584">
        <f t="shared" ref="D61" si="7">SUM(D62:D65)</f>
        <v>286.66666666666669</v>
      </c>
      <c r="E61" s="577">
        <f>SUM( E62:E65)</f>
        <v>1.5</v>
      </c>
      <c r="F61" s="576">
        <f>E61*(1720/12)</f>
        <v>215</v>
      </c>
      <c r="G61" s="578" t="s">
        <v>424</v>
      </c>
      <c r="H61" s="579">
        <f>SUM(H62:H65)</f>
        <v>5249.75</v>
      </c>
      <c r="I61" s="579">
        <f>SUM(I62:I65)</f>
        <v>6562.1875</v>
      </c>
    </row>
    <row r="62" spans="1:9" ht="22.5" x14ac:dyDescent="0.25">
      <c r="A62" s="580" t="s">
        <v>17</v>
      </c>
      <c r="B62" s="581" t="s">
        <v>18</v>
      </c>
      <c r="C62" s="563">
        <v>0.75</v>
      </c>
      <c r="D62" s="582">
        <f t="shared" ref="D62:D65" si="8">C62*1720/12</f>
        <v>107.5</v>
      </c>
      <c r="E62" s="599">
        <v>0.5</v>
      </c>
      <c r="F62" s="600">
        <f t="shared" ref="F62:F65" si="9">E62*(1720/12)</f>
        <v>71.666666666666671</v>
      </c>
      <c r="G62" s="601" t="s">
        <v>425</v>
      </c>
      <c r="H62" s="602">
        <f>E62*H53</f>
        <v>1749.3</v>
      </c>
      <c r="I62" s="583">
        <f t="shared" ref="I62:I65" si="10">H62*1.25</f>
        <v>2186.625</v>
      </c>
    </row>
    <row r="63" spans="1:9" x14ac:dyDescent="0.25">
      <c r="A63" s="580" t="s">
        <v>19</v>
      </c>
      <c r="B63" s="581" t="s">
        <v>20</v>
      </c>
      <c r="C63" s="563">
        <v>0</v>
      </c>
      <c r="D63" s="582">
        <f t="shared" si="8"/>
        <v>0</v>
      </c>
      <c r="E63" s="599">
        <v>0</v>
      </c>
      <c r="F63" s="600">
        <f t="shared" si="9"/>
        <v>0</v>
      </c>
      <c r="G63" s="601" t="s">
        <v>220</v>
      </c>
      <c r="H63" s="602">
        <f>E63*H53</f>
        <v>0</v>
      </c>
      <c r="I63" s="583">
        <f t="shared" si="10"/>
        <v>0</v>
      </c>
    </row>
    <row r="64" spans="1:9" x14ac:dyDescent="0.25">
      <c r="A64" s="580" t="s">
        <v>21</v>
      </c>
      <c r="B64" s="581" t="s">
        <v>22</v>
      </c>
      <c r="C64" s="563">
        <v>1</v>
      </c>
      <c r="D64" s="582">
        <f t="shared" si="8"/>
        <v>143.33333333333334</v>
      </c>
      <c r="E64" s="599">
        <v>0.75</v>
      </c>
      <c r="F64" s="600">
        <f t="shared" si="9"/>
        <v>107.5</v>
      </c>
      <c r="G64" s="601" t="s">
        <v>425</v>
      </c>
      <c r="H64" s="602">
        <f>E64*H53</f>
        <v>2623.95</v>
      </c>
      <c r="I64" s="583">
        <f t="shared" si="10"/>
        <v>3279.9375</v>
      </c>
    </row>
    <row r="65" spans="1:9" x14ac:dyDescent="0.25">
      <c r="A65" s="580" t="s">
        <v>23</v>
      </c>
      <c r="B65" s="581" t="s">
        <v>24</v>
      </c>
      <c r="C65" s="563">
        <v>0.25</v>
      </c>
      <c r="D65" s="582">
        <f t="shared" si="8"/>
        <v>35.833333333333336</v>
      </c>
      <c r="E65" s="599">
        <v>0.25</v>
      </c>
      <c r="F65" s="600">
        <f t="shared" si="9"/>
        <v>35.833333333333336</v>
      </c>
      <c r="G65" s="601" t="s">
        <v>220</v>
      </c>
      <c r="H65" s="602">
        <f>E65*3506</f>
        <v>876.5</v>
      </c>
      <c r="I65" s="583">
        <f t="shared" si="10"/>
        <v>1095.625</v>
      </c>
    </row>
    <row r="66" spans="1:9" x14ac:dyDescent="0.25">
      <c r="A66" s="573" t="s">
        <v>25</v>
      </c>
      <c r="B66" s="574" t="s">
        <v>26</v>
      </c>
      <c r="C66" s="607">
        <f t="shared" ref="C66" si="11">SUM(C67:C72)</f>
        <v>6</v>
      </c>
      <c r="D66" s="584">
        <f t="shared" ref="D66" si="12">SUM(D67:D72)</f>
        <v>860</v>
      </c>
      <c r="E66" s="577">
        <f>SUM(E67:E72)</f>
        <v>5.5</v>
      </c>
      <c r="F66" s="576">
        <f>E66*(1720/12)</f>
        <v>788.33333333333337</v>
      </c>
      <c r="G66" s="578" t="s">
        <v>426</v>
      </c>
      <c r="H66" s="579">
        <f>SUM(H67:H72)</f>
        <v>19264.5</v>
      </c>
      <c r="I66" s="579">
        <f>SUM(I67:I72)</f>
        <v>24080.625</v>
      </c>
    </row>
    <row r="67" spans="1:9" x14ac:dyDescent="0.25">
      <c r="A67" s="580" t="s">
        <v>27</v>
      </c>
      <c r="B67" s="581" t="s">
        <v>28</v>
      </c>
      <c r="C67" s="563">
        <v>3</v>
      </c>
      <c r="D67" s="582">
        <f t="shared" ref="D67:D72" si="13">C67*1720/12</f>
        <v>430</v>
      </c>
      <c r="E67" s="599">
        <v>3</v>
      </c>
      <c r="F67" s="600">
        <f t="shared" ref="F67:F72" si="14">E67*(1720/12)</f>
        <v>430</v>
      </c>
      <c r="G67" s="601" t="s">
        <v>210</v>
      </c>
      <c r="H67" s="602">
        <f>E67*3506</f>
        <v>10518</v>
      </c>
      <c r="I67" s="583">
        <f t="shared" ref="I67:I72" si="15">H67*1.25</f>
        <v>13147.5</v>
      </c>
    </row>
    <row r="68" spans="1:9" x14ac:dyDescent="0.25">
      <c r="A68" s="580" t="s">
        <v>29</v>
      </c>
      <c r="B68" s="581" t="s">
        <v>30</v>
      </c>
      <c r="C68" s="563">
        <v>0</v>
      </c>
      <c r="D68" s="582">
        <f t="shared" si="13"/>
        <v>0</v>
      </c>
      <c r="E68" s="599">
        <v>0</v>
      </c>
      <c r="F68" s="600">
        <f t="shared" si="14"/>
        <v>0</v>
      </c>
      <c r="G68" s="601" t="s">
        <v>210</v>
      </c>
      <c r="H68" s="602">
        <f>E68*H53</f>
        <v>0</v>
      </c>
      <c r="I68" s="583">
        <f t="shared" si="15"/>
        <v>0</v>
      </c>
    </row>
    <row r="69" spans="1:9" x14ac:dyDescent="0.25">
      <c r="A69" s="580" t="s">
        <v>31</v>
      </c>
      <c r="B69" s="581" t="s">
        <v>32</v>
      </c>
      <c r="C69" s="563">
        <v>1</v>
      </c>
      <c r="D69" s="582">
        <f t="shared" si="13"/>
        <v>143.33333333333334</v>
      </c>
      <c r="E69" s="599">
        <v>1</v>
      </c>
      <c r="F69" s="600">
        <f t="shared" si="14"/>
        <v>143.33333333333334</v>
      </c>
      <c r="G69" s="601" t="s">
        <v>210</v>
      </c>
      <c r="H69" s="602">
        <f>E69*H53</f>
        <v>3498.6</v>
      </c>
      <c r="I69" s="583">
        <f t="shared" si="15"/>
        <v>4373.25</v>
      </c>
    </row>
    <row r="70" spans="1:9" x14ac:dyDescent="0.25">
      <c r="A70" s="580" t="s">
        <v>33</v>
      </c>
      <c r="B70" s="581" t="s">
        <v>34</v>
      </c>
      <c r="C70" s="563">
        <v>0</v>
      </c>
      <c r="D70" s="582">
        <f t="shared" si="13"/>
        <v>0</v>
      </c>
      <c r="E70" s="599">
        <v>0</v>
      </c>
      <c r="F70" s="600">
        <f t="shared" si="14"/>
        <v>0</v>
      </c>
      <c r="G70" s="601" t="s">
        <v>210</v>
      </c>
      <c r="H70" s="602">
        <f>E70*H53</f>
        <v>0</v>
      </c>
      <c r="I70" s="583">
        <f t="shared" si="15"/>
        <v>0</v>
      </c>
    </row>
    <row r="71" spans="1:9" x14ac:dyDescent="0.25">
      <c r="A71" s="580" t="s">
        <v>35</v>
      </c>
      <c r="B71" s="581" t="s">
        <v>36</v>
      </c>
      <c r="C71" s="563">
        <v>0</v>
      </c>
      <c r="D71" s="582">
        <f t="shared" si="13"/>
        <v>0</v>
      </c>
      <c r="E71" s="599">
        <v>0</v>
      </c>
      <c r="F71" s="600">
        <f t="shared" si="14"/>
        <v>0</v>
      </c>
      <c r="G71" s="601" t="s">
        <v>210</v>
      </c>
      <c r="H71" s="602">
        <f>E71*H53</f>
        <v>0</v>
      </c>
      <c r="I71" s="583">
        <f t="shared" si="15"/>
        <v>0</v>
      </c>
    </row>
    <row r="72" spans="1:9" x14ac:dyDescent="0.25">
      <c r="A72" s="609" t="s">
        <v>37</v>
      </c>
      <c r="B72" s="610" t="s">
        <v>38</v>
      </c>
      <c r="C72" s="563">
        <v>2</v>
      </c>
      <c r="D72" s="582">
        <f t="shared" si="13"/>
        <v>286.66666666666669</v>
      </c>
      <c r="E72" s="599">
        <v>1.5</v>
      </c>
      <c r="F72" s="600">
        <f t="shared" si="14"/>
        <v>215</v>
      </c>
      <c r="G72" s="601" t="s">
        <v>427</v>
      </c>
      <c r="H72" s="602">
        <f>E72*H53</f>
        <v>5247.9</v>
      </c>
      <c r="I72" s="583">
        <f t="shared" si="15"/>
        <v>6559.875</v>
      </c>
    </row>
    <row r="73" spans="1:9" x14ac:dyDescent="0.25">
      <c r="A73" s="573" t="s">
        <v>212</v>
      </c>
      <c r="B73" s="574" t="s">
        <v>40</v>
      </c>
      <c r="C73" s="607">
        <f t="shared" ref="C73" si="16">SUM(C74:C82)</f>
        <v>3</v>
      </c>
      <c r="D73" s="584">
        <f t="shared" ref="D73" si="17">SUM(D74:D82)</f>
        <v>430.00000000000006</v>
      </c>
      <c r="E73" s="577">
        <f>SUM(E74:E82)</f>
        <v>3</v>
      </c>
      <c r="F73" s="576">
        <f>E73*(1720/12)</f>
        <v>430</v>
      </c>
      <c r="G73" s="578"/>
      <c r="H73" s="579">
        <f>SUM(H74:H82)</f>
        <v>10495.8</v>
      </c>
      <c r="I73" s="579">
        <f>SUM(I74:I82)</f>
        <v>13119.75</v>
      </c>
    </row>
    <row r="74" spans="1:9" x14ac:dyDescent="0.25">
      <c r="A74" s="585" t="s">
        <v>213</v>
      </c>
      <c r="B74" s="581" t="s">
        <v>42</v>
      </c>
      <c r="C74" s="563">
        <v>0</v>
      </c>
      <c r="D74" s="582">
        <f t="shared" ref="D74:D82" si="18">C74*1720/12</f>
        <v>0</v>
      </c>
      <c r="E74" s="599">
        <v>0</v>
      </c>
      <c r="F74" s="600">
        <f t="shared" ref="F74:F82" si="19">E74*(1720/12)</f>
        <v>0</v>
      </c>
      <c r="G74" s="601" t="s">
        <v>210</v>
      </c>
      <c r="H74" s="602">
        <f>E74*H53</f>
        <v>0</v>
      </c>
      <c r="I74" s="583">
        <f t="shared" ref="I74:I82" si="20">H74*1.25</f>
        <v>0</v>
      </c>
    </row>
    <row r="75" spans="1:9" x14ac:dyDescent="0.25">
      <c r="A75" s="611" t="s">
        <v>43</v>
      </c>
      <c r="B75" s="610" t="s">
        <v>44</v>
      </c>
      <c r="C75" s="563">
        <v>1</v>
      </c>
      <c r="D75" s="582">
        <f t="shared" si="18"/>
        <v>143.33333333333334</v>
      </c>
      <c r="E75" s="599">
        <v>1</v>
      </c>
      <c r="F75" s="600">
        <f t="shared" si="19"/>
        <v>143.33333333333334</v>
      </c>
      <c r="G75" s="601" t="s">
        <v>210</v>
      </c>
      <c r="H75" s="602">
        <f>E75*H53</f>
        <v>3498.6</v>
      </c>
      <c r="I75" s="583">
        <f t="shared" si="20"/>
        <v>4373.25</v>
      </c>
    </row>
    <row r="76" spans="1:9" x14ac:dyDescent="0.25">
      <c r="A76" s="585" t="s">
        <v>45</v>
      </c>
      <c r="B76" s="581" t="s">
        <v>46</v>
      </c>
      <c r="C76" s="563">
        <v>0.5</v>
      </c>
      <c r="D76" s="582">
        <f t="shared" si="18"/>
        <v>71.666666666666671</v>
      </c>
      <c r="E76" s="599">
        <v>0.5</v>
      </c>
      <c r="F76" s="600">
        <f t="shared" si="19"/>
        <v>71.666666666666671</v>
      </c>
      <c r="G76" s="601" t="s">
        <v>210</v>
      </c>
      <c r="H76" s="602">
        <f>E76*H53</f>
        <v>1749.3</v>
      </c>
      <c r="I76" s="583">
        <f t="shared" si="20"/>
        <v>2186.625</v>
      </c>
    </row>
    <row r="77" spans="1:9" x14ac:dyDescent="0.25">
      <c r="A77" s="585" t="s">
        <v>47</v>
      </c>
      <c r="B77" s="581" t="s">
        <v>48</v>
      </c>
      <c r="C77" s="563">
        <v>0.5</v>
      </c>
      <c r="D77" s="582">
        <f t="shared" si="18"/>
        <v>71.666666666666671</v>
      </c>
      <c r="E77" s="599">
        <v>0.5</v>
      </c>
      <c r="F77" s="600">
        <f t="shared" si="19"/>
        <v>71.666666666666671</v>
      </c>
      <c r="G77" s="601" t="s">
        <v>210</v>
      </c>
      <c r="H77" s="602">
        <f>E77*H53</f>
        <v>1749.3</v>
      </c>
      <c r="I77" s="583">
        <f t="shared" si="20"/>
        <v>2186.625</v>
      </c>
    </row>
    <row r="78" spans="1:9" ht="22.5" x14ac:dyDescent="0.25">
      <c r="A78" s="611" t="s">
        <v>214</v>
      </c>
      <c r="B78" s="610" t="s">
        <v>50</v>
      </c>
      <c r="C78" s="563">
        <v>0</v>
      </c>
      <c r="D78" s="582">
        <f t="shared" si="18"/>
        <v>0</v>
      </c>
      <c r="E78" s="599">
        <v>0</v>
      </c>
      <c r="F78" s="600">
        <f t="shared" si="19"/>
        <v>0</v>
      </c>
      <c r="G78" s="601" t="s">
        <v>210</v>
      </c>
      <c r="H78" s="602">
        <f>E78*H53</f>
        <v>0</v>
      </c>
      <c r="I78" s="583">
        <f t="shared" si="20"/>
        <v>0</v>
      </c>
    </row>
    <row r="79" spans="1:9" x14ac:dyDescent="0.25">
      <c r="A79" s="585" t="s">
        <v>51</v>
      </c>
      <c r="B79" s="581" t="s">
        <v>52</v>
      </c>
      <c r="C79" s="563">
        <v>0</v>
      </c>
      <c r="D79" s="582">
        <f t="shared" si="18"/>
        <v>0</v>
      </c>
      <c r="E79" s="599">
        <v>0</v>
      </c>
      <c r="F79" s="600">
        <f t="shared" si="19"/>
        <v>0</v>
      </c>
      <c r="G79" s="601" t="s">
        <v>210</v>
      </c>
      <c r="H79" s="602">
        <f>E79*H53</f>
        <v>0</v>
      </c>
      <c r="I79" s="583">
        <f t="shared" si="20"/>
        <v>0</v>
      </c>
    </row>
    <row r="80" spans="1:9" x14ac:dyDescent="0.25">
      <c r="A80" s="585" t="s">
        <v>53</v>
      </c>
      <c r="B80" s="581" t="s">
        <v>54</v>
      </c>
      <c r="C80" s="563">
        <v>0.5</v>
      </c>
      <c r="D80" s="582">
        <f t="shared" si="18"/>
        <v>71.666666666666671</v>
      </c>
      <c r="E80" s="599">
        <v>0.5</v>
      </c>
      <c r="F80" s="600">
        <f t="shared" si="19"/>
        <v>71.666666666666671</v>
      </c>
      <c r="G80" s="601" t="s">
        <v>210</v>
      </c>
      <c r="H80" s="602">
        <f>E80*H53</f>
        <v>1749.3</v>
      </c>
      <c r="I80" s="583">
        <f t="shared" si="20"/>
        <v>2186.625</v>
      </c>
    </row>
    <row r="81" spans="1:9" x14ac:dyDescent="0.25">
      <c r="A81" s="580" t="s">
        <v>55</v>
      </c>
      <c r="B81" s="581" t="s">
        <v>56</v>
      </c>
      <c r="C81" s="563">
        <v>0</v>
      </c>
      <c r="D81" s="582">
        <f t="shared" si="18"/>
        <v>0</v>
      </c>
      <c r="E81" s="599">
        <v>0</v>
      </c>
      <c r="F81" s="600">
        <f t="shared" si="19"/>
        <v>0</v>
      </c>
      <c r="G81" s="601" t="s">
        <v>210</v>
      </c>
      <c r="H81" s="602">
        <f>E81*H53</f>
        <v>0</v>
      </c>
      <c r="I81" s="583">
        <f t="shared" si="20"/>
        <v>0</v>
      </c>
    </row>
    <row r="82" spans="1:9" x14ac:dyDescent="0.25">
      <c r="A82" s="580" t="s">
        <v>57</v>
      </c>
      <c r="B82" s="581" t="s">
        <v>58</v>
      </c>
      <c r="C82" s="563">
        <v>0.5</v>
      </c>
      <c r="D82" s="582">
        <f t="shared" si="18"/>
        <v>71.666666666666671</v>
      </c>
      <c r="E82" s="599">
        <v>0.5</v>
      </c>
      <c r="F82" s="600">
        <f t="shared" si="19"/>
        <v>71.666666666666671</v>
      </c>
      <c r="G82" s="601" t="s">
        <v>210</v>
      </c>
      <c r="H82" s="602">
        <f>E82*H53</f>
        <v>1749.3</v>
      </c>
      <c r="I82" s="583">
        <f t="shared" si="20"/>
        <v>2186.625</v>
      </c>
    </row>
    <row r="83" spans="1:9" x14ac:dyDescent="0.25">
      <c r="A83" s="573" t="s">
        <v>59</v>
      </c>
      <c r="B83" s="574" t="s">
        <v>60</v>
      </c>
      <c r="C83" s="607">
        <f t="shared" ref="C83" si="21">SUM(C84:C86)</f>
        <v>0.75</v>
      </c>
      <c r="D83" s="584">
        <f t="shared" ref="D83" si="22">SUM(D84:D86)</f>
        <v>107.5</v>
      </c>
      <c r="E83" s="577">
        <f>SUM(E84:E86)</f>
        <v>0.75</v>
      </c>
      <c r="F83" s="576">
        <f>E83*(1720/12)</f>
        <v>107.5</v>
      </c>
      <c r="G83" s="578"/>
      <c r="H83" s="579">
        <f>SUM(H84:H86)</f>
        <v>2623.95</v>
      </c>
      <c r="I83" s="579">
        <f>SUM(I84:I86)</f>
        <v>3279.9375</v>
      </c>
    </row>
    <row r="84" spans="1:9" x14ac:dyDescent="0.25">
      <c r="A84" s="609" t="s">
        <v>61</v>
      </c>
      <c r="B84" s="610" t="s">
        <v>62</v>
      </c>
      <c r="C84" s="563">
        <v>0.25</v>
      </c>
      <c r="D84" s="582">
        <f t="shared" ref="D84:D86" si="23">C84*1720/12</f>
        <v>35.833333333333336</v>
      </c>
      <c r="E84" s="599">
        <v>0.25</v>
      </c>
      <c r="F84" s="600">
        <f t="shared" ref="F84:F86" si="24">E84*(1720/12)</f>
        <v>35.833333333333336</v>
      </c>
      <c r="G84" s="601" t="s">
        <v>210</v>
      </c>
      <c r="H84" s="602">
        <f>E84*H53</f>
        <v>874.65</v>
      </c>
      <c r="I84" s="583">
        <f t="shared" ref="I84:I86" si="25">H84*1.25</f>
        <v>1093.3125</v>
      </c>
    </row>
    <row r="85" spans="1:9" ht="22.5" x14ac:dyDescent="0.25">
      <c r="A85" s="609" t="s">
        <v>215</v>
      </c>
      <c r="B85" s="610" t="s">
        <v>64</v>
      </c>
      <c r="C85" s="563">
        <v>0.25</v>
      </c>
      <c r="D85" s="582">
        <f t="shared" si="23"/>
        <v>35.833333333333336</v>
      </c>
      <c r="E85" s="599">
        <v>0.25</v>
      </c>
      <c r="F85" s="600">
        <f t="shared" si="24"/>
        <v>35.833333333333336</v>
      </c>
      <c r="G85" s="601" t="s">
        <v>210</v>
      </c>
      <c r="H85" s="602">
        <f>E85*H53</f>
        <v>874.65</v>
      </c>
      <c r="I85" s="583">
        <f t="shared" si="25"/>
        <v>1093.3125</v>
      </c>
    </row>
    <row r="86" spans="1:9" ht="22.5" x14ac:dyDescent="0.25">
      <c r="A86" s="609" t="s">
        <v>65</v>
      </c>
      <c r="B86" s="610" t="s">
        <v>66</v>
      </c>
      <c r="C86" s="563">
        <v>0.25</v>
      </c>
      <c r="D86" s="582">
        <f t="shared" si="23"/>
        <v>35.833333333333336</v>
      </c>
      <c r="E86" s="599">
        <v>0.25</v>
      </c>
      <c r="F86" s="600">
        <f t="shared" si="24"/>
        <v>35.833333333333336</v>
      </c>
      <c r="G86" s="601" t="s">
        <v>210</v>
      </c>
      <c r="H86" s="602">
        <f>E86*H53</f>
        <v>874.65</v>
      </c>
      <c r="I86" s="583">
        <f t="shared" si="25"/>
        <v>1093.3125</v>
      </c>
    </row>
    <row r="87" spans="1:9" x14ac:dyDescent="0.25">
      <c r="A87" s="573" t="s">
        <v>67</v>
      </c>
      <c r="B87" s="574" t="s">
        <v>68</v>
      </c>
      <c r="C87" s="607">
        <f t="shared" ref="C87" si="26">SUM(C88:C90)</f>
        <v>2</v>
      </c>
      <c r="D87" s="584">
        <f t="shared" ref="D87" si="27">SUM(D88:D90)</f>
        <v>286.66666666666669</v>
      </c>
      <c r="E87" s="577">
        <f>SUM(E88:E90)</f>
        <v>2</v>
      </c>
      <c r="F87" s="576">
        <f>E87*(1720/12)</f>
        <v>286.66666666666669</v>
      </c>
      <c r="G87" s="578"/>
      <c r="H87" s="579">
        <f>SUM(H88:H90)</f>
        <v>6997.2</v>
      </c>
      <c r="I87" s="579">
        <f>SUM(I88:I90)</f>
        <v>8746.5</v>
      </c>
    </row>
    <row r="88" spans="1:9" x14ac:dyDescent="0.25">
      <c r="A88" s="580" t="s">
        <v>69</v>
      </c>
      <c r="B88" s="581" t="s">
        <v>70</v>
      </c>
      <c r="C88" s="563">
        <v>0.5</v>
      </c>
      <c r="D88" s="582">
        <f t="shared" ref="D88:D90" si="28">C88*1720/12</f>
        <v>71.666666666666671</v>
      </c>
      <c r="E88" s="599">
        <v>0.5</v>
      </c>
      <c r="F88" s="600">
        <f t="shared" ref="F88:F90" si="29">E88*(1720/12)</f>
        <v>71.666666666666671</v>
      </c>
      <c r="G88" s="601" t="s">
        <v>428</v>
      </c>
      <c r="H88" s="602">
        <f>E88*H53</f>
        <v>1749.3</v>
      </c>
      <c r="I88" s="583">
        <f t="shared" ref="I88:I90" si="30">H88*1.25</f>
        <v>2186.625</v>
      </c>
    </row>
    <row r="89" spans="1:9" x14ac:dyDescent="0.25">
      <c r="A89" s="580" t="s">
        <v>71</v>
      </c>
      <c r="B89" s="581" t="s">
        <v>72</v>
      </c>
      <c r="C89" s="563">
        <v>1</v>
      </c>
      <c r="D89" s="582">
        <f t="shared" si="28"/>
        <v>143.33333333333334</v>
      </c>
      <c r="E89" s="599">
        <v>1</v>
      </c>
      <c r="F89" s="600">
        <f t="shared" si="29"/>
        <v>143.33333333333334</v>
      </c>
      <c r="G89" s="601" t="s">
        <v>428</v>
      </c>
      <c r="H89" s="602">
        <f>E89*H53</f>
        <v>3498.6</v>
      </c>
      <c r="I89" s="583">
        <f t="shared" si="30"/>
        <v>4373.25</v>
      </c>
    </row>
    <row r="90" spans="1:9" x14ac:dyDescent="0.25">
      <c r="A90" s="580" t="s">
        <v>73</v>
      </c>
      <c r="B90" s="581" t="s">
        <v>74</v>
      </c>
      <c r="C90" s="563">
        <v>0.5</v>
      </c>
      <c r="D90" s="582">
        <f t="shared" si="28"/>
        <v>71.666666666666671</v>
      </c>
      <c r="E90" s="599">
        <v>0.5</v>
      </c>
      <c r="F90" s="600">
        <f t="shared" si="29"/>
        <v>71.666666666666671</v>
      </c>
      <c r="G90" s="601" t="s">
        <v>428</v>
      </c>
      <c r="H90" s="602">
        <f>E90*H53</f>
        <v>1749.3</v>
      </c>
      <c r="I90" s="583">
        <f t="shared" si="30"/>
        <v>2186.625</v>
      </c>
    </row>
    <row r="91" spans="1:9" x14ac:dyDescent="0.25">
      <c r="A91" s="573" t="s">
        <v>75</v>
      </c>
      <c r="B91" s="574" t="s">
        <v>76</v>
      </c>
      <c r="C91" s="607">
        <f t="shared" ref="C91" si="31">SUM(C92:C94)</f>
        <v>0</v>
      </c>
      <c r="D91" s="584">
        <f t="shared" ref="D91" si="32">SUM(D92:D94)</f>
        <v>0</v>
      </c>
      <c r="E91" s="577">
        <f>SUM(E92:E94)</f>
        <v>2</v>
      </c>
      <c r="F91" s="576">
        <f>E91*(1720/12)</f>
        <v>286.66666666666669</v>
      </c>
      <c r="G91" s="578"/>
      <c r="H91" s="579">
        <f>SUM(H92:H94)</f>
        <v>6997.2</v>
      </c>
      <c r="I91" s="579">
        <f>SUM(I92:I94)</f>
        <v>8746.5</v>
      </c>
    </row>
    <row r="92" spans="1:9" x14ac:dyDescent="0.25">
      <c r="A92" s="580" t="s">
        <v>77</v>
      </c>
      <c r="B92" s="581" t="s">
        <v>78</v>
      </c>
      <c r="C92" s="563">
        <v>0</v>
      </c>
      <c r="D92" s="582">
        <f t="shared" ref="D92:D94" si="33">C92*1720/12</f>
        <v>0</v>
      </c>
      <c r="E92" s="599">
        <v>1</v>
      </c>
      <c r="F92" s="600">
        <f t="shared" ref="F92:F94" si="34">E92*(1720/12)</f>
        <v>143.33333333333334</v>
      </c>
      <c r="G92" s="601" t="s">
        <v>429</v>
      </c>
      <c r="H92" s="602">
        <f>E92*H53</f>
        <v>3498.6</v>
      </c>
      <c r="I92" s="583">
        <f t="shared" ref="I92:I94" si="35">H92*1.25</f>
        <v>4373.25</v>
      </c>
    </row>
    <row r="93" spans="1:9" x14ac:dyDescent="0.25">
      <c r="A93" s="580" t="s">
        <v>79</v>
      </c>
      <c r="B93" s="581" t="s">
        <v>80</v>
      </c>
      <c r="C93" s="563">
        <v>0</v>
      </c>
      <c r="D93" s="582">
        <f t="shared" si="33"/>
        <v>0</v>
      </c>
      <c r="E93" s="599">
        <v>1</v>
      </c>
      <c r="F93" s="600">
        <f t="shared" si="34"/>
        <v>143.33333333333334</v>
      </c>
      <c r="G93" s="601" t="s">
        <v>429</v>
      </c>
      <c r="H93" s="602">
        <f>E93*H53</f>
        <v>3498.6</v>
      </c>
      <c r="I93" s="583">
        <f t="shared" si="35"/>
        <v>4373.25</v>
      </c>
    </row>
    <row r="94" spans="1:9" ht="15.75" thickBot="1" x14ac:dyDescent="0.3">
      <c r="A94" s="585" t="s">
        <v>81</v>
      </c>
      <c r="B94" s="581" t="s">
        <v>82</v>
      </c>
      <c r="C94" s="563">
        <v>0</v>
      </c>
      <c r="D94" s="582">
        <f t="shared" si="33"/>
        <v>0</v>
      </c>
      <c r="E94" s="599">
        <v>0</v>
      </c>
      <c r="F94" s="600">
        <f t="shared" si="34"/>
        <v>0</v>
      </c>
      <c r="G94" s="601" t="s">
        <v>209</v>
      </c>
      <c r="H94" s="602">
        <f>E94*H53</f>
        <v>0</v>
      </c>
      <c r="I94" s="583">
        <f t="shared" si="35"/>
        <v>0</v>
      </c>
    </row>
    <row r="95" spans="1:9" ht="15.75" thickBot="1" x14ac:dyDescent="0.3">
      <c r="A95" s="606" t="s">
        <v>216</v>
      </c>
      <c r="B95" s="586" t="s">
        <v>84</v>
      </c>
      <c r="C95" s="608">
        <f t="shared" ref="C95:D95" si="36">C57+C61+C66+C73+C83+C87+C91</f>
        <v>17</v>
      </c>
      <c r="D95" s="604">
        <f t="shared" si="36"/>
        <v>2436.6666666666665</v>
      </c>
      <c r="E95" s="587">
        <f>(E57+E61+E66+E73+E83+E87+E91)</f>
        <v>17</v>
      </c>
      <c r="F95" s="588">
        <f>(F57+F61+F66+F73+F83+F87+F91)</f>
        <v>2436.6666666666665</v>
      </c>
      <c r="G95" s="605"/>
      <c r="H95" s="589">
        <f>(H57+H61+H66+H73+H83+H87+H91)</f>
        <v>59500.249999999985</v>
      </c>
      <c r="I95" s="589">
        <f>(I57+I61+I66+I73+I83+I87+I91)</f>
        <v>74375.3125</v>
      </c>
    </row>
  </sheetData>
  <mergeCells count="4">
    <mergeCell ref="C1:D1"/>
    <mergeCell ref="C2:D2"/>
    <mergeCell ref="C3:D3"/>
    <mergeCell ref="C4:D4"/>
  </mergeCells>
  <phoneticPr fontId="1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2E05F2-CCAB-4817-90E9-A8F2A779BE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18</vt:i4>
      </vt:variant>
    </vt:vector>
  </HeadingPairs>
  <TitlesOfParts>
    <vt:vector size="18" baseType="lpstr">
      <vt:lpstr>%Cost vs Budget</vt:lpstr>
      <vt:lpstr>WP Cost vs Budget</vt:lpstr>
      <vt:lpstr>PM Efforth per Task</vt:lpstr>
      <vt:lpstr>Efforth per task PM</vt:lpstr>
      <vt:lpstr>MONITORING TABLE 75%</vt:lpstr>
      <vt:lpstr>Direct &amp;Indirect Personnal Cost</vt:lpstr>
      <vt:lpstr>MNU</vt:lpstr>
      <vt:lpstr>SCA</vt:lpstr>
      <vt:lpstr>FOC</vt:lpstr>
      <vt:lpstr>CLTV</vt:lpstr>
      <vt:lpstr>MAI</vt:lpstr>
      <vt:lpstr>BIN</vt:lpstr>
      <vt:lpstr>IOC</vt:lpstr>
      <vt:lpstr>HIE</vt:lpstr>
      <vt:lpstr>BAL</vt:lpstr>
      <vt:lpstr>MEERI</vt:lpstr>
      <vt:lpstr>MCN</vt:lpstr>
      <vt:lpstr>CKR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Tore Ausland</dc:creator>
  <cp:keywords/>
  <dc:description/>
  <cp:lastModifiedBy>Tore Ausland</cp:lastModifiedBy>
  <cp:revision/>
  <dcterms:created xsi:type="dcterms:W3CDTF">2022-06-20T11:06:48Z</dcterms:created>
  <dcterms:modified xsi:type="dcterms:W3CDTF">2022-12-15T09:06:54Z</dcterms:modified>
  <cp:category/>
  <cp:contentStatus/>
</cp:coreProperties>
</file>