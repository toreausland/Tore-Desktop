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XL kurs/"/>
    </mc:Choice>
  </mc:AlternateContent>
  <xr:revisionPtr revIDLastSave="1416" documentId="8_{DD16699D-02DD-43E1-8C0A-5A366FF1E861}" xr6:coauthVersionLast="47" xr6:coauthVersionMax="47" xr10:uidLastSave="{E2C28ECF-E39F-468E-A822-9F31096ADF99}"/>
  <bookViews>
    <workbookView xWindow="-120" yWindow="-120" windowWidth="29040" windowHeight="15840" activeTab="1" xr2:uid="{00000000-000D-0000-FFFF-FFFF00000000}"/>
  </bookViews>
  <sheets>
    <sheet name="%Cost vs Budget" sheetId="17" r:id="rId1"/>
    <sheet name="WP Cost VS Budget" sheetId="15" r:id="rId2"/>
    <sheet name="Direct &amp;Indirect Personnal Cost" sheetId="14" r:id="rId3"/>
    <sheet name="MNU" sheetId="1" r:id="rId4"/>
    <sheet name="SCA" sheetId="2" r:id="rId5"/>
    <sheet name="FOC" sheetId="3" r:id="rId6"/>
    <sheet name="CLTV" sheetId="4" r:id="rId7"/>
    <sheet name="MAI" sheetId="5" r:id="rId8"/>
    <sheet name="BIN" sheetId="6" r:id="rId9"/>
    <sheet name="IOC" sheetId="7" r:id="rId10"/>
    <sheet name="HIE" sheetId="8" r:id="rId11"/>
    <sheet name="BAL" sheetId="9" r:id="rId12"/>
    <sheet name="MEERI" sheetId="10" r:id="rId13"/>
    <sheet name="MCN" sheetId="12" r:id="rId14"/>
    <sheet name="CKR_x0009_" sheetId="13" r:id="rId15"/>
  </sheets>
  <definedNames>
    <definedName name="EksterneData_1" localSheetId="0" hidden="1">'%Cost vs Budget'!$A$1:$B$14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7" i="14" l="1"/>
  <c r="AI8" i="14"/>
  <c r="AI9" i="14"/>
  <c r="AI10" i="14"/>
  <c r="AI11" i="14"/>
  <c r="AI12" i="14"/>
  <c r="AI13" i="14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AI43" i="14"/>
  <c r="AI44" i="14"/>
  <c r="AI45" i="14"/>
  <c r="AI6" i="14"/>
  <c r="AL6" i="14" s="1"/>
  <c r="L9" i="8"/>
  <c r="L46" i="8"/>
  <c r="L47" i="8"/>
  <c r="L45" i="8"/>
  <c r="L42" i="8"/>
  <c r="L43" i="8"/>
  <c r="L41" i="8"/>
  <c r="L38" i="8"/>
  <c r="L39" i="8"/>
  <c r="L37" i="8"/>
  <c r="L28" i="8"/>
  <c r="L29" i="8"/>
  <c r="L30" i="8"/>
  <c r="L31" i="8"/>
  <c r="L26" i="8" s="1"/>
  <c r="L32" i="8"/>
  <c r="L33" i="8"/>
  <c r="L34" i="8"/>
  <c r="L35" i="8"/>
  <c r="L27" i="8"/>
  <c r="L21" i="8"/>
  <c r="L22" i="8"/>
  <c r="L23" i="8"/>
  <c r="L24" i="8"/>
  <c r="L25" i="8"/>
  <c r="L20" i="8"/>
  <c r="L16" i="8"/>
  <c r="L17" i="8"/>
  <c r="L18" i="8"/>
  <c r="L15" i="8"/>
  <c r="L44" i="8"/>
  <c r="L36" i="8"/>
  <c r="L10" i="8"/>
  <c r="I44" i="8"/>
  <c r="I46" i="8"/>
  <c r="I47" i="8"/>
  <c r="I45" i="8"/>
  <c r="I40" i="8"/>
  <c r="I42" i="8"/>
  <c r="I43" i="8"/>
  <c r="I41" i="8"/>
  <c r="I36" i="8"/>
  <c r="I38" i="8"/>
  <c r="I39" i="8"/>
  <c r="I37" i="8"/>
  <c r="I26" i="8"/>
  <c r="I28" i="8"/>
  <c r="I29" i="8"/>
  <c r="I30" i="8"/>
  <c r="I31" i="8"/>
  <c r="I32" i="8"/>
  <c r="I33" i="8"/>
  <c r="I34" i="8"/>
  <c r="I35" i="8"/>
  <c r="I27" i="8"/>
  <c r="I21" i="8"/>
  <c r="I19" i="8" s="1"/>
  <c r="I14" i="8" s="1"/>
  <c r="I48" i="8" s="1"/>
  <c r="I22" i="8"/>
  <c r="I23" i="8"/>
  <c r="I24" i="8"/>
  <c r="I25" i="8"/>
  <c r="I20" i="8"/>
  <c r="I16" i="8"/>
  <c r="I17" i="8"/>
  <c r="I18" i="8"/>
  <c r="I15" i="8"/>
  <c r="I10" i="8"/>
  <c r="I12" i="8"/>
  <c r="I13" i="8"/>
  <c r="I11" i="8"/>
  <c r="AE7" i="14"/>
  <c r="AE8" i="14"/>
  <c r="AE9" i="14"/>
  <c r="AE10" i="14"/>
  <c r="AE11" i="14"/>
  <c r="AE12" i="14"/>
  <c r="AE13" i="14"/>
  <c r="AE14" i="14"/>
  <c r="AE15" i="14"/>
  <c r="AE16" i="14"/>
  <c r="AE17" i="14"/>
  <c r="AE18" i="14"/>
  <c r="AE19" i="14"/>
  <c r="AE20" i="14"/>
  <c r="AE21" i="14"/>
  <c r="AE22" i="14"/>
  <c r="AE23" i="14"/>
  <c r="AE24" i="14"/>
  <c r="AE25" i="14"/>
  <c r="AE26" i="14"/>
  <c r="AE27" i="14"/>
  <c r="AE28" i="14"/>
  <c r="AE29" i="14"/>
  <c r="AE30" i="14"/>
  <c r="AE31" i="14"/>
  <c r="AE32" i="14"/>
  <c r="AE33" i="14"/>
  <c r="AE34" i="14"/>
  <c r="AE35" i="14"/>
  <c r="AE36" i="14"/>
  <c r="AE37" i="14"/>
  <c r="AE38" i="14"/>
  <c r="AE39" i="14"/>
  <c r="AE40" i="14"/>
  <c r="AE41" i="14"/>
  <c r="AE42" i="14"/>
  <c r="AE43" i="14"/>
  <c r="AE44" i="14"/>
  <c r="AE45" i="14"/>
  <c r="AE6" i="14"/>
  <c r="K46" i="7"/>
  <c r="K47" i="7"/>
  <c r="K45" i="7"/>
  <c r="K38" i="7"/>
  <c r="K39" i="7"/>
  <c r="K42" i="7"/>
  <c r="K43" i="7"/>
  <c r="K41" i="7"/>
  <c r="K37" i="7"/>
  <c r="K36" i="7" s="1"/>
  <c r="K28" i="7"/>
  <c r="K29" i="7"/>
  <c r="K30" i="7"/>
  <c r="K31" i="7"/>
  <c r="K32" i="7"/>
  <c r="K33" i="7"/>
  <c r="K34" i="7"/>
  <c r="K35" i="7"/>
  <c r="K27" i="7"/>
  <c r="K21" i="7"/>
  <c r="K22" i="7"/>
  <c r="K23" i="7"/>
  <c r="K19" i="7" s="1"/>
  <c r="K24" i="7"/>
  <c r="K25" i="7"/>
  <c r="K20" i="7"/>
  <c r="K16" i="7"/>
  <c r="K17" i="7"/>
  <c r="K18" i="7"/>
  <c r="K15" i="7"/>
  <c r="K14" i="7" s="1"/>
  <c r="K26" i="7"/>
  <c r="K44" i="7"/>
  <c r="K10" i="7"/>
  <c r="K12" i="7"/>
  <c r="K13" i="7"/>
  <c r="K11" i="7"/>
  <c r="I11" i="7"/>
  <c r="I12" i="7"/>
  <c r="G12" i="7" s="1"/>
  <c r="I13" i="7"/>
  <c r="G13" i="7" s="1"/>
  <c r="G15" i="7"/>
  <c r="G16" i="7"/>
  <c r="G17" i="7"/>
  <c r="I18" i="7"/>
  <c r="G18" i="7" s="1"/>
  <c r="I20" i="7"/>
  <c r="G20" i="7" s="1"/>
  <c r="I21" i="7"/>
  <c r="I19" i="7" s="1"/>
  <c r="G22" i="7"/>
  <c r="G23" i="7"/>
  <c r="G24" i="7"/>
  <c r="G25" i="7"/>
  <c r="I37" i="7"/>
  <c r="I36" i="7" s="1"/>
  <c r="G38" i="7"/>
  <c r="G39" i="7"/>
  <c r="I41" i="7"/>
  <c r="I40" i="7" s="1"/>
  <c r="G42" i="7"/>
  <c r="G43" i="7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34" i="14"/>
  <c r="W35" i="14"/>
  <c r="W36" i="14"/>
  <c r="W37" i="14"/>
  <c r="W38" i="14"/>
  <c r="W39" i="14"/>
  <c r="W40" i="14"/>
  <c r="W41" i="14"/>
  <c r="W42" i="14"/>
  <c r="W43" i="14"/>
  <c r="W44" i="14"/>
  <c r="W45" i="14"/>
  <c r="W7" i="14"/>
  <c r="W8" i="14"/>
  <c r="W9" i="14"/>
  <c r="W10" i="14"/>
  <c r="W6" i="14"/>
  <c r="D41" i="5"/>
  <c r="D37" i="5"/>
  <c r="D33" i="5"/>
  <c r="D23" i="5"/>
  <c r="D16" i="5"/>
  <c r="D11" i="5"/>
  <c r="D7" i="5"/>
  <c r="G10" i="4"/>
  <c r="G14" i="4"/>
  <c r="G48" i="4" s="1"/>
  <c r="G19" i="4"/>
  <c r="G26" i="4"/>
  <c r="G36" i="4"/>
  <c r="G40" i="4"/>
  <c r="G44" i="4"/>
  <c r="U7" i="14"/>
  <c r="U11" i="14"/>
  <c r="U16" i="14"/>
  <c r="U23" i="14"/>
  <c r="U33" i="14"/>
  <c r="U37" i="14"/>
  <c r="U41" i="14"/>
  <c r="Y41" i="14"/>
  <c r="Y37" i="14"/>
  <c r="Y33" i="14"/>
  <c r="Y23" i="14"/>
  <c r="Y16" i="14"/>
  <c r="Y7" i="14"/>
  <c r="AO7" i="14"/>
  <c r="AO11" i="14"/>
  <c r="AO16" i="14"/>
  <c r="AO23" i="14"/>
  <c r="AO33" i="14"/>
  <c r="AO41" i="14"/>
  <c r="AW7" i="14"/>
  <c r="AW11" i="14"/>
  <c r="AW16" i="14"/>
  <c r="AW23" i="14"/>
  <c r="AW33" i="14"/>
  <c r="AW37" i="14"/>
  <c r="AW41" i="14"/>
  <c r="AS41" i="14"/>
  <c r="AS37" i="14"/>
  <c r="AS33" i="14"/>
  <c r="AS23" i="14"/>
  <c r="AS7" i="14"/>
  <c r="AS11" i="14"/>
  <c r="AS16" i="14"/>
  <c r="AW6" i="14"/>
  <c r="AS6" i="14"/>
  <c r="AT6" i="14" s="1"/>
  <c r="AO38" i="14"/>
  <c r="AO37" i="14" s="1"/>
  <c r="AO39" i="14"/>
  <c r="AO40" i="14"/>
  <c r="AO6" i="14"/>
  <c r="Y11" i="14"/>
  <c r="Z6" i="14"/>
  <c r="V6" i="14"/>
  <c r="BB6" i="14"/>
  <c r="AX6" i="14"/>
  <c r="AP6" i="14"/>
  <c r="AH6" i="14"/>
  <c r="AD6" i="14"/>
  <c r="R6" i="14"/>
  <c r="N6" i="14"/>
  <c r="J6" i="14"/>
  <c r="AY45" i="14"/>
  <c r="X3" i="12"/>
  <c r="X4" i="12"/>
  <c r="X5" i="12"/>
  <c r="X6" i="12"/>
  <c r="X7" i="12"/>
  <c r="X8" i="12"/>
  <c r="X9" i="12"/>
  <c r="X10" i="12"/>
  <c r="X12" i="12"/>
  <c r="X13" i="12"/>
  <c r="X14" i="12"/>
  <c r="X15" i="12"/>
  <c r="X16" i="12"/>
  <c r="X17" i="12"/>
  <c r="X19" i="12"/>
  <c r="X20" i="12"/>
  <c r="X21" i="12"/>
  <c r="X22" i="12"/>
  <c r="X23" i="12"/>
  <c r="X24" i="12"/>
  <c r="X25" i="12"/>
  <c r="X26" i="12"/>
  <c r="X27" i="12"/>
  <c r="X29" i="12"/>
  <c r="X30" i="12"/>
  <c r="X31" i="12"/>
  <c r="X33" i="12"/>
  <c r="X34" i="12"/>
  <c r="X35" i="12"/>
  <c r="X37" i="12"/>
  <c r="X38" i="12"/>
  <c r="X39" i="12"/>
  <c r="X2" i="12"/>
  <c r="V36" i="12"/>
  <c r="X36" i="12" s="1"/>
  <c r="V32" i="12"/>
  <c r="X32" i="12" s="1"/>
  <c r="V28" i="12"/>
  <c r="X28" i="12" s="1"/>
  <c r="V18" i="12"/>
  <c r="X18" i="12" s="1"/>
  <c r="V11" i="12"/>
  <c r="X11" i="12" s="1"/>
  <c r="V6" i="12"/>
  <c r="V2" i="12"/>
  <c r="Q3" i="10"/>
  <c r="Q4" i="10"/>
  <c r="Q5" i="10"/>
  <c r="Q7" i="10"/>
  <c r="Q8" i="10"/>
  <c r="Q9" i="10"/>
  <c r="Q10" i="10"/>
  <c r="Q12" i="10"/>
  <c r="Q13" i="10"/>
  <c r="Q14" i="10"/>
  <c r="Q15" i="10"/>
  <c r="Q16" i="10"/>
  <c r="Q17" i="10"/>
  <c r="Q19" i="10"/>
  <c r="Q20" i="10"/>
  <c r="Q21" i="10"/>
  <c r="Q22" i="10"/>
  <c r="Q23" i="10"/>
  <c r="Q24" i="10"/>
  <c r="Q25" i="10"/>
  <c r="Q26" i="10"/>
  <c r="Q27" i="10"/>
  <c r="Q29" i="10"/>
  <c r="Q30" i="10"/>
  <c r="Q31" i="10"/>
  <c r="Q33" i="10"/>
  <c r="Q34" i="10"/>
  <c r="Q35" i="10"/>
  <c r="Q37" i="10"/>
  <c r="Q38" i="10"/>
  <c r="Q39" i="10"/>
  <c r="M36" i="10"/>
  <c r="Q36" i="10" s="1"/>
  <c r="M32" i="10"/>
  <c r="Q32" i="10" s="1"/>
  <c r="M28" i="10"/>
  <c r="Q28" i="10" s="1"/>
  <c r="M18" i="10"/>
  <c r="Q18" i="10" s="1"/>
  <c r="M11" i="10"/>
  <c r="Q11" i="10" s="1"/>
  <c r="M6" i="10"/>
  <c r="Q6" i="10" s="1"/>
  <c r="M2" i="10"/>
  <c r="Q2" i="10" s="1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8" i="9"/>
  <c r="N29" i="9"/>
  <c r="N30" i="9"/>
  <c r="N31" i="9"/>
  <c r="N32" i="9"/>
  <c r="N33" i="9"/>
  <c r="N34" i="9"/>
  <c r="N35" i="9"/>
  <c r="N36" i="9"/>
  <c r="N37" i="9"/>
  <c r="N38" i="9"/>
  <c r="Q36" i="9"/>
  <c r="Q32" i="9"/>
  <c r="Q28" i="9"/>
  <c r="N27" i="9" s="1"/>
  <c r="Q18" i="9"/>
  <c r="Q11" i="9"/>
  <c r="Q6" i="9"/>
  <c r="Q2" i="9"/>
  <c r="Q40" i="9" s="1"/>
  <c r="N39" i="9" s="1"/>
  <c r="M11" i="14"/>
  <c r="M16" i="14"/>
  <c r="M23" i="14"/>
  <c r="I23" i="14"/>
  <c r="I16" i="14"/>
  <c r="I7" i="14"/>
  <c r="AY11" i="14"/>
  <c r="AY12" i="14"/>
  <c r="AY13" i="14"/>
  <c r="AY14" i="14"/>
  <c r="AY15" i="14"/>
  <c r="AY16" i="14"/>
  <c r="AY17" i="14"/>
  <c r="AY18" i="14"/>
  <c r="AY19" i="14"/>
  <c r="AY20" i="14"/>
  <c r="AY21" i="14"/>
  <c r="AY22" i="14"/>
  <c r="AY23" i="14"/>
  <c r="AY24" i="14"/>
  <c r="AY25" i="14"/>
  <c r="AY26" i="14"/>
  <c r="AY27" i="14"/>
  <c r="AY28" i="14"/>
  <c r="AY29" i="14"/>
  <c r="AY30" i="14"/>
  <c r="AY31" i="14"/>
  <c r="AY32" i="14"/>
  <c r="AY33" i="14"/>
  <c r="AY34" i="14"/>
  <c r="AY35" i="14"/>
  <c r="AY36" i="14"/>
  <c r="AY37" i="14"/>
  <c r="AY38" i="14"/>
  <c r="AY39" i="14"/>
  <c r="AY40" i="14"/>
  <c r="AY41" i="14"/>
  <c r="AY42" i="14"/>
  <c r="AY43" i="14"/>
  <c r="AY44" i="14"/>
  <c r="AY8" i="14"/>
  <c r="AY9" i="14"/>
  <c r="AY10" i="14"/>
  <c r="AY7" i="14"/>
  <c r="AM7" i="14" a="1"/>
  <c r="AM7" i="14" s="1"/>
  <c r="AK7" i="14"/>
  <c r="I46" i="4"/>
  <c r="I47" i="4"/>
  <c r="I45" i="4"/>
  <c r="I42" i="4"/>
  <c r="I43" i="4"/>
  <c r="I41" i="4"/>
  <c r="I38" i="4"/>
  <c r="I39" i="4"/>
  <c r="I37" i="4"/>
  <c r="I28" i="4"/>
  <c r="I29" i="4"/>
  <c r="I30" i="4"/>
  <c r="I31" i="4"/>
  <c r="I32" i="4"/>
  <c r="I33" i="4"/>
  <c r="I34" i="4"/>
  <c r="I35" i="4"/>
  <c r="I27" i="4"/>
  <c r="I21" i="4"/>
  <c r="I22" i="4"/>
  <c r="I23" i="4"/>
  <c r="I24" i="4"/>
  <c r="I25" i="4"/>
  <c r="I20" i="4"/>
  <c r="I16" i="4"/>
  <c r="I17" i="4"/>
  <c r="I18" i="4"/>
  <c r="I15" i="4"/>
  <c r="I12" i="4"/>
  <c r="I13" i="4"/>
  <c r="I11" i="4"/>
  <c r="D8" i="14"/>
  <c r="D9" i="14"/>
  <c r="D10" i="14"/>
  <c r="D12" i="14"/>
  <c r="D13" i="14"/>
  <c r="D14" i="14"/>
  <c r="D15" i="14"/>
  <c r="D17" i="14"/>
  <c r="D18" i="14"/>
  <c r="D19" i="14"/>
  <c r="D20" i="14"/>
  <c r="D21" i="14"/>
  <c r="D22" i="14"/>
  <c r="D24" i="14"/>
  <c r="D25" i="14"/>
  <c r="D26" i="14"/>
  <c r="D27" i="14"/>
  <c r="D28" i="14"/>
  <c r="D29" i="14"/>
  <c r="D30" i="14"/>
  <c r="D31" i="14"/>
  <c r="D32" i="14"/>
  <c r="D34" i="14"/>
  <c r="D35" i="14"/>
  <c r="D36" i="14"/>
  <c r="D38" i="14"/>
  <c r="D39" i="14"/>
  <c r="D40" i="14"/>
  <c r="D42" i="14"/>
  <c r="D43" i="14"/>
  <c r="D44" i="14"/>
  <c r="AR23" i="14"/>
  <c r="AZ41" i="14"/>
  <c r="AZ37" i="14"/>
  <c r="AZ33" i="14"/>
  <c r="AZ23" i="14"/>
  <c r="AZ16" i="14"/>
  <c r="AZ11" i="14"/>
  <c r="AZ7" i="14"/>
  <c r="AV41" i="14"/>
  <c r="AV37" i="14"/>
  <c r="AV33" i="14"/>
  <c r="AV23" i="14"/>
  <c r="AV16" i="14"/>
  <c r="AV11" i="14"/>
  <c r="AV7" i="14"/>
  <c r="AR41" i="14"/>
  <c r="AR37" i="14"/>
  <c r="AR33" i="14"/>
  <c r="AR16" i="14"/>
  <c r="AR11" i="14"/>
  <c r="AR7" i="14"/>
  <c r="AN41" i="14"/>
  <c r="AN37" i="14"/>
  <c r="AN33" i="14"/>
  <c r="AN23" i="14"/>
  <c r="AN16" i="14"/>
  <c r="AN11" i="14"/>
  <c r="AN7" i="14"/>
  <c r="AJ41" i="14"/>
  <c r="AJ37" i="14"/>
  <c r="AJ33" i="14"/>
  <c r="AJ23" i="14"/>
  <c r="AJ16" i="14"/>
  <c r="AJ11" i="14"/>
  <c r="AJ7" i="14"/>
  <c r="AF41" i="14"/>
  <c r="AF37" i="14"/>
  <c r="AF33" i="14"/>
  <c r="AF23" i="14"/>
  <c r="AF16" i="14"/>
  <c r="AF11" i="14"/>
  <c r="AF7" i="14"/>
  <c r="AB41" i="14"/>
  <c r="AB37" i="14"/>
  <c r="AB33" i="14"/>
  <c r="AB23" i="14"/>
  <c r="AB16" i="14"/>
  <c r="AB11" i="14"/>
  <c r="AB7" i="14"/>
  <c r="X41" i="14"/>
  <c r="X37" i="14"/>
  <c r="X33" i="14"/>
  <c r="X23" i="14"/>
  <c r="X16" i="14"/>
  <c r="X11" i="14"/>
  <c r="X7" i="14"/>
  <c r="T41" i="14"/>
  <c r="T37" i="14"/>
  <c r="T33" i="14"/>
  <c r="T23" i="14"/>
  <c r="T16" i="14"/>
  <c r="T11" i="14"/>
  <c r="T7" i="14"/>
  <c r="P41" i="14"/>
  <c r="P37" i="14"/>
  <c r="P33" i="14"/>
  <c r="P23" i="14"/>
  <c r="P16" i="14"/>
  <c r="P11" i="14"/>
  <c r="P7" i="14"/>
  <c r="H41" i="14"/>
  <c r="H37" i="14"/>
  <c r="H33" i="14"/>
  <c r="H23" i="14"/>
  <c r="H16" i="14"/>
  <c r="H11" i="14"/>
  <c r="H7" i="14"/>
  <c r="L7" i="14"/>
  <c r="L11" i="14"/>
  <c r="L16" i="14"/>
  <c r="L23" i="14"/>
  <c r="L33" i="14"/>
  <c r="L37" i="14"/>
  <c r="L41" i="14"/>
  <c r="AP12" i="14" l="1"/>
  <c r="AP39" i="14"/>
  <c r="AP42" i="14"/>
  <c r="AP28" i="14"/>
  <c r="AP10" i="14"/>
  <c r="P45" i="14"/>
  <c r="AP23" i="14"/>
  <c r="AJ45" i="14"/>
  <c r="L40" i="8"/>
  <c r="L19" i="8"/>
  <c r="L48" i="8" s="1"/>
  <c r="L14" i="8"/>
  <c r="K40" i="7"/>
  <c r="K48" i="7"/>
  <c r="G21" i="7"/>
  <c r="G41" i="7"/>
  <c r="G40" i="7" s="1"/>
  <c r="I10" i="7"/>
  <c r="I14" i="7"/>
  <c r="G14" i="7"/>
  <c r="G37" i="7"/>
  <c r="G11" i="7"/>
  <c r="Z21" i="14"/>
  <c r="Z22" i="14"/>
  <c r="Z25" i="14"/>
  <c r="Z27" i="14"/>
  <c r="Z33" i="14"/>
  <c r="Z37" i="14"/>
  <c r="Z38" i="14"/>
  <c r="Z41" i="14"/>
  <c r="Z43" i="14"/>
  <c r="Z11" i="14"/>
  <c r="E6" i="14"/>
  <c r="F6" i="14" s="1"/>
  <c r="I10" i="4"/>
  <c r="U45" i="14"/>
  <c r="Y45" i="14"/>
  <c r="Z45" i="14" s="1"/>
  <c r="AO45" i="14"/>
  <c r="AP45" i="14" s="1"/>
  <c r="AW45" i="14"/>
  <c r="AS45" i="14"/>
  <c r="M40" i="10"/>
  <c r="Q40" i="10" s="1"/>
  <c r="AP38" i="14"/>
  <c r="AP26" i="14"/>
  <c r="AP22" i="14"/>
  <c r="N1" i="9"/>
  <c r="AP44" i="14"/>
  <c r="I40" i="4"/>
  <c r="I26" i="4"/>
  <c r="I14" i="4"/>
  <c r="X45" i="14"/>
  <c r="AZ45" i="14"/>
  <c r="Z42" i="14"/>
  <c r="Z26" i="14"/>
  <c r="AP43" i="14"/>
  <c r="AP27" i="14"/>
  <c r="AP11" i="14"/>
  <c r="AR45" i="14"/>
  <c r="Z40" i="14"/>
  <c r="Z24" i="14"/>
  <c r="AP41" i="14"/>
  <c r="AP25" i="14"/>
  <c r="AP9" i="14"/>
  <c r="Z39" i="14"/>
  <c r="Z23" i="14"/>
  <c r="AP40" i="14"/>
  <c r="AP24" i="14"/>
  <c r="AP8" i="14"/>
  <c r="AB45" i="14"/>
  <c r="Z36" i="14"/>
  <c r="Z20" i="14"/>
  <c r="AP37" i="14"/>
  <c r="AP21" i="14"/>
  <c r="Z35" i="14"/>
  <c r="Z19" i="14"/>
  <c r="AP36" i="14"/>
  <c r="AP20" i="14"/>
  <c r="T45" i="14"/>
  <c r="AV45" i="14"/>
  <c r="Z34" i="14"/>
  <c r="Z18" i="14"/>
  <c r="AP35" i="14"/>
  <c r="AP19" i="14"/>
  <c r="Z17" i="14"/>
  <c r="AP34" i="14"/>
  <c r="AP18" i="14"/>
  <c r="H45" i="14"/>
  <c r="Z32" i="14"/>
  <c r="Z16" i="14"/>
  <c r="AP33" i="14"/>
  <c r="AP17" i="14"/>
  <c r="L45" i="14"/>
  <c r="AN45" i="14"/>
  <c r="Z10" i="14"/>
  <c r="Z31" i="14"/>
  <c r="Z15" i="14"/>
  <c r="AP32" i="14"/>
  <c r="AP16" i="14"/>
  <c r="Z9" i="14"/>
  <c r="Z30" i="14"/>
  <c r="Z14" i="14"/>
  <c r="AP31" i="14"/>
  <c r="AP15" i="14"/>
  <c r="AF45" i="14"/>
  <c r="Z8" i="14"/>
  <c r="Z29" i="14"/>
  <c r="Z13" i="14"/>
  <c r="AP30" i="14"/>
  <c r="AP14" i="14"/>
  <c r="Z44" i="14"/>
  <c r="Z28" i="14"/>
  <c r="Z12" i="14"/>
  <c r="AP29" i="14"/>
  <c r="AP13" i="14"/>
  <c r="E9" i="14"/>
  <c r="D26" i="15" s="1"/>
  <c r="V40" i="12"/>
  <c r="X40" i="12" s="1"/>
  <c r="D7" i="14"/>
  <c r="D11" i="14"/>
  <c r="D23" i="14"/>
  <c r="D33" i="14"/>
  <c r="D37" i="14"/>
  <c r="D41" i="14"/>
  <c r="D16" i="14"/>
  <c r="I44" i="4"/>
  <c r="I36" i="4"/>
  <c r="I19" i="4"/>
  <c r="G14" i="1"/>
  <c r="C8" i="1" s="1"/>
  <c r="D45" i="14" l="1"/>
  <c r="G19" i="7"/>
  <c r="I48" i="7"/>
  <c r="G10" i="7"/>
  <c r="G36" i="7"/>
  <c r="I48" i="4"/>
  <c r="S7" i="14" s="1" a="1"/>
  <c r="BA7" i="14"/>
  <c r="BA33" i="14"/>
  <c r="BA37" i="14"/>
  <c r="AK33" i="14"/>
  <c r="AK37" i="14"/>
  <c r="AG7" i="14"/>
  <c r="AG33" i="14"/>
  <c r="AG37" i="14"/>
  <c r="AC7" i="14"/>
  <c r="AC33" i="14"/>
  <c r="AC37" i="14"/>
  <c r="Q7" i="14"/>
  <c r="Q33" i="14"/>
  <c r="Q37" i="14"/>
  <c r="M41" i="14"/>
  <c r="M37" i="14"/>
  <c r="M33" i="14"/>
  <c r="M7" i="14"/>
  <c r="BB44" i="14"/>
  <c r="BB43" i="14"/>
  <c r="BB42" i="14"/>
  <c r="E44" i="14"/>
  <c r="D117" i="15" s="1"/>
  <c r="BA41" i="14"/>
  <c r="AK41" i="14"/>
  <c r="AG41" i="14"/>
  <c r="AC41" i="14"/>
  <c r="Q41" i="14"/>
  <c r="I41" i="14"/>
  <c r="I37" i="14"/>
  <c r="I33" i="14"/>
  <c r="BB32" i="14"/>
  <c r="BB31" i="14"/>
  <c r="BB30" i="14"/>
  <c r="BB29" i="14"/>
  <c r="E29" i="14"/>
  <c r="D75" i="15" s="1"/>
  <c r="BB28" i="14"/>
  <c r="E28" i="14"/>
  <c r="D74" i="15" s="1"/>
  <c r="BB24" i="14"/>
  <c r="Q23" i="14"/>
  <c r="BB21" i="14"/>
  <c r="E21" i="14"/>
  <c r="D59" i="15" s="1"/>
  <c r="BB20" i="14"/>
  <c r="E20" i="14"/>
  <c r="D58" i="15" s="1"/>
  <c r="BB18" i="14"/>
  <c r="Q16" i="14"/>
  <c r="BB13" i="14"/>
  <c r="AH13" i="14"/>
  <c r="E13" i="14"/>
  <c r="D41" i="15" s="1"/>
  <c r="AH29" i="14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6" i="13"/>
  <c r="D8" i="12"/>
  <c r="D13" i="12"/>
  <c r="D14" i="12"/>
  <c r="D15" i="12"/>
  <c r="D17" i="12"/>
  <c r="D24" i="12"/>
  <c r="D27" i="12"/>
  <c r="D29" i="12"/>
  <c r="D30" i="12"/>
  <c r="D31" i="12"/>
  <c r="D32" i="12"/>
  <c r="D33" i="12"/>
  <c r="D43" i="12"/>
  <c r="D45" i="12"/>
  <c r="H7" i="12"/>
  <c r="C7" i="12" s="1"/>
  <c r="AU7" i="14" s="1" a="1"/>
  <c r="H11" i="12"/>
  <c r="C11" i="12" s="1"/>
  <c r="D11" i="12" s="1"/>
  <c r="H16" i="12"/>
  <c r="C16" i="12" s="1"/>
  <c r="D16" i="12" s="1"/>
  <c r="H23" i="12"/>
  <c r="C23" i="12" s="1"/>
  <c r="D23" i="12" s="1"/>
  <c r="H33" i="12"/>
  <c r="C33" i="12" s="1"/>
  <c r="H37" i="12"/>
  <c r="H41" i="12"/>
  <c r="C41" i="12"/>
  <c r="D41" i="12" s="1"/>
  <c r="C12" i="12"/>
  <c r="D12" i="12" s="1"/>
  <c r="C13" i="12"/>
  <c r="C14" i="12"/>
  <c r="C15" i="12"/>
  <c r="C17" i="12"/>
  <c r="C18" i="12"/>
  <c r="D18" i="12" s="1"/>
  <c r="C19" i="12"/>
  <c r="D19" i="12" s="1"/>
  <c r="C20" i="12"/>
  <c r="D20" i="12" s="1"/>
  <c r="C21" i="12"/>
  <c r="D21" i="12" s="1"/>
  <c r="C22" i="12"/>
  <c r="D22" i="12" s="1"/>
  <c r="C24" i="12"/>
  <c r="C25" i="12"/>
  <c r="D25" i="12" s="1"/>
  <c r="C26" i="12"/>
  <c r="D26" i="12" s="1"/>
  <c r="C27" i="12"/>
  <c r="C28" i="12"/>
  <c r="D28" i="12" s="1"/>
  <c r="C29" i="12"/>
  <c r="C30" i="12"/>
  <c r="C31" i="12"/>
  <c r="C32" i="12"/>
  <c r="C34" i="12"/>
  <c r="D34" i="12" s="1"/>
  <c r="C35" i="12"/>
  <c r="D35" i="12" s="1"/>
  <c r="C36" i="12"/>
  <c r="D36" i="12" s="1"/>
  <c r="C37" i="12"/>
  <c r="D37" i="12" s="1"/>
  <c r="C38" i="12"/>
  <c r="D38" i="12" s="1"/>
  <c r="C39" i="12"/>
  <c r="D39" i="12" s="1"/>
  <c r="C40" i="12"/>
  <c r="D40" i="12" s="1"/>
  <c r="C42" i="12"/>
  <c r="D42" i="12" s="1"/>
  <c r="C43" i="12"/>
  <c r="C44" i="12"/>
  <c r="D44" i="12" s="1"/>
  <c r="C45" i="12"/>
  <c r="C8" i="12"/>
  <c r="C9" i="12"/>
  <c r="D9" i="12" s="1"/>
  <c r="C10" i="12"/>
  <c r="D10" i="12" s="1"/>
  <c r="I11" i="10"/>
  <c r="I12" i="10"/>
  <c r="I13" i="10"/>
  <c r="I15" i="10"/>
  <c r="I16" i="10"/>
  <c r="I17" i="10"/>
  <c r="I18" i="10"/>
  <c r="I20" i="10"/>
  <c r="I21" i="10"/>
  <c r="I22" i="10"/>
  <c r="I23" i="10"/>
  <c r="I24" i="10"/>
  <c r="I25" i="10"/>
  <c r="I27" i="10"/>
  <c r="I28" i="10"/>
  <c r="I29" i="10"/>
  <c r="I30" i="10"/>
  <c r="I31" i="10"/>
  <c r="I32" i="10"/>
  <c r="I33" i="10"/>
  <c r="I34" i="10"/>
  <c r="I35" i="10"/>
  <c r="I37" i="10"/>
  <c r="I38" i="10"/>
  <c r="I39" i="10"/>
  <c r="I41" i="10"/>
  <c r="I42" i="10"/>
  <c r="I43" i="10"/>
  <c r="I44" i="10"/>
  <c r="I45" i="10"/>
  <c r="I46" i="10"/>
  <c r="I47" i="10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10" i="9"/>
  <c r="I11" i="9"/>
  <c r="I12" i="9"/>
  <c r="I13" i="9"/>
  <c r="I9" i="9"/>
  <c r="D8" i="3"/>
  <c r="M45" i="14" l="1"/>
  <c r="G48" i="7"/>
  <c r="AU7" i="14"/>
  <c r="AX18" i="14"/>
  <c r="AX11" i="14"/>
  <c r="AX41" i="14"/>
  <c r="AX23" i="14"/>
  <c r="AX21" i="14"/>
  <c r="AX19" i="14"/>
  <c r="AX10" i="14"/>
  <c r="AX38" i="14"/>
  <c r="AX25" i="14"/>
  <c r="AX29" i="14"/>
  <c r="AX44" i="14"/>
  <c r="AX36" i="14"/>
  <c r="AX43" i="14"/>
  <c r="AX9" i="14"/>
  <c r="AX33" i="14"/>
  <c r="AX30" i="14"/>
  <c r="AX26" i="14"/>
  <c r="AX22" i="14"/>
  <c r="AX27" i="14"/>
  <c r="AX17" i="14"/>
  <c r="AX40" i="14"/>
  <c r="AX8" i="14"/>
  <c r="AX34" i="14"/>
  <c r="AX32" i="14"/>
  <c r="AX14" i="14"/>
  <c r="AX42" i="14"/>
  <c r="AX24" i="14"/>
  <c r="AX35" i="14"/>
  <c r="AX16" i="14"/>
  <c r="AX20" i="14"/>
  <c r="AX15" i="14"/>
  <c r="AX28" i="14"/>
  <c r="AX31" i="14"/>
  <c r="AX12" i="14"/>
  <c r="AX37" i="14"/>
  <c r="AX13" i="14"/>
  <c r="AX39" i="14"/>
  <c r="AX45" i="14"/>
  <c r="S7" i="14"/>
  <c r="V22" i="14"/>
  <c r="V25" i="14"/>
  <c r="V27" i="14"/>
  <c r="V21" i="14"/>
  <c r="V16" i="14"/>
  <c r="V30" i="14"/>
  <c r="V38" i="14"/>
  <c r="V42" i="14"/>
  <c r="V12" i="14"/>
  <c r="V28" i="14"/>
  <c r="V13" i="14"/>
  <c r="V18" i="14"/>
  <c r="V14" i="14"/>
  <c r="V29" i="14"/>
  <c r="V15" i="14"/>
  <c r="V26" i="14"/>
  <c r="V43" i="14"/>
  <c r="V36" i="14"/>
  <c r="V20" i="14"/>
  <c r="V23" i="14"/>
  <c r="V32" i="14"/>
  <c r="V11" i="14"/>
  <c r="V33" i="14"/>
  <c r="V34" i="14"/>
  <c r="V37" i="14"/>
  <c r="V10" i="14"/>
  <c r="V44" i="14"/>
  <c r="V31" i="14"/>
  <c r="V41" i="14"/>
  <c r="V39" i="14"/>
  <c r="V19" i="14"/>
  <c r="V8" i="14"/>
  <c r="V40" i="14"/>
  <c r="V35" i="14"/>
  <c r="V17" i="14"/>
  <c r="V9" i="14"/>
  <c r="V24" i="14"/>
  <c r="V45" i="14"/>
  <c r="I11" i="14"/>
  <c r="I45" i="14" s="1"/>
  <c r="BB7" i="14"/>
  <c r="BB36" i="14"/>
  <c r="AC11" i="14"/>
  <c r="AG11" i="14"/>
  <c r="AH11" i="14" s="1"/>
  <c r="BB19" i="14"/>
  <c r="BB17" i="14"/>
  <c r="AC16" i="14"/>
  <c r="BB15" i="14"/>
  <c r="BB22" i="14"/>
  <c r="BB26" i="14"/>
  <c r="AK11" i="14"/>
  <c r="AH24" i="14"/>
  <c r="AH30" i="14"/>
  <c r="AH22" i="14"/>
  <c r="BA23" i="14"/>
  <c r="BB23" i="14" s="1"/>
  <c r="BB25" i="14"/>
  <c r="AG23" i="14"/>
  <c r="AH23" i="14" s="1"/>
  <c r="AH25" i="14"/>
  <c r="AH20" i="14"/>
  <c r="AH26" i="14"/>
  <c r="AH39" i="14"/>
  <c r="AH10" i="14"/>
  <c r="E19" i="14"/>
  <c r="D57" i="15" s="1"/>
  <c r="AH27" i="14"/>
  <c r="BB27" i="14"/>
  <c r="AG16" i="14"/>
  <c r="AH16" i="14" s="1"/>
  <c r="BB40" i="14"/>
  <c r="AH19" i="14"/>
  <c r="AH21" i="14"/>
  <c r="BB38" i="14"/>
  <c r="BB41" i="14"/>
  <c r="BB9" i="14"/>
  <c r="AH12" i="14"/>
  <c r="AH14" i="14"/>
  <c r="AK16" i="14"/>
  <c r="E18" i="14"/>
  <c r="D56" i="15" s="1"/>
  <c r="E22" i="14"/>
  <c r="D60" i="15" s="1"/>
  <c r="BA16" i="14"/>
  <c r="BB16" i="14" s="1"/>
  <c r="AH18" i="14"/>
  <c r="AH32" i="14"/>
  <c r="E17" i="14"/>
  <c r="D55" i="15" s="1"/>
  <c r="AC23" i="14"/>
  <c r="AH34" i="14"/>
  <c r="AH33" i="14"/>
  <c r="E31" i="14"/>
  <c r="D77" i="15" s="1"/>
  <c r="BB12" i="14"/>
  <c r="AH15" i="14"/>
  <c r="E32" i="14"/>
  <c r="D78" i="15" s="1"/>
  <c r="AH35" i="14"/>
  <c r="AH36" i="14"/>
  <c r="AH42" i="14"/>
  <c r="AH43" i="14"/>
  <c r="AH44" i="14"/>
  <c r="Q11" i="14"/>
  <c r="Q45" i="14" s="1"/>
  <c r="V7" i="14"/>
  <c r="BB14" i="14"/>
  <c r="AH40" i="14"/>
  <c r="E26" i="14"/>
  <c r="D72" i="15" s="1"/>
  <c r="E27" i="14"/>
  <c r="D73" i="15" s="1"/>
  <c r="E10" i="14"/>
  <c r="D27" i="15" s="1"/>
  <c r="E30" i="14"/>
  <c r="D76" i="15" s="1"/>
  <c r="BB35" i="14"/>
  <c r="E42" i="14"/>
  <c r="D115" i="15" s="1"/>
  <c r="BB8" i="14"/>
  <c r="BB10" i="14"/>
  <c r="AH17" i="14"/>
  <c r="AH31" i="14"/>
  <c r="E35" i="14"/>
  <c r="D86" i="15" s="1"/>
  <c r="E36" i="14"/>
  <c r="D87" i="15" s="1"/>
  <c r="BB39" i="14"/>
  <c r="E43" i="14"/>
  <c r="D116" i="15" s="1"/>
  <c r="E15" i="14"/>
  <c r="D43" i="15" s="1"/>
  <c r="AH41" i="14"/>
  <c r="E40" i="14"/>
  <c r="D102" i="15" s="1"/>
  <c r="E41" i="14"/>
  <c r="D114" i="15" s="1"/>
  <c r="AH9" i="14"/>
  <c r="AH28" i="14"/>
  <c r="D7" i="12"/>
  <c r="AC45" i="14" l="1"/>
  <c r="AG45" i="14"/>
  <c r="AH45" i="14" s="1"/>
  <c r="BB37" i="14"/>
  <c r="E25" i="14"/>
  <c r="D71" i="15" s="1"/>
  <c r="AH8" i="14"/>
  <c r="AH7" i="14"/>
  <c r="BA11" i="14"/>
  <c r="BA45" i="14" s="1"/>
  <c r="AH38" i="14"/>
  <c r="BB34" i="14"/>
  <c r="E14" i="14"/>
  <c r="D42" i="15" s="1"/>
  <c r="E38" i="14"/>
  <c r="D100" i="15" s="1"/>
  <c r="AX7" i="14"/>
  <c r="AP7" i="14"/>
  <c r="E39" i="14"/>
  <c r="D101" i="15" s="1"/>
  <c r="E12" i="14"/>
  <c r="D40" i="15" s="1"/>
  <c r="E24" i="14"/>
  <c r="D70" i="15" s="1"/>
  <c r="AK23" i="14"/>
  <c r="AK45" i="14" s="1"/>
  <c r="E34" i="14"/>
  <c r="D85" i="15" s="1"/>
  <c r="E8" i="14"/>
  <c r="D25" i="15" s="1"/>
  <c r="E16" i="14"/>
  <c r="D54" i="15" l="1"/>
  <c r="BB11" i="14"/>
  <c r="BB45" i="14"/>
  <c r="BB33" i="14"/>
  <c r="AH37" i="14"/>
  <c r="E11" i="14"/>
  <c r="D39" i="15" s="1"/>
  <c r="E7" i="14"/>
  <c r="D24" i="15" s="1"/>
  <c r="E23" i="14"/>
  <c r="D69" i="15" s="1"/>
  <c r="E37" i="14"/>
  <c r="D99" i="15" s="1"/>
  <c r="E33" i="14"/>
  <c r="D84" i="15" s="1"/>
  <c r="E45" i="14" l="1"/>
  <c r="G10" i="8"/>
  <c r="D42" i="3"/>
  <c r="D34" i="3"/>
  <c r="D24" i="3"/>
  <c r="D17" i="3"/>
  <c r="D12" i="3"/>
  <c r="G44" i="8"/>
  <c r="G40" i="8"/>
  <c r="G36" i="8"/>
  <c r="G26" i="8"/>
  <c r="G14" i="8"/>
  <c r="Q23" i="13"/>
  <c r="Q28" i="13"/>
  <c r="H6" i="13"/>
  <c r="G44" i="13"/>
  <c r="Q26" i="13"/>
  <c r="R28" i="13"/>
  <c r="R27" i="13"/>
  <c r="R26" i="13"/>
  <c r="R25" i="13"/>
  <c r="R24" i="13"/>
  <c r="R23" i="13"/>
  <c r="R22" i="13"/>
  <c r="Q25" i="13"/>
  <c r="Q24" i="13"/>
  <c r="M10" i="13"/>
  <c r="D46" i="2"/>
  <c r="Q29" i="12"/>
  <c r="Q28" i="12"/>
  <c r="Q27" i="12"/>
  <c r="Q26" i="12"/>
  <c r="Q25" i="12"/>
  <c r="Q24" i="12"/>
  <c r="Q23" i="12"/>
  <c r="P28" i="9"/>
  <c r="P27" i="9"/>
  <c r="P26" i="9"/>
  <c r="P25" i="9"/>
  <c r="P24" i="9"/>
  <c r="P23" i="9"/>
  <c r="P22" i="9"/>
  <c r="G10" i="9"/>
  <c r="G9" i="9" s="1"/>
  <c r="G11" i="9"/>
  <c r="G12" i="9"/>
  <c r="G17" i="9"/>
  <c r="G13" i="9" s="1"/>
  <c r="G18" i="9"/>
  <c r="G19" i="9"/>
  <c r="G20" i="9"/>
  <c r="G21" i="9"/>
  <c r="G24" i="9"/>
  <c r="G27" i="9"/>
  <c r="G25" i="9" s="1"/>
  <c r="G35" i="9"/>
  <c r="G39" i="9"/>
  <c r="P29" i="10"/>
  <c r="P29" i="12"/>
  <c r="P28" i="12"/>
  <c r="P27" i="12"/>
  <c r="P26" i="12"/>
  <c r="P25" i="12"/>
  <c r="P24" i="12"/>
  <c r="L11" i="12"/>
  <c r="F45" i="12"/>
  <c r="P27" i="8" l="1"/>
  <c r="P26" i="8"/>
  <c r="P28" i="8"/>
  <c r="P24" i="8"/>
  <c r="P29" i="8"/>
  <c r="P23" i="8"/>
  <c r="K7" i="14" a="1"/>
  <c r="Q27" i="13"/>
  <c r="Q22" i="13"/>
  <c r="N10" i="14" l="1"/>
  <c r="N26" i="14"/>
  <c r="N42" i="14"/>
  <c r="N27" i="14"/>
  <c r="N43" i="14"/>
  <c r="N12" i="14"/>
  <c r="N28" i="14"/>
  <c r="N44" i="14"/>
  <c r="N13" i="14"/>
  <c r="N29" i="14"/>
  <c r="N14" i="14"/>
  <c r="N30" i="14"/>
  <c r="N15" i="14"/>
  <c r="N31" i="14"/>
  <c r="N32" i="14"/>
  <c r="N17" i="14"/>
  <c r="N18" i="14"/>
  <c r="N34" i="14"/>
  <c r="N19" i="14"/>
  <c r="N35" i="14"/>
  <c r="N20" i="14"/>
  <c r="N36" i="14"/>
  <c r="N21" i="14"/>
  <c r="N22" i="14"/>
  <c r="N38" i="14"/>
  <c r="N39" i="14"/>
  <c r="N8" i="14"/>
  <c r="N24" i="14"/>
  <c r="N40" i="14"/>
  <c r="N9" i="14"/>
  <c r="N25" i="14"/>
  <c r="N23" i="14"/>
  <c r="N16" i="14"/>
  <c r="N11" i="14"/>
  <c r="N45" i="14"/>
  <c r="N33" i="14"/>
  <c r="N37" i="14"/>
  <c r="N41" i="14"/>
  <c r="K7" i="14"/>
  <c r="N7" i="14" s="1"/>
  <c r="G43" i="9" l="1"/>
  <c r="H45" i="6" l="1"/>
  <c r="F45" i="6"/>
  <c r="C45" i="6" s="1"/>
  <c r="H44" i="6"/>
  <c r="F44" i="6"/>
  <c r="H43" i="6"/>
  <c r="F43" i="6"/>
  <c r="H42" i="6"/>
  <c r="E42" i="6"/>
  <c r="F42" i="6" s="1"/>
  <c r="C42" i="6" s="1"/>
  <c r="H41" i="6"/>
  <c r="F41" i="6"/>
  <c r="H40" i="6"/>
  <c r="F40" i="6"/>
  <c r="H39" i="6"/>
  <c r="F39" i="6"/>
  <c r="C39" i="6" s="1"/>
  <c r="H38" i="6"/>
  <c r="E38" i="6"/>
  <c r="F38" i="6" s="1"/>
  <c r="C38" i="6" s="1"/>
  <c r="H37" i="6"/>
  <c r="F37" i="6"/>
  <c r="H36" i="6"/>
  <c r="F36" i="6"/>
  <c r="H35" i="6"/>
  <c r="F35" i="6"/>
  <c r="H34" i="6"/>
  <c r="E34" i="6"/>
  <c r="F34" i="6" s="1"/>
  <c r="H33" i="6"/>
  <c r="F33" i="6"/>
  <c r="H32" i="6"/>
  <c r="F32" i="6"/>
  <c r="H31" i="6"/>
  <c r="F31" i="6"/>
  <c r="H30" i="6"/>
  <c r="F30" i="6"/>
  <c r="H29" i="6"/>
  <c r="F29" i="6"/>
  <c r="C29" i="6" s="1"/>
  <c r="H28" i="6"/>
  <c r="F28" i="6"/>
  <c r="C28" i="6" s="1"/>
  <c r="H27" i="6"/>
  <c r="F27" i="6"/>
  <c r="H26" i="6"/>
  <c r="F26" i="6"/>
  <c r="C26" i="6" s="1"/>
  <c r="H25" i="6"/>
  <c r="F25" i="6"/>
  <c r="H24" i="6"/>
  <c r="E24" i="6"/>
  <c r="F24" i="6" s="1"/>
  <c r="C24" i="6" s="1"/>
  <c r="H23" i="6"/>
  <c r="F23" i="6"/>
  <c r="H22" i="6"/>
  <c r="F22" i="6"/>
  <c r="C22" i="6" s="1"/>
  <c r="H21" i="6"/>
  <c r="F21" i="6"/>
  <c r="C21" i="6" s="1"/>
  <c r="H20" i="6"/>
  <c r="F20" i="6"/>
  <c r="C20" i="6" s="1"/>
  <c r="H19" i="6"/>
  <c r="F19" i="6"/>
  <c r="H18" i="6"/>
  <c r="F18" i="6"/>
  <c r="C18" i="6" s="1"/>
  <c r="G17" i="6"/>
  <c r="H17" i="6" s="1"/>
  <c r="E17" i="6"/>
  <c r="F17" i="6" s="1"/>
  <c r="H16" i="6"/>
  <c r="F16" i="6"/>
  <c r="C16" i="6" s="1"/>
  <c r="H15" i="6"/>
  <c r="F15" i="6"/>
  <c r="C15" i="6" s="1"/>
  <c r="H14" i="6"/>
  <c r="F14" i="6"/>
  <c r="C14" i="6" s="1"/>
  <c r="H13" i="6"/>
  <c r="F13" i="6"/>
  <c r="C13" i="6" s="1"/>
  <c r="H12" i="6"/>
  <c r="E12" i="6"/>
  <c r="F12" i="6" s="1"/>
  <c r="C12" i="6" s="1"/>
  <c r="H11" i="6"/>
  <c r="F11" i="6"/>
  <c r="C11" i="6" s="1"/>
  <c r="H10" i="6"/>
  <c r="F10" i="6"/>
  <c r="C10" i="6" s="1"/>
  <c r="H9" i="6"/>
  <c r="F9" i="6"/>
  <c r="C9" i="6" s="1"/>
  <c r="G8" i="6"/>
  <c r="H8" i="6" s="1"/>
  <c r="E8" i="6"/>
  <c r="C17" i="6" l="1"/>
  <c r="C25" i="6"/>
  <c r="C44" i="6"/>
  <c r="C32" i="6"/>
  <c r="C33" i="6"/>
  <c r="C19" i="6"/>
  <c r="C30" i="6"/>
  <c r="C31" i="6"/>
  <c r="C23" i="6"/>
  <c r="C27" i="6"/>
  <c r="C43" i="6"/>
  <c r="E46" i="6"/>
  <c r="F46" i="6" s="1"/>
  <c r="F8" i="6"/>
  <c r="C8" i="6" s="1"/>
  <c r="G46" i="6"/>
  <c r="H46" i="6" s="1"/>
  <c r="G40" i="10"/>
  <c r="G36" i="10"/>
  <c r="G26" i="10"/>
  <c r="G19" i="10"/>
  <c r="G14" i="10"/>
  <c r="G10" i="10"/>
  <c r="G19" i="8" l="1"/>
  <c r="G48" i="8" s="1"/>
  <c r="C46" i="6"/>
  <c r="AA7" i="14" s="1" a="1"/>
  <c r="I14" i="10"/>
  <c r="P24" i="10"/>
  <c r="I36" i="10"/>
  <c r="P27" i="10"/>
  <c r="I10" i="10"/>
  <c r="P23" i="10"/>
  <c r="I19" i="10"/>
  <c r="P25" i="10"/>
  <c r="I26" i="10"/>
  <c r="P26" i="10"/>
  <c r="G48" i="10"/>
  <c r="I48" i="10" s="1"/>
  <c r="I40" i="10"/>
  <c r="P28" i="10"/>
  <c r="AL15" i="14" l="1"/>
  <c r="P25" i="8"/>
  <c r="AA7" i="14"/>
  <c r="AD7" i="14" s="1"/>
  <c r="AD42" i="14"/>
  <c r="AD34" i="14"/>
  <c r="AD28" i="14"/>
  <c r="AD26" i="14"/>
  <c r="AD18" i="14"/>
  <c r="AD14" i="14"/>
  <c r="AD36" i="14"/>
  <c r="AD43" i="14"/>
  <c r="AD10" i="14"/>
  <c r="AD17" i="14"/>
  <c r="AD44" i="14"/>
  <c r="AD20" i="14"/>
  <c r="AD25" i="14"/>
  <c r="AD32" i="14"/>
  <c r="AD9" i="14"/>
  <c r="AD31" i="14"/>
  <c r="AD13" i="14"/>
  <c r="AD40" i="14"/>
  <c r="AD15" i="14"/>
  <c r="AD35" i="14"/>
  <c r="AD24" i="14"/>
  <c r="AD30" i="14"/>
  <c r="AD12" i="14"/>
  <c r="AD8" i="14"/>
  <c r="AD21" i="14"/>
  <c r="AD39" i="14"/>
  <c r="AD29" i="14"/>
  <c r="AD27" i="14"/>
  <c r="AD38" i="14"/>
  <c r="AD19" i="14"/>
  <c r="AD22" i="14"/>
  <c r="AD33" i="14"/>
  <c r="AD37" i="14"/>
  <c r="AD41" i="14"/>
  <c r="AD16" i="14"/>
  <c r="AD11" i="14"/>
  <c r="AD23" i="14"/>
  <c r="AD45" i="14"/>
  <c r="AQ7" i="14" a="1"/>
  <c r="D40" i="3"/>
  <c r="D39" i="3"/>
  <c r="AL12" i="14" l="1"/>
  <c r="AL20" i="14"/>
  <c r="AL24" i="14"/>
  <c r="AL42" i="14"/>
  <c r="AL21" i="14"/>
  <c r="AL22" i="14"/>
  <c r="AL36" i="14"/>
  <c r="AL14" i="14"/>
  <c r="AL10" i="14"/>
  <c r="AL38" i="14"/>
  <c r="AL18" i="14"/>
  <c r="AL35" i="14"/>
  <c r="AL8" i="14"/>
  <c r="AL32" i="14"/>
  <c r="AL33" i="14"/>
  <c r="AL41" i="14"/>
  <c r="AL39" i="14"/>
  <c r="AL31" i="14"/>
  <c r="AL30" i="14"/>
  <c r="AL40" i="14"/>
  <c r="AL37" i="14"/>
  <c r="AL26" i="14"/>
  <c r="AL34" i="14"/>
  <c r="AL13" i="14"/>
  <c r="AL27" i="14"/>
  <c r="AL45" i="14"/>
  <c r="AL23" i="14"/>
  <c r="AL25" i="14"/>
  <c r="AL16" i="14"/>
  <c r="AL28" i="14"/>
  <c r="AL29" i="14"/>
  <c r="AL11" i="14"/>
  <c r="AL43" i="14"/>
  <c r="AL7" i="14"/>
  <c r="AL19" i="14"/>
  <c r="AL44" i="14"/>
  <c r="AL9" i="14"/>
  <c r="AL17" i="14"/>
  <c r="D38" i="3"/>
  <c r="D46" i="3" s="1"/>
  <c r="AQ7" i="14"/>
  <c r="AT7" i="14" s="1"/>
  <c r="AT45" i="14"/>
  <c r="AT18" i="14"/>
  <c r="AT20" i="14"/>
  <c r="AT38" i="14"/>
  <c r="AT35" i="14"/>
  <c r="AT26" i="14"/>
  <c r="AT22" i="14"/>
  <c r="AT21" i="14"/>
  <c r="AT17" i="14"/>
  <c r="AT25" i="14"/>
  <c r="AT36" i="14"/>
  <c r="AT33" i="14"/>
  <c r="AT23" i="14"/>
  <c r="AT14" i="14"/>
  <c r="AT29" i="14"/>
  <c r="AT27" i="14"/>
  <c r="AT16" i="14"/>
  <c r="AT11" i="14"/>
  <c r="AT9" i="14"/>
  <c r="AT42" i="14"/>
  <c r="AT31" i="14"/>
  <c r="AT44" i="14"/>
  <c r="AT41" i="14"/>
  <c r="AT10" i="14"/>
  <c r="AT12" i="14"/>
  <c r="AT43" i="14"/>
  <c r="AT40" i="14"/>
  <c r="AT28" i="14"/>
  <c r="AT15" i="14"/>
  <c r="AT13" i="14"/>
  <c r="AT32" i="14"/>
  <c r="AT19" i="14"/>
  <c r="AT24" i="14"/>
  <c r="AT30" i="14"/>
  <c r="AT34" i="14"/>
  <c r="AT8" i="14"/>
  <c r="AT39" i="14"/>
  <c r="AT37" i="14"/>
  <c r="K51" i="1"/>
  <c r="F13" i="1"/>
  <c r="O7" i="14" l="1" a="1"/>
  <c r="I14" i="1"/>
  <c r="I15" i="1"/>
  <c r="I16" i="1"/>
  <c r="I17" i="1"/>
  <c r="I18" i="1"/>
  <c r="I19" i="1"/>
  <c r="I20" i="1"/>
  <c r="I21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G15" i="1"/>
  <c r="C9" i="1" s="1"/>
  <c r="G16" i="1"/>
  <c r="C10" i="1" s="1"/>
  <c r="G18" i="1"/>
  <c r="C12" i="1" s="1"/>
  <c r="G19" i="1"/>
  <c r="C13" i="1" s="1"/>
  <c r="G20" i="1"/>
  <c r="C14" i="1" s="1"/>
  <c r="G21" i="1"/>
  <c r="C15" i="1" s="1"/>
  <c r="G23" i="1"/>
  <c r="C17" i="1" s="1"/>
  <c r="G24" i="1"/>
  <c r="C18" i="1" s="1"/>
  <c r="G25" i="1"/>
  <c r="C19" i="1" s="1"/>
  <c r="G26" i="1"/>
  <c r="C20" i="1" s="1"/>
  <c r="G27" i="1"/>
  <c r="C21" i="1" s="1"/>
  <c r="G28" i="1"/>
  <c r="C22" i="1" s="1"/>
  <c r="G30" i="1"/>
  <c r="C24" i="1" s="1"/>
  <c r="G31" i="1"/>
  <c r="C25" i="1" s="1"/>
  <c r="G32" i="1"/>
  <c r="C26" i="1" s="1"/>
  <c r="G33" i="1"/>
  <c r="C27" i="1" s="1"/>
  <c r="G34" i="1"/>
  <c r="C28" i="1" s="1"/>
  <c r="G35" i="1"/>
  <c r="C29" i="1" s="1"/>
  <c r="G36" i="1"/>
  <c r="C30" i="1" s="1"/>
  <c r="G37" i="1"/>
  <c r="C31" i="1" s="1"/>
  <c r="G38" i="1"/>
  <c r="C32" i="1" s="1"/>
  <c r="G40" i="1"/>
  <c r="C34" i="1" s="1"/>
  <c r="G41" i="1"/>
  <c r="C35" i="1" s="1"/>
  <c r="G42" i="1"/>
  <c r="C36" i="1" s="1"/>
  <c r="G44" i="1"/>
  <c r="C38" i="1" s="1"/>
  <c r="G45" i="1"/>
  <c r="C39" i="1" s="1"/>
  <c r="G46" i="1"/>
  <c r="C40" i="1" s="1"/>
  <c r="G48" i="1"/>
  <c r="C42" i="1" s="1"/>
  <c r="G49" i="1"/>
  <c r="C43" i="1" s="1"/>
  <c r="G50" i="1"/>
  <c r="C44" i="1" s="1"/>
  <c r="H22" i="1"/>
  <c r="I22" i="1" s="1"/>
  <c r="H13" i="1"/>
  <c r="I13" i="1" s="1"/>
  <c r="F47" i="1"/>
  <c r="G47" i="1" s="1"/>
  <c r="F43" i="1"/>
  <c r="G43" i="1" s="1"/>
  <c r="F39" i="1"/>
  <c r="G39" i="1" s="1"/>
  <c r="F29" i="1"/>
  <c r="G29" i="1" s="1"/>
  <c r="F22" i="1"/>
  <c r="G22" i="1" s="1"/>
  <c r="F17" i="1"/>
  <c r="G17" i="1" s="1"/>
  <c r="G13" i="1"/>
  <c r="C41" i="1" l="1"/>
  <c r="O7" i="14"/>
  <c r="R7" i="14" s="1"/>
  <c r="R21" i="14"/>
  <c r="R29" i="14"/>
  <c r="R17" i="14"/>
  <c r="R25" i="14"/>
  <c r="R43" i="14"/>
  <c r="R14" i="14"/>
  <c r="R16" i="14"/>
  <c r="R26" i="14"/>
  <c r="R44" i="14"/>
  <c r="R18" i="14"/>
  <c r="R8" i="14"/>
  <c r="R27" i="14"/>
  <c r="R33" i="14"/>
  <c r="R28" i="14"/>
  <c r="R40" i="14"/>
  <c r="R19" i="14"/>
  <c r="R24" i="14"/>
  <c r="R35" i="14"/>
  <c r="R10" i="14"/>
  <c r="R41" i="14"/>
  <c r="R22" i="14"/>
  <c r="R32" i="14"/>
  <c r="R30" i="14"/>
  <c r="R31" i="14"/>
  <c r="R34" i="14"/>
  <c r="R20" i="14"/>
  <c r="R13" i="14"/>
  <c r="R12" i="14"/>
  <c r="R23" i="14"/>
  <c r="R39" i="14"/>
  <c r="R36" i="14"/>
  <c r="R42" i="14"/>
  <c r="R9" i="14"/>
  <c r="R15" i="14"/>
  <c r="R11" i="14"/>
  <c r="R38" i="14"/>
  <c r="R45" i="14"/>
  <c r="R37" i="14"/>
  <c r="C11" i="1"/>
  <c r="C7" i="1"/>
  <c r="C37" i="1"/>
  <c r="C33" i="1"/>
  <c r="C16" i="1"/>
  <c r="C23" i="1"/>
  <c r="F51" i="1"/>
  <c r="G51" i="1" s="1"/>
  <c r="H51" i="1"/>
  <c r="I51" i="1" s="1"/>
  <c r="C45" i="1" l="1"/>
  <c r="G7" i="14" s="1" a="1"/>
  <c r="J24" i="14" s="1"/>
  <c r="G47" i="9"/>
  <c r="C13" i="14" l="1"/>
  <c r="C41" i="15" s="1"/>
  <c r="J35" i="14"/>
  <c r="J31" i="14"/>
  <c r="C40" i="14"/>
  <c r="C102" i="15" s="1"/>
  <c r="J27" i="14"/>
  <c r="C17" i="14"/>
  <c r="C55" i="15" s="1"/>
  <c r="J19" i="14"/>
  <c r="C16" i="14"/>
  <c r="C54" i="15" s="1"/>
  <c r="C9" i="14"/>
  <c r="C26" i="15" s="1"/>
  <c r="J22" i="14"/>
  <c r="C25" i="14"/>
  <c r="C71" i="15" s="1"/>
  <c r="C44" i="14"/>
  <c r="C117" i="15" s="1"/>
  <c r="J45" i="14"/>
  <c r="C24" i="14"/>
  <c r="C70" i="15" s="1"/>
  <c r="C8" i="14"/>
  <c r="C25" i="15" s="1"/>
  <c r="J30" i="14"/>
  <c r="C43" i="14"/>
  <c r="C116" i="15" s="1"/>
  <c r="J33" i="14"/>
  <c r="J15" i="14"/>
  <c r="J29" i="14"/>
  <c r="C35" i="14"/>
  <c r="C86" i="15" s="1"/>
  <c r="C31" i="14"/>
  <c r="C77" i="15" s="1"/>
  <c r="J8" i="14"/>
  <c r="C12" i="14"/>
  <c r="C40" i="15" s="1"/>
  <c r="C15" i="14"/>
  <c r="C43" i="15" s="1"/>
  <c r="J34" i="14"/>
  <c r="C33" i="14"/>
  <c r="C84" i="15" s="1"/>
  <c r="C36" i="14"/>
  <c r="C87" i="15" s="1"/>
  <c r="C20" i="14"/>
  <c r="C58" i="15" s="1"/>
  <c r="J18" i="14"/>
  <c r="C39" i="14"/>
  <c r="C101" i="15" s="1"/>
  <c r="C23" i="14"/>
  <c r="C69" i="15" s="1"/>
  <c r="J17" i="14"/>
  <c r="C19" i="14"/>
  <c r="C57" i="15" s="1"/>
  <c r="J25" i="14"/>
  <c r="C22" i="14"/>
  <c r="C60" i="15" s="1"/>
  <c r="C30" i="14"/>
  <c r="C76" i="15" s="1"/>
  <c r="C37" i="14"/>
  <c r="C99" i="15" s="1"/>
  <c r="J43" i="14"/>
  <c r="C28" i="14"/>
  <c r="C74" i="15" s="1"/>
  <c r="J11" i="14"/>
  <c r="C32" i="14"/>
  <c r="C78" i="15" s="1"/>
  <c r="J42" i="14"/>
  <c r="J38" i="14"/>
  <c r="C27" i="14"/>
  <c r="C73" i="15" s="1"/>
  <c r="J14" i="14"/>
  <c r="J13" i="14"/>
  <c r="C42" i="14"/>
  <c r="C115" i="15" s="1"/>
  <c r="J21" i="14"/>
  <c r="J23" i="14"/>
  <c r="C26" i="14"/>
  <c r="C72" i="15" s="1"/>
  <c r="J9" i="14"/>
  <c r="C45" i="14"/>
  <c r="F45" i="14" s="1"/>
  <c r="C10" i="14"/>
  <c r="C27" i="15" s="1"/>
  <c r="J44" i="14"/>
  <c r="C34" i="14"/>
  <c r="C85" i="15" s="1"/>
  <c r="C14" i="14"/>
  <c r="C42" i="15" s="1"/>
  <c r="C21" i="14"/>
  <c r="C59" i="15" s="1"/>
  <c r="G7" i="14"/>
  <c r="J39" i="14"/>
  <c r="J41" i="14"/>
  <c r="J37" i="14"/>
  <c r="J26" i="14"/>
  <c r="J10" i="14"/>
  <c r="C11" i="14"/>
  <c r="C39" i="15" s="1"/>
  <c r="J16" i="14"/>
  <c r="C38" i="14"/>
  <c r="C100" i="15" s="1"/>
  <c r="C29" i="14"/>
  <c r="C75" i="15" s="1"/>
  <c r="J32" i="14"/>
  <c r="J28" i="14"/>
  <c r="C18" i="14"/>
  <c r="C56" i="15" s="1"/>
  <c r="J36" i="14"/>
  <c r="C41" i="14"/>
  <c r="C114" i="15" s="1"/>
  <c r="J12" i="14"/>
  <c r="J40" i="14"/>
  <c r="J20" i="14"/>
  <c r="J7" i="14"/>
  <c r="P23" i="12"/>
  <c r="F30" i="14" l="1"/>
  <c r="F27" i="14"/>
  <c r="F28" i="14"/>
  <c r="F14" i="14"/>
  <c r="F19" i="14"/>
  <c r="F36" i="14"/>
  <c r="C7" i="14"/>
  <c r="F37" i="14"/>
  <c r="F34" i="14"/>
  <c r="F26" i="14"/>
  <c r="F39" i="14"/>
  <c r="F21" i="14"/>
  <c r="F41" i="14"/>
  <c r="F44" i="14"/>
  <c r="F42" i="14"/>
  <c r="F8" i="14"/>
  <c r="F31" i="14"/>
  <c r="F23" i="14"/>
  <c r="F32" i="14"/>
  <c r="F16" i="14"/>
  <c r="F25" i="14"/>
  <c r="F43" i="14"/>
  <c r="F18" i="14"/>
  <c r="F9" i="14"/>
  <c r="F35" i="14"/>
  <c r="F22" i="14"/>
  <c r="F40" i="14"/>
  <c r="F17" i="14"/>
  <c r="F38" i="14"/>
  <c r="F10" i="14"/>
  <c r="F29" i="14"/>
  <c r="F24" i="14"/>
  <c r="F33" i="14"/>
  <c r="F11" i="14"/>
  <c r="F15" i="14"/>
  <c r="F13" i="14"/>
  <c r="F12" i="14"/>
  <c r="F20" i="14"/>
  <c r="Z7" i="14"/>
  <c r="F7" i="14" l="1"/>
  <c r="C24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2FD93-CA74-4708-9AFB-7B98D71180BE}" keepAlive="1" name="Spørring - Tabell1" description="Tilkobling til spørringen Tabell1 i arbeidsboken." type="5" refreshedVersion="8" background="1" saveData="1">
    <dbPr connection="Provider=Microsoft.Mashup.OleDb.1;Data Source=$Workbook$;Location=Tabell1;Extended Properties=&quot;&quot;" command="SELECT * FROM [Tabell1]"/>
  </connection>
  <connection id="2" xr16:uid="{96895C0B-F03E-4C59-87F5-57FDC8291E61}" keepAlive="1" name="Spørring - Tabell1 (2)" description="Tilkobling til spørringen Tabell1 (2) i arbeidsboken." type="5" refreshedVersion="8" background="1" saveData="1">
    <dbPr connection="Provider=Microsoft.Mashup.OleDb.1;Data Source=$Workbook$;Location=&quot;Tabell1 (2)&quot;;Extended Properties=&quot;&quot;" command="SELECT * FROM [Tabell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<sst xmlns="http://schemas.openxmlformats.org/spreadsheetml/2006/main" count="1426" uniqueCount="188">
  <si>
    <t>TOTAL COSTS</t>
  </si>
  <si>
    <t>Dir &amp; Indir (EUR)</t>
  </si>
  <si>
    <t>GreenOfshoreTech TOTAL (Period M1 to M10)</t>
  </si>
  <si>
    <t>Task/</t>
  </si>
  <si>
    <t>WP</t>
  </si>
  <si>
    <t>Actual</t>
  </si>
  <si>
    <t>% spend</t>
  </si>
  <si>
    <t>Assessment of potential new value chains and selection of Topics for Call of Proposals</t>
  </si>
  <si>
    <t>WP1</t>
  </si>
  <si>
    <t>Sustainable challenges, needs and trends of four industrial offshore sectors</t>
  </si>
  <si>
    <t>T1.1</t>
  </si>
  <si>
    <t>Assessment of emerging technology trends and solutions</t>
  </si>
  <si>
    <t>T1.2</t>
  </si>
  <si>
    <t>Potential new value chains and selection of Call Topics</t>
  </si>
  <si>
    <t xml:space="preserve">T1.3 </t>
  </si>
  <si>
    <t xml:space="preserve">Methodologies and tools for cross-sectoral/-border collaboration and technology transfer </t>
  </si>
  <si>
    <t>WP2</t>
  </si>
  <si>
    <t>Methologies and tools for cross-sectoral/-border collaboration and technology transfer</t>
  </si>
  <si>
    <t>T2.1</t>
  </si>
  <si>
    <t>Establishment of a Collaborative Virtual Environment</t>
  </si>
  <si>
    <t>T2.2</t>
  </si>
  <si>
    <t>Establishment of a Survey tool</t>
  </si>
  <si>
    <t>T2.3</t>
  </si>
  <si>
    <t>Establishment of the GreenOffshoreTech Cluster Collaboration Platform</t>
  </si>
  <si>
    <t>T2.4</t>
  </si>
  <si>
    <t>Direct financial support to SMEs  through a competitive Call for Proposals</t>
  </si>
  <si>
    <t>WP3</t>
  </si>
  <si>
    <t xml:space="preserve">Preparation of the Call for Proposals  </t>
  </si>
  <si>
    <t>T3.1</t>
  </si>
  <si>
    <t>Publication of the Call for Proposals and Proposal reception.</t>
  </si>
  <si>
    <t>T3.2</t>
  </si>
  <si>
    <t>Evaluation and Selection of SMEs Proposals</t>
  </si>
  <si>
    <t>T3.3</t>
  </si>
  <si>
    <t>Contracting with winner SMEs Projects</t>
  </si>
  <si>
    <t>T3.4</t>
  </si>
  <si>
    <t>Payments and financial monitoring of winner SMEs Projects</t>
  </si>
  <si>
    <t>T3.5</t>
  </si>
  <si>
    <t>Technical monitoring of winner SMEs Projects</t>
  </si>
  <si>
    <t>T3.6</t>
  </si>
  <si>
    <t>Business Support Services to winner SMEs  (preparation)</t>
  </si>
  <si>
    <t>WP4</t>
  </si>
  <si>
    <r>
      <t xml:space="preserve">Programme of Business Support Services to winner SMEs </t>
    </r>
    <r>
      <rPr>
        <b/>
        <sz val="11"/>
        <color rgb="FFFF0000"/>
        <rFont val="Calibri"/>
        <family val="2"/>
        <scheme val="minor"/>
      </rPr>
      <t>(prep)</t>
    </r>
  </si>
  <si>
    <t>T4.1</t>
  </si>
  <si>
    <t>Business Support Service #1 Business &amp; Tech Academy</t>
  </si>
  <si>
    <t>T4.2</t>
  </si>
  <si>
    <t>Business Support Service #2 Brokerage &amp; B2B matchmaking events</t>
  </si>
  <si>
    <t>T4.3</t>
  </si>
  <si>
    <t>Business Support Service #3 Access to Finance</t>
  </si>
  <si>
    <t>T4.4</t>
  </si>
  <si>
    <r>
      <t xml:space="preserve">Business Support Service #4 One-to-One Mentoring and Coaching </t>
    </r>
    <r>
      <rPr>
        <b/>
        <sz val="11"/>
        <color rgb="FFFF0000"/>
        <rFont val="Calibri"/>
        <family val="2"/>
        <scheme val="minor"/>
      </rPr>
      <t>(prep)</t>
    </r>
  </si>
  <si>
    <t>T4.5</t>
  </si>
  <si>
    <t>Business Support Service #5 Branding</t>
  </si>
  <si>
    <t>T4.6</t>
  </si>
  <si>
    <t xml:space="preserve">Business Support Service #6 Internationalisation </t>
  </si>
  <si>
    <t>T4.7</t>
  </si>
  <si>
    <t xml:space="preserve">Business Support Service #7 Investor pitching </t>
  </si>
  <si>
    <t>T4.8</t>
  </si>
  <si>
    <t xml:space="preserve">Business Support Service #8 Investor rounds </t>
  </si>
  <si>
    <t>T4.9</t>
  </si>
  <si>
    <t xml:space="preserve"> Large-scale Demonstrator (LSD) setup, validation, and impact assessment</t>
  </si>
  <si>
    <t>WP5</t>
  </si>
  <si>
    <t xml:space="preserve">Set-up of the GreenOffshoreTech LSD in GreenOffshoreTech regions  </t>
  </si>
  <si>
    <t>T5.1</t>
  </si>
  <si>
    <r>
      <t xml:space="preserve">Validation &amp; Impact assessment of GreenOffshoreTech LSD </t>
    </r>
    <r>
      <rPr>
        <b/>
        <sz val="11"/>
        <color rgb="FFFF0000"/>
        <rFont val="Calibri"/>
        <family val="2"/>
        <scheme val="minor"/>
      </rPr>
      <t>(data collection)</t>
    </r>
  </si>
  <si>
    <t>T5.2</t>
  </si>
  <si>
    <t xml:space="preserve">Guidelines of Best Practice to foster cross-sector/-border collaboration and technology transfer through Clusters                                                                                          </t>
  </si>
  <si>
    <t>T5.3</t>
  </si>
  <si>
    <t xml:space="preserve">Communication, Dissemination, Exploitation &amp; Sustainability  </t>
  </si>
  <si>
    <t>WP6</t>
  </si>
  <si>
    <t>Communication plan and Communication activities</t>
  </si>
  <si>
    <t>T6.1</t>
  </si>
  <si>
    <t>Dissemination strategy and Dissemination activities</t>
  </si>
  <si>
    <t>T6.2</t>
  </si>
  <si>
    <t xml:space="preserve">Exploitation strategy, IPR and Sustainability </t>
  </si>
  <si>
    <t>T6.3</t>
  </si>
  <si>
    <t>Project Management and Coordination</t>
  </si>
  <si>
    <t>WP7</t>
  </si>
  <si>
    <t>Project coordination</t>
  </si>
  <si>
    <t>T7.1</t>
  </si>
  <si>
    <t>Project administration &amp; Financial Management</t>
  </si>
  <si>
    <t>T7.2</t>
  </si>
  <si>
    <t>Quality Assurance</t>
  </si>
  <si>
    <t>T7.3</t>
  </si>
  <si>
    <t>TOTAL</t>
  </si>
  <si>
    <t xml:space="preserve"> </t>
  </si>
  <si>
    <t>Budget rate</t>
  </si>
  <si>
    <t xml:space="preserve">1PM iequals to </t>
  </si>
  <si>
    <t>143.333</t>
  </si>
  <si>
    <t xml:space="preserve">ACTUAL </t>
  </si>
  <si>
    <t>Project manager</t>
  </si>
  <si>
    <t>INCLDING IND COST</t>
  </si>
  <si>
    <t>GreenOfshoreTech MNU (Period M1 to M10)</t>
  </si>
  <si>
    <t>M1-M10</t>
  </si>
  <si>
    <t>hrs</t>
  </si>
  <si>
    <t>Salery rate</t>
  </si>
  <si>
    <t>PM</t>
  </si>
  <si>
    <t>SCABERIA AS</t>
  </si>
  <si>
    <t>M1-M9</t>
  </si>
  <si>
    <t>Programme of Business Support Services to winner SMEs (prep)</t>
  </si>
  <si>
    <r>
      <t xml:space="preserve">Business Support Service #4 One-to-One Mentoring and Coaching </t>
    </r>
    <r>
      <rPr>
        <b/>
        <sz val="8"/>
        <color rgb="FFFF0000"/>
        <rFont val="Calibri"/>
        <family val="2"/>
        <scheme val="minor"/>
      </rPr>
      <t>(prep)</t>
    </r>
  </si>
  <si>
    <r>
      <t xml:space="preserve">Validation &amp; Impact assessment of GreenOffshoreTech LSD </t>
    </r>
    <r>
      <rPr>
        <b/>
        <sz val="8"/>
        <color rgb="FFFF0000"/>
        <rFont val="Calibri"/>
        <family val="2"/>
        <scheme val="minor"/>
      </rPr>
      <t>(data collection)</t>
    </r>
  </si>
  <si>
    <t>GreenOffshoreTech - FÓRUM OCEANO</t>
  </si>
  <si>
    <r>
      <t xml:space="preserve">Programme of Business Support Services to winner SMEs </t>
    </r>
    <r>
      <rPr>
        <b/>
        <sz val="8"/>
        <color rgb="FFFF0000"/>
        <rFont val="Calibri"/>
        <family val="2"/>
        <scheme val="minor"/>
      </rPr>
      <t>(prep)</t>
    </r>
  </si>
  <si>
    <t>GreenOfshoreTech PARTNER NAME</t>
  </si>
  <si>
    <t>MAI Carbon</t>
  </si>
  <si>
    <t>M1-M8</t>
  </si>
  <si>
    <t>Ind. Costs flat rate</t>
  </si>
  <si>
    <t>Assistant</t>
  </si>
  <si>
    <t>GreenOfshoreTech BIN (Periode1, 09/21-06/22)</t>
  </si>
  <si>
    <t>(to May)</t>
  </si>
  <si>
    <t>GreenOfshoreTech Iceland Ocean Cluster</t>
  </si>
  <si>
    <t>Hours/task</t>
  </si>
  <si>
    <t>HIE</t>
  </si>
  <si>
    <t>Travel costs 4611 euro added to T3.2</t>
  </si>
  <si>
    <t xml:space="preserve">Hourly cost </t>
  </si>
  <si>
    <t>GreenOfshoreTech PARTNER NAME: MEERI</t>
  </si>
  <si>
    <t>This calculation is done by MNU since MCN have not delivered the contribution to D7.5</t>
  </si>
  <si>
    <t>Cost is calculated based on PM3,37 delivered for D7.4</t>
  </si>
  <si>
    <t>Evsaryone is informed to calculate 1PM as 143.333 hours.</t>
  </si>
  <si>
    <t>Your budgeted hourly cost is than 35,47 Euro per hour.</t>
  </si>
  <si>
    <t>Hourly rate</t>
  </si>
  <si>
    <t>Total hours</t>
  </si>
  <si>
    <t>Net cost total</t>
  </si>
  <si>
    <t>1PM</t>
  </si>
  <si>
    <t>In d7.4 it is reported PM3,37 and a cost of 22,402.00 and this is impossible for me to evaluate without your actual calculation.</t>
  </si>
  <si>
    <t>MCN</t>
  </si>
  <si>
    <t>This calculation is done by MNU since CKR have not delivered the contribution to D7.5</t>
  </si>
  <si>
    <t>Cost is calculated based on PM7,19 delivered for D7.4</t>
  </si>
  <si>
    <t>Everyone is informed to calculate 1PM as 143.333 hours.</t>
  </si>
  <si>
    <t>Per your budget</t>
  </si>
  <si>
    <t>DIR</t>
  </si>
  <si>
    <t>Dir (EUR)</t>
  </si>
  <si>
    <t>GreenOfshoreTech TOTAL (Period M1 to M9)</t>
  </si>
  <si>
    <t>Other Dir. 
Cost</t>
  </si>
  <si>
    <t>ALL DIRECT &amp; INDIRECT COST CALCULATIONS PER PARTNER</t>
  </si>
  <si>
    <t>TOTAL BUDGET</t>
  </si>
  <si>
    <t>Other Dir. 
Cost Budget</t>
  </si>
  <si>
    <t>TOTAL
COST</t>
  </si>
  <si>
    <t>TOTAL BUDGET IS NOT EQUAL TO EC CONTRIBUTION DUE TO THE SME PARTNERS</t>
  </si>
  <si>
    <t>Task/
WP</t>
  </si>
  <si>
    <t>ODC</t>
  </si>
  <si>
    <t>Otherdirect Cost ( travel, equipment &amp; Other goods and services)(ODC)</t>
  </si>
  <si>
    <t>Task/WP</t>
  </si>
  <si>
    <t xml:space="preserve">T5.3 </t>
  </si>
  <si>
    <t xml:space="preserve">T6.3 </t>
  </si>
  <si>
    <t xml:space="preserve">T7.3 </t>
  </si>
  <si>
    <t>Indir &amp; DIR (EUR)</t>
  </si>
  <si>
    <t>Indir &amp; DIR</t>
  </si>
  <si>
    <t>ALL</t>
  </si>
  <si>
    <t>All</t>
  </si>
  <si>
    <t>MNU</t>
  </si>
  <si>
    <t>Used of Budget</t>
  </si>
  <si>
    <t>SCA</t>
  </si>
  <si>
    <t>FOC</t>
  </si>
  <si>
    <t>CLTV</t>
  </si>
  <si>
    <t>MAI</t>
  </si>
  <si>
    <t>BIN</t>
  </si>
  <si>
    <t>IOC</t>
  </si>
  <si>
    <t>BAL</t>
  </si>
  <si>
    <t>MEERI</t>
  </si>
  <si>
    <t>CKR</t>
  </si>
  <si>
    <t>70%.</t>
  </si>
  <si>
    <t>MNU BUDGET</t>
  </si>
  <si>
    <t>SCA BUDGET</t>
  </si>
  <si>
    <t>FOC BUDGET</t>
  </si>
  <si>
    <t>CTLV BUDGET</t>
  </si>
  <si>
    <t>MAI BUDGET</t>
  </si>
  <si>
    <t>BIN BUDGET</t>
  </si>
  <si>
    <t>IOC BUDGET</t>
  </si>
  <si>
    <t>HIE BUDGET</t>
  </si>
  <si>
    <t>BAL BUDGET</t>
  </si>
  <si>
    <t>MEERI BUDGET</t>
  </si>
  <si>
    <t>MCN BUDGET</t>
  </si>
  <si>
    <t>CKR BUDGET</t>
  </si>
  <si>
    <t>MNU
COST</t>
  </si>
  <si>
    <t>SCA
COST</t>
  </si>
  <si>
    <t>FOC
COST</t>
  </si>
  <si>
    <t>CTLV
COST</t>
  </si>
  <si>
    <t>MAI
COST</t>
  </si>
  <si>
    <t>BIN
COST</t>
  </si>
  <si>
    <t>IOC
COST</t>
  </si>
  <si>
    <t>HIE
COST</t>
  </si>
  <si>
    <t>BAL
COST</t>
  </si>
  <si>
    <t>MEERI
COST</t>
  </si>
  <si>
    <t>MCN
COST</t>
  </si>
  <si>
    <t>CKR
COST</t>
  </si>
  <si>
    <t>GOT</t>
  </si>
  <si>
    <t>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</si>
</sst>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0"/>
    <numFmt numFmtId="165" formatCode="0.000"/>
  </numFmts>
  <fonts count="2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0"/>
      <name val="Times New Roman"/>
      <family val="1"/>
    </font>
    <font>
      <b/>
      <sz val="8"/>
      <color rgb="FF0070C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33333"/>
      <name val="Roboto"/>
    </font>
    <font>
      <b/>
      <sz val="11"/>
      <color theme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7CE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5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 style="thin">
        <color auto="1"/>
      </right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theme="1" tint="0.499984740745262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0"/>
      </left>
      <right/>
      <top/>
      <bottom/>
      <diagonal/>
    </border>
    <border>
      <left style="thin">
        <color theme="0" tint="-0.499984740745262"/>
      </left>
      <right style="thick">
        <color theme="0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ck">
        <color theme="0"/>
      </right>
      <top style="thin">
        <color indexed="64"/>
      </top>
      <bottom style="thin">
        <color theme="1" tint="0.499984740745262"/>
      </bottom>
      <diagonal/>
    </border>
    <border>
      <left/>
      <right style="thick">
        <color theme="0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ck">
        <color theme="0"/>
      </right>
      <top style="thin">
        <color theme="1" tint="0.499984740745262"/>
      </top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n">
        <color auto="1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ck">
        <color theme="0"/>
      </bottom>
      <diagonal/>
    </border>
    <border>
      <left/>
      <right style="thin">
        <color auto="1"/>
      </right>
      <top/>
      <bottom style="thick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0"/>
      </right>
      <top/>
      <bottom style="thin">
        <color theme="1" tint="0.499984740745262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0"/>
      </right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ck">
        <color theme="0"/>
      </bottom>
      <diagonal/>
    </border>
    <border>
      <left/>
      <right style="thin">
        <color indexed="64"/>
      </right>
      <top style="thin">
        <color indexed="64"/>
      </top>
      <bottom style="thick">
        <color theme="0"/>
      </bottom>
      <diagonal/>
    </border>
    <border>
      <left style="thin">
        <color indexed="64"/>
      </left>
      <right style="thick">
        <color theme="0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ck">
        <color theme="0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ck">
        <color theme="0"/>
      </right>
      <top/>
      <bottom style="thin">
        <color theme="1" tint="0.499984740745262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9" fillId="5" borderId="0" applyNumberFormat="0" applyBorder="0" applyAlignment="0" applyProtection="0"/>
    <xf numFmtId="43" fontId="2" fillId="0" borderId="0" applyFont="0" applyFill="0" applyBorder="0" applyAlignment="0" applyProtection="0"/>
  </cellStyleXfs>
  <cellXfs count="259">
    <xf numFmtId="0" fontId="0" fillId="0" borderId="0" xfId="0"/>
    <xf numFmtId="0" fontId="1" fillId="0" borderId="0" xfId="0" applyFont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9" fontId="0" fillId="0" borderId="0" xfId="0" applyNumberFormat="1"/>
    <xf numFmtId="0" fontId="0" fillId="0" borderId="0" xfId="0" applyAlignment="1">
      <alignment horizontal="center"/>
    </xf>
    <xf numFmtId="1" fontId="3" fillId="3" borderId="0" xfId="0" applyNumberFormat="1" applyFont="1" applyFill="1" applyAlignment="1">
      <alignment horizontal="right"/>
    </xf>
    <xf numFmtId="1" fontId="0" fillId="3" borderId="0" xfId="0" applyNumberFormat="1" applyFill="1" applyAlignment="1">
      <alignment horizontal="right"/>
    </xf>
    <xf numFmtId="0" fontId="4" fillId="4" borderId="1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/>
    </xf>
    <xf numFmtId="4" fontId="4" fillId="4" borderId="3" xfId="0" applyNumberFormat="1" applyFont="1" applyFill="1" applyBorder="1"/>
    <xf numFmtId="4" fontId="4" fillId="4" borderId="3" xfId="0" applyNumberFormat="1" applyFont="1" applyFill="1" applyBorder="1" applyAlignment="1">
      <alignment horizontal="right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center"/>
    </xf>
    <xf numFmtId="4" fontId="5" fillId="3" borderId="0" xfId="0" applyNumberFormat="1" applyFont="1" applyFill="1"/>
    <xf numFmtId="4" fontId="0" fillId="3" borderId="0" xfId="0" applyNumberFormat="1" applyFill="1" applyAlignment="1">
      <alignment horizontal="right"/>
    </xf>
    <xf numFmtId="0" fontId="6" fillId="0" borderId="0" xfId="0" applyFont="1" applyAlignment="1">
      <alignment horizontal="right"/>
    </xf>
    <xf numFmtId="4" fontId="4" fillId="4" borderId="5" xfId="0" applyNumberFormat="1" applyFont="1" applyFill="1" applyBorder="1"/>
    <xf numFmtId="4" fontId="4" fillId="4" borderId="0" xfId="0" applyNumberFormat="1" applyFont="1" applyFill="1" applyAlignment="1">
      <alignment horizontal="right"/>
    </xf>
    <xf numFmtId="1" fontId="4" fillId="4" borderId="0" xfId="0" applyNumberFormat="1" applyFont="1" applyFill="1" applyAlignment="1">
      <alignment horizontal="center"/>
    </xf>
    <xf numFmtId="0" fontId="7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3" fontId="4" fillId="4" borderId="6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8" fillId="2" borderId="0" xfId="0" applyFont="1" applyFill="1"/>
    <xf numFmtId="4" fontId="4" fillId="4" borderId="7" xfId="0" applyNumberFormat="1" applyFont="1" applyFill="1" applyBorder="1" applyAlignment="1">
      <alignment horizontal="right"/>
    </xf>
    <xf numFmtId="0" fontId="0" fillId="0" borderId="10" xfId="0" applyBorder="1"/>
    <xf numFmtId="0" fontId="0" fillId="0" borderId="3" xfId="0" applyBorder="1"/>
    <xf numFmtId="4" fontId="4" fillId="4" borderId="11" xfId="0" applyNumberFormat="1" applyFont="1" applyFill="1" applyBorder="1"/>
    <xf numFmtId="43" fontId="0" fillId="0" borderId="3" xfId="1" applyFont="1" applyBorder="1"/>
    <xf numFmtId="4" fontId="5" fillId="3" borderId="10" xfId="0" applyNumberFormat="1" applyFont="1" applyFill="1" applyBorder="1"/>
    <xf numFmtId="4" fontId="4" fillId="4" borderId="12" xfId="0" applyNumberFormat="1" applyFont="1" applyFill="1" applyBorder="1"/>
    <xf numFmtId="4" fontId="5" fillId="3" borderId="10" xfId="0" applyNumberFormat="1" applyFont="1" applyFill="1" applyBorder="1" applyAlignment="1">
      <alignment horizontal="right"/>
    </xf>
    <xf numFmtId="4" fontId="4" fillId="4" borderId="13" xfId="0" applyNumberFormat="1" applyFont="1" applyFill="1" applyBorder="1" applyAlignment="1">
      <alignment horizontal="right"/>
    </xf>
    <xf numFmtId="43" fontId="0" fillId="0" borderId="14" xfId="1" applyFont="1" applyBorder="1"/>
    <xf numFmtId="0" fontId="7" fillId="0" borderId="15" xfId="0" applyFont="1" applyBorder="1" applyAlignment="1">
      <alignment horizontal="left" vertical="top" wrapText="1"/>
    </xf>
    <xf numFmtId="0" fontId="0" fillId="0" borderId="16" xfId="0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2" fontId="0" fillId="0" borderId="0" xfId="0" applyNumberFormat="1"/>
    <xf numFmtId="4" fontId="4" fillId="6" borderId="0" xfId="0" applyNumberFormat="1" applyFont="1" applyFill="1"/>
    <xf numFmtId="0" fontId="7" fillId="2" borderId="1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center"/>
    </xf>
    <xf numFmtId="1" fontId="10" fillId="0" borderId="0" xfId="0" applyNumberFormat="1" applyFont="1" applyAlignment="1">
      <alignment horizontal="left"/>
    </xf>
    <xf numFmtId="1" fontId="11" fillId="3" borderId="0" xfId="0" applyNumberFormat="1" applyFont="1" applyFill="1" applyAlignment="1">
      <alignment horizontal="right"/>
    </xf>
    <xf numFmtId="164" fontId="10" fillId="3" borderId="0" xfId="0" applyNumberFormat="1" applyFont="1" applyFill="1" applyAlignment="1">
      <alignment horizontal="right"/>
    </xf>
    <xf numFmtId="1" fontId="10" fillId="3" borderId="0" xfId="0" applyNumberFormat="1" applyFont="1" applyFill="1" applyAlignment="1">
      <alignment horizontal="center"/>
    </xf>
    <xf numFmtId="1" fontId="10" fillId="3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center"/>
    </xf>
    <xf numFmtId="0" fontId="12" fillId="4" borderId="1" xfId="0" applyFont="1" applyFill="1" applyBorder="1" applyAlignment="1">
      <alignment horizontal="left" vertical="top" wrapText="1"/>
    </xf>
    <xf numFmtId="0" fontId="12" fillId="4" borderId="2" xfId="0" applyFont="1" applyFill="1" applyBorder="1" applyAlignment="1">
      <alignment horizontal="center"/>
    </xf>
    <xf numFmtId="4" fontId="13" fillId="4" borderId="3" xfId="0" applyNumberFormat="1" applyFont="1" applyFill="1" applyBorder="1"/>
    <xf numFmtId="4" fontId="13" fillId="4" borderId="3" xfId="0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center"/>
    </xf>
    <xf numFmtId="4" fontId="14" fillId="3" borderId="0" xfId="0" applyNumberFormat="1" applyFont="1" applyFill="1"/>
    <xf numFmtId="4" fontId="10" fillId="3" borderId="0" xfId="0" applyNumberFormat="1" applyFont="1" applyFill="1" applyAlignment="1">
      <alignment horizontal="right"/>
    </xf>
    <xf numFmtId="4" fontId="13" fillId="4" borderId="5" xfId="0" applyNumberFormat="1" applyFont="1" applyFill="1" applyBorder="1"/>
    <xf numFmtId="4" fontId="13" fillId="4" borderId="0" xfId="0" applyNumberFormat="1" applyFont="1" applyFill="1" applyAlignment="1">
      <alignment horizontal="right"/>
    </xf>
    <xf numFmtId="0" fontId="9" fillId="5" borderId="1" xfId="2" applyBorder="1" applyAlignment="1">
      <alignment horizontal="left" vertical="top" wrapText="1"/>
    </xf>
    <xf numFmtId="0" fontId="9" fillId="5" borderId="4" xfId="2" applyBorder="1" applyAlignment="1">
      <alignment horizontal="center"/>
    </xf>
    <xf numFmtId="4" fontId="9" fillId="5" borderId="0" xfId="2" applyNumberFormat="1"/>
    <xf numFmtId="4" fontId="9" fillId="5" borderId="0" xfId="2" applyNumberFormat="1" applyAlignment="1">
      <alignment horizontal="right"/>
    </xf>
    <xf numFmtId="0" fontId="10" fillId="3" borderId="1" xfId="0" applyFont="1" applyFill="1" applyBorder="1" applyAlignment="1">
      <alignment horizontal="left" vertical="top" wrapText="1"/>
    </xf>
    <xf numFmtId="0" fontId="10" fillId="3" borderId="4" xfId="0" applyFont="1" applyFill="1" applyBorder="1" applyAlignment="1">
      <alignment horizontal="center"/>
    </xf>
    <xf numFmtId="1" fontId="13" fillId="4" borderId="0" xfId="0" applyNumberFormat="1" applyFont="1" applyFill="1" applyAlignment="1">
      <alignment horizontal="center"/>
    </xf>
    <xf numFmtId="0" fontId="1" fillId="0" borderId="0" xfId="0" applyFont="1"/>
    <xf numFmtId="0" fontId="16" fillId="0" borderId="1" xfId="0" applyFont="1" applyBorder="1" applyAlignment="1">
      <alignment horizontal="left" vertical="top" wrapText="1"/>
    </xf>
    <xf numFmtId="0" fontId="16" fillId="3" borderId="1" xfId="0" applyFont="1" applyFill="1" applyBorder="1" applyAlignment="1">
      <alignment horizontal="left" vertical="top" wrapText="1"/>
    </xf>
    <xf numFmtId="0" fontId="18" fillId="2" borderId="0" xfId="0" applyFont="1" applyFill="1" applyAlignment="1">
      <alignment horizontal="center"/>
    </xf>
    <xf numFmtId="4" fontId="13" fillId="4" borderId="19" xfId="0" applyNumberFormat="1" applyFont="1" applyFill="1" applyBorder="1" applyAlignment="1">
      <alignment horizontal="right"/>
    </xf>
    <xf numFmtId="3" fontId="13" fillId="4" borderId="6" xfId="0" applyNumberFormat="1" applyFont="1" applyFill="1" applyBorder="1" applyAlignment="1">
      <alignment horizontal="center"/>
    </xf>
    <xf numFmtId="1" fontId="10" fillId="0" borderId="0" xfId="0" applyNumberFormat="1" applyFont="1" applyAlignment="1">
      <alignment horizontal="center"/>
    </xf>
    <xf numFmtId="4" fontId="14" fillId="3" borderId="0" xfId="0" applyNumberFormat="1" applyFont="1" applyFill="1" applyAlignment="1">
      <alignment horizontal="right"/>
    </xf>
    <xf numFmtId="2" fontId="10" fillId="0" borderId="0" xfId="0" quotePrefix="1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1" fillId="0" borderId="0" xfId="0" applyFont="1" applyAlignment="1">
      <alignment horizontal="right" wrapText="1"/>
    </xf>
    <xf numFmtId="4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center"/>
    </xf>
    <xf numFmtId="4" fontId="0" fillId="0" borderId="0" xfId="0" applyNumberFormat="1"/>
    <xf numFmtId="0" fontId="7" fillId="2" borderId="0" xfId="0" applyFont="1" applyFill="1"/>
    <xf numFmtId="9" fontId="7" fillId="2" borderId="0" xfId="0" applyNumberFormat="1" applyFont="1" applyFill="1"/>
    <xf numFmtId="0" fontId="3" fillId="2" borderId="0" xfId="0" applyFont="1" applyFill="1" applyAlignment="1">
      <alignment horizontal="center"/>
    </xf>
    <xf numFmtId="43" fontId="7" fillId="2" borderId="0" xfId="1" applyFont="1" applyFill="1" applyBorder="1"/>
    <xf numFmtId="4" fontId="3" fillId="2" borderId="0" xfId="0" applyNumberFormat="1" applyFont="1" applyFill="1"/>
    <xf numFmtId="4" fontId="3" fillId="2" borderId="0" xfId="0" applyNumberFormat="1" applyFont="1" applyFill="1" applyAlignment="1">
      <alignment horizontal="right"/>
    </xf>
    <xf numFmtId="4" fontId="19" fillId="3" borderId="3" xfId="0" applyNumberFormat="1" applyFont="1" applyFill="1" applyBorder="1"/>
    <xf numFmtId="0" fontId="20" fillId="2" borderId="0" xfId="0" applyFont="1" applyFill="1"/>
    <xf numFmtId="0" fontId="8" fillId="0" borderId="0" xfId="0" applyFont="1"/>
    <xf numFmtId="1" fontId="3" fillId="3" borderId="0" xfId="0" applyNumberFormat="1" applyFont="1" applyFill="1" applyAlignment="1">
      <alignment horizontal="center"/>
    </xf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right"/>
    </xf>
    <xf numFmtId="1" fontId="11" fillId="3" borderId="0" xfId="0" applyNumberFormat="1" applyFont="1" applyFill="1" applyAlignment="1">
      <alignment horizontal="center"/>
    </xf>
    <xf numFmtId="1" fontId="15" fillId="0" borderId="0" xfId="0" applyNumberFormat="1" applyFont="1" applyAlignment="1">
      <alignment horizontal="right"/>
    </xf>
    <xf numFmtId="4" fontId="4" fillId="4" borderId="0" xfId="0" applyNumberFormat="1" applyFont="1" applyFill="1" applyBorder="1" applyAlignment="1">
      <alignment horizontal="right"/>
    </xf>
    <xf numFmtId="1" fontId="7" fillId="2" borderId="0" xfId="0" applyNumberFormat="1" applyFont="1" applyFill="1"/>
    <xf numFmtId="1" fontId="7" fillId="2" borderId="0" xfId="1" applyNumberFormat="1" applyFont="1" applyFill="1" applyBorder="1"/>
    <xf numFmtId="1" fontId="4" fillId="4" borderId="3" xfId="0" applyNumberFormat="1" applyFont="1" applyFill="1" applyBorder="1"/>
    <xf numFmtId="1" fontId="5" fillId="3" borderId="0" xfId="0" applyNumberFormat="1" applyFont="1" applyFill="1"/>
    <xf numFmtId="1" fontId="4" fillId="6" borderId="0" xfId="0" applyNumberFormat="1" applyFont="1" applyFill="1"/>
    <xf numFmtId="4" fontId="4" fillId="3" borderId="3" xfId="0" applyNumberFormat="1" applyFont="1" applyFill="1" applyBorder="1"/>
    <xf numFmtId="1" fontId="0" fillId="3" borderId="0" xfId="0" applyNumberFormat="1" applyFill="1" applyAlignment="1">
      <alignment horizontal="right"/>
    </xf>
    <xf numFmtId="4" fontId="4" fillId="4" borderId="3" xfId="0" applyNumberFormat="1" applyFont="1" applyFill="1" applyBorder="1"/>
    <xf numFmtId="4" fontId="5" fillId="3" borderId="0" xfId="0" applyNumberFormat="1" applyFont="1" applyFill="1"/>
    <xf numFmtId="4" fontId="4" fillId="6" borderId="0" xfId="0" applyNumberFormat="1" applyFont="1" applyFill="1"/>
    <xf numFmtId="3" fontId="4" fillId="4" borderId="6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3" fillId="3" borderId="0" xfId="0" applyNumberFormat="1" applyFont="1" applyFill="1" applyAlignment="1">
      <alignment horizontal="center"/>
    </xf>
    <xf numFmtId="1" fontId="0" fillId="0" borderId="0" xfId="0" applyNumberFormat="1"/>
    <xf numFmtId="3" fontId="4" fillId="4" borderId="3" xfId="0" applyNumberFormat="1" applyFont="1" applyFill="1" applyBorder="1"/>
    <xf numFmtId="3" fontId="4" fillId="8" borderId="3" xfId="0" applyNumberFormat="1" applyFont="1" applyFill="1" applyBorder="1" applyAlignment="1">
      <alignment horizontal="right"/>
    </xf>
    <xf numFmtId="3" fontId="22" fillId="3" borderId="3" xfId="0" applyNumberFormat="1" applyFont="1" applyFill="1" applyBorder="1"/>
    <xf numFmtId="3" fontId="4" fillId="7" borderId="3" xfId="0" applyNumberFormat="1" applyFont="1" applyFill="1" applyBorder="1" applyAlignment="1">
      <alignment horizontal="right"/>
    </xf>
    <xf numFmtId="3" fontId="5" fillId="3" borderId="0" xfId="0" applyNumberFormat="1" applyFont="1" applyFill="1"/>
    <xf numFmtId="3" fontId="4" fillId="6" borderId="0" xfId="0" applyNumberFormat="1" applyFont="1" applyFill="1"/>
    <xf numFmtId="3" fontId="0" fillId="0" borderId="0" xfId="0" applyNumberFormat="1" applyAlignment="1">
      <alignment horizontal="center"/>
    </xf>
    <xf numFmtId="3" fontId="0" fillId="0" borderId="0" xfId="0" applyNumberFormat="1"/>
    <xf numFmtId="0" fontId="23" fillId="2" borderId="0" xfId="0" applyFont="1" applyFill="1"/>
    <xf numFmtId="1" fontId="21" fillId="3" borderId="0" xfId="0" applyNumberFormat="1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3" fontId="0" fillId="7" borderId="0" xfId="0" applyNumberFormat="1" applyFill="1" applyAlignment="1">
      <alignment horizontal="right"/>
    </xf>
    <xf numFmtId="3" fontId="4" fillId="8" borderId="0" xfId="0" applyNumberFormat="1" applyFont="1" applyFill="1" applyAlignment="1">
      <alignment horizontal="right"/>
    </xf>
    <xf numFmtId="3" fontId="4" fillId="8" borderId="0" xfId="0" applyNumberFormat="1" applyFont="1" applyFill="1" applyAlignment="1">
      <alignment horizontal="center"/>
    </xf>
    <xf numFmtId="3" fontId="4" fillId="8" borderId="6" xfId="0" applyNumberFormat="1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1" fontId="10" fillId="0" borderId="0" xfId="0" applyNumberFormat="1" applyFont="1" applyAlignment="1">
      <alignment horizontal="center"/>
    </xf>
    <xf numFmtId="1" fontId="11" fillId="3" borderId="0" xfId="0" applyNumberFormat="1" applyFont="1" applyFill="1" applyAlignment="1">
      <alignment horizontal="right"/>
    </xf>
    <xf numFmtId="4" fontId="13" fillId="4" borderId="3" xfId="0" applyNumberFormat="1" applyFont="1" applyFill="1" applyBorder="1"/>
    <xf numFmtId="4" fontId="14" fillId="3" borderId="0" xfId="0" applyNumberFormat="1" applyFont="1" applyFill="1"/>
    <xf numFmtId="4" fontId="13" fillId="4" borderId="5" xfId="0" applyNumberFormat="1" applyFont="1" applyFill="1" applyBorder="1"/>
    <xf numFmtId="4" fontId="13" fillId="4" borderId="19" xfId="0" applyNumberFormat="1" applyFont="1" applyFill="1" applyBorder="1" applyAlignment="1">
      <alignment horizontal="right"/>
    </xf>
    <xf numFmtId="1" fontId="3" fillId="3" borderId="0" xfId="0" applyNumberFormat="1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1" fontId="3" fillId="3" borderId="0" xfId="0" applyNumberFormat="1" applyFont="1" applyFill="1" applyAlignment="1">
      <alignment horizontal="center"/>
    </xf>
    <xf numFmtId="1" fontId="21" fillId="3" borderId="0" xfId="0" applyNumberFormat="1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21" xfId="0" applyBorder="1" applyAlignment="1">
      <alignment horizontal="center"/>
    </xf>
    <xf numFmtId="1" fontId="3" fillId="11" borderId="0" xfId="0" applyNumberFormat="1" applyFont="1" applyFill="1" applyBorder="1" applyAlignment="1">
      <alignment horizontal="center" wrapText="1"/>
    </xf>
    <xf numFmtId="3" fontId="4" fillId="4" borderId="0" xfId="0" applyNumberFormat="1" applyFont="1" applyFill="1" applyBorder="1"/>
    <xf numFmtId="3" fontId="4" fillId="8" borderId="0" xfId="0" applyNumberFormat="1" applyFont="1" applyFill="1" applyBorder="1" applyAlignment="1">
      <alignment horizontal="right"/>
    </xf>
    <xf numFmtId="3" fontId="8" fillId="10" borderId="0" xfId="0" applyNumberFormat="1" applyFont="1" applyFill="1" applyBorder="1" applyAlignment="1">
      <alignment horizontal="right"/>
    </xf>
    <xf numFmtId="3" fontId="8" fillId="9" borderId="0" xfId="0" applyNumberFormat="1" applyFont="1" applyFill="1" applyBorder="1" applyAlignment="1">
      <alignment horizontal="right"/>
    </xf>
    <xf numFmtId="1" fontId="8" fillId="8" borderId="0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/>
    </xf>
    <xf numFmtId="3" fontId="4" fillId="4" borderId="22" xfId="0" applyNumberFormat="1" applyFont="1" applyFill="1" applyBorder="1"/>
    <xf numFmtId="0" fontId="4" fillId="4" borderId="24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0" borderId="26" xfId="0" applyBorder="1" applyAlignment="1">
      <alignment horizontal="center"/>
    </xf>
    <xf numFmtId="3" fontId="8" fillId="10" borderId="27" xfId="0" applyNumberFormat="1" applyFont="1" applyFill="1" applyBorder="1" applyAlignment="1">
      <alignment horizontal="right"/>
    </xf>
    <xf numFmtId="3" fontId="8" fillId="9" borderId="27" xfId="0" applyNumberFormat="1" applyFont="1" applyFill="1" applyBorder="1" applyAlignment="1">
      <alignment horizontal="right"/>
    </xf>
    <xf numFmtId="3" fontId="4" fillId="4" borderId="31" xfId="0" applyNumberFormat="1" applyFont="1" applyFill="1" applyBorder="1"/>
    <xf numFmtId="3" fontId="5" fillId="3" borderId="22" xfId="0" applyNumberFormat="1" applyFont="1" applyFill="1" applyBorder="1"/>
    <xf numFmtId="3" fontId="5" fillId="3" borderId="0" xfId="0" applyNumberFormat="1" applyFont="1" applyFill="1" applyBorder="1"/>
    <xf numFmtId="3" fontId="4" fillId="6" borderId="22" xfId="0" applyNumberFormat="1" applyFont="1" applyFill="1" applyBorder="1"/>
    <xf numFmtId="3" fontId="4" fillId="6" borderId="0" xfId="0" applyNumberFormat="1" applyFont="1" applyFill="1" applyBorder="1"/>
    <xf numFmtId="3" fontId="0" fillId="7" borderId="0" xfId="0" applyNumberFormat="1" applyFill="1" applyBorder="1" applyAlignment="1">
      <alignment horizontal="right"/>
    </xf>
    <xf numFmtId="3" fontId="4" fillId="8" borderId="0" xfId="0" applyNumberFormat="1" applyFont="1" applyFill="1" applyBorder="1" applyAlignment="1">
      <alignment horizontal="center"/>
    </xf>
    <xf numFmtId="3" fontId="4" fillId="6" borderId="32" xfId="0" applyNumberFormat="1" applyFont="1" applyFill="1" applyBorder="1"/>
    <xf numFmtId="3" fontId="4" fillId="6" borderId="33" xfId="0" applyNumberFormat="1" applyFont="1" applyFill="1" applyBorder="1"/>
    <xf numFmtId="3" fontId="4" fillId="8" borderId="35" xfId="0" applyNumberFormat="1" applyFont="1" applyFill="1" applyBorder="1" applyAlignment="1">
      <alignment horizontal="center"/>
    </xf>
    <xf numFmtId="3" fontId="4" fillId="4" borderId="36" xfId="0" applyNumberFormat="1" applyFont="1" applyFill="1" applyBorder="1"/>
    <xf numFmtId="3" fontId="8" fillId="10" borderId="34" xfId="0" applyNumberFormat="1" applyFont="1" applyFill="1" applyBorder="1" applyAlignment="1">
      <alignment horizontal="right"/>
    </xf>
    <xf numFmtId="3" fontId="8" fillId="10" borderId="33" xfId="0" applyNumberFormat="1" applyFont="1" applyFill="1" applyBorder="1" applyAlignment="1">
      <alignment horizontal="right"/>
    </xf>
    <xf numFmtId="0" fontId="4" fillId="4" borderId="37" xfId="0" applyFont="1" applyFill="1" applyBorder="1" applyAlignment="1">
      <alignment horizontal="left" vertical="top" wrapText="1"/>
    </xf>
    <xf numFmtId="0" fontId="4" fillId="4" borderId="38" xfId="0" applyFont="1" applyFill="1" applyBorder="1" applyAlignment="1">
      <alignment horizontal="center"/>
    </xf>
    <xf numFmtId="0" fontId="4" fillId="11" borderId="33" xfId="0" applyFont="1" applyFill="1" applyBorder="1"/>
    <xf numFmtId="0" fontId="24" fillId="11" borderId="33" xfId="0" applyFont="1" applyFill="1" applyBorder="1" applyAlignment="1">
      <alignment horizontal="center"/>
    </xf>
    <xf numFmtId="1" fontId="3" fillId="3" borderId="33" xfId="0" applyNumberFormat="1" applyFont="1" applyFill="1" applyBorder="1" applyAlignment="1">
      <alignment horizontal="center" wrapText="1"/>
    </xf>
    <xf numFmtId="1" fontId="3" fillId="3" borderId="40" xfId="0" applyNumberFormat="1" applyFont="1" applyFill="1" applyBorder="1" applyAlignment="1">
      <alignment horizontal="center" wrapText="1"/>
    </xf>
    <xf numFmtId="1" fontId="21" fillId="3" borderId="0" xfId="0" applyNumberFormat="1" applyFont="1" applyFill="1" applyBorder="1" applyAlignment="1">
      <alignment horizontal="center"/>
    </xf>
    <xf numFmtId="0" fontId="8" fillId="2" borderId="33" xfId="0" applyFont="1" applyFill="1" applyBorder="1" applyAlignment="1">
      <alignment horizontal="center" wrapText="1"/>
    </xf>
    <xf numFmtId="1" fontId="8" fillId="3" borderId="33" xfId="0" applyNumberFormat="1" applyFont="1" applyFill="1" applyBorder="1" applyAlignment="1">
      <alignment horizontal="center" wrapText="1"/>
    </xf>
    <xf numFmtId="1" fontId="3" fillId="3" borderId="27" xfId="0" applyNumberFormat="1" applyFont="1" applyFill="1" applyBorder="1" applyAlignment="1">
      <alignment horizontal="center"/>
    </xf>
    <xf numFmtId="3" fontId="4" fillId="4" borderId="33" xfId="0" applyNumberFormat="1" applyFont="1" applyFill="1" applyBorder="1"/>
    <xf numFmtId="3" fontId="4" fillId="8" borderId="33" xfId="0" applyNumberFormat="1" applyFont="1" applyFill="1" applyBorder="1" applyAlignment="1">
      <alignment horizontal="right"/>
    </xf>
    <xf numFmtId="3" fontId="4" fillId="8" borderId="33" xfId="0" applyNumberFormat="1" applyFont="1" applyFill="1" applyBorder="1"/>
    <xf numFmtId="0" fontId="0" fillId="0" borderId="29" xfId="0" applyBorder="1"/>
    <xf numFmtId="1" fontId="3" fillId="3" borderId="0" xfId="0" applyNumberFormat="1" applyFont="1" applyFill="1" applyBorder="1" applyAlignment="1">
      <alignment horizontal="center"/>
    </xf>
    <xf numFmtId="1" fontId="21" fillId="3" borderId="0" xfId="0" applyNumberFormat="1" applyFont="1" applyFill="1" applyBorder="1" applyAlignment="1">
      <alignment horizontal="center"/>
    </xf>
    <xf numFmtId="3" fontId="4" fillId="4" borderId="28" xfId="0" applyNumberFormat="1" applyFont="1" applyFill="1" applyBorder="1"/>
    <xf numFmtId="3" fontId="22" fillId="3" borderId="22" xfId="0" applyNumberFormat="1" applyFont="1" applyFill="1" applyBorder="1"/>
    <xf numFmtId="3" fontId="4" fillId="8" borderId="29" xfId="0" applyNumberFormat="1" applyFont="1" applyFill="1" applyBorder="1" applyAlignment="1">
      <alignment horizontal="right"/>
    </xf>
    <xf numFmtId="0" fontId="0" fillId="0" borderId="0" xfId="0" applyNumberFormat="1"/>
    <xf numFmtId="1" fontId="4" fillId="8" borderId="29" xfId="0" applyNumberFormat="1" applyFont="1" applyFill="1" applyBorder="1" applyAlignment="1">
      <alignment horizontal="center" wrapText="1"/>
    </xf>
    <xf numFmtId="1" fontId="4" fillId="7" borderId="0" xfId="0" applyNumberFormat="1" applyFont="1" applyFill="1" applyBorder="1" applyAlignment="1">
      <alignment horizontal="center" wrapText="1"/>
    </xf>
    <xf numFmtId="1" fontId="4" fillId="8" borderId="0" xfId="0" applyNumberFormat="1" applyFont="1" applyFill="1" applyBorder="1" applyAlignment="1">
      <alignment horizontal="center" wrapText="1"/>
    </xf>
    <xf numFmtId="3" fontId="8" fillId="10" borderId="41" xfId="0" applyNumberFormat="1" applyFont="1" applyFill="1" applyBorder="1" applyAlignment="1">
      <alignment horizontal="right"/>
    </xf>
    <xf numFmtId="1" fontId="4" fillId="8" borderId="40" xfId="0" applyNumberFormat="1" applyFont="1" applyFill="1" applyBorder="1" applyAlignment="1">
      <alignment horizontal="center" wrapText="1"/>
    </xf>
    <xf numFmtId="1" fontId="4" fillId="11" borderId="0" xfId="0" applyNumberFormat="1" applyFont="1" applyFill="1" applyBorder="1" applyAlignment="1">
      <alignment horizontal="center" wrapText="1"/>
    </xf>
    <xf numFmtId="1" fontId="4" fillId="3" borderId="33" xfId="0" applyNumberFormat="1" applyFont="1" applyFill="1" applyBorder="1" applyAlignment="1">
      <alignment horizontal="center" wrapText="1"/>
    </xf>
    <xf numFmtId="3" fontId="4" fillId="10" borderId="0" xfId="0" applyNumberFormat="1" applyFont="1" applyFill="1" applyBorder="1" applyAlignment="1">
      <alignment horizontal="right"/>
    </xf>
    <xf numFmtId="1" fontId="4" fillId="11" borderId="32" xfId="0" applyNumberFormat="1" applyFont="1" applyFill="1" applyBorder="1" applyAlignment="1">
      <alignment horizontal="center" wrapText="1"/>
    </xf>
    <xf numFmtId="3" fontId="4" fillId="10" borderId="27" xfId="0" applyNumberFormat="1" applyFont="1" applyFill="1" applyBorder="1" applyAlignment="1">
      <alignment horizontal="right"/>
    </xf>
    <xf numFmtId="1" fontId="4" fillId="11" borderId="33" xfId="0" applyNumberFormat="1" applyFont="1" applyFill="1" applyBorder="1" applyAlignment="1">
      <alignment horizontal="center" wrapText="1"/>
    </xf>
    <xf numFmtId="3" fontId="4" fillId="10" borderId="41" xfId="0" applyNumberFormat="1" applyFont="1" applyFill="1" applyBorder="1" applyAlignment="1">
      <alignment horizontal="right"/>
    </xf>
    <xf numFmtId="0" fontId="0" fillId="2" borderId="42" xfId="0" applyFill="1" applyBorder="1" applyAlignment="1">
      <alignment horizontal="center"/>
    </xf>
    <xf numFmtId="1" fontId="4" fillId="11" borderId="40" xfId="0" applyNumberFormat="1" applyFont="1" applyFill="1" applyBorder="1" applyAlignment="1">
      <alignment horizontal="center" wrapText="1"/>
    </xf>
    <xf numFmtId="1" fontId="4" fillId="3" borderId="40" xfId="0" applyNumberFormat="1" applyFont="1" applyFill="1" applyBorder="1" applyAlignment="1">
      <alignment horizontal="center" wrapText="1"/>
    </xf>
    <xf numFmtId="3" fontId="4" fillId="10" borderId="40" xfId="0" applyNumberFormat="1" applyFont="1" applyFill="1" applyBorder="1" applyAlignment="1">
      <alignment horizontal="right"/>
    </xf>
    <xf numFmtId="3" fontId="4" fillId="10" borderId="30" xfId="0" applyNumberFormat="1" applyFont="1" applyFill="1" applyBorder="1" applyAlignment="1">
      <alignment horizontal="right"/>
    </xf>
    <xf numFmtId="3" fontId="19" fillId="3" borderId="0" xfId="0" applyNumberFormat="1" applyFont="1" applyFill="1" applyBorder="1"/>
    <xf numFmtId="3" fontId="19" fillId="3" borderId="22" xfId="0" applyNumberFormat="1" applyFont="1" applyFill="1" applyBorder="1"/>
    <xf numFmtId="3" fontId="4" fillId="0" borderId="0" xfId="0" applyNumberFormat="1" applyFont="1" applyFill="1" applyBorder="1" applyAlignment="1">
      <alignment horizontal="right"/>
    </xf>
    <xf numFmtId="3" fontId="0" fillId="0" borderId="0" xfId="0" applyNumberFormat="1" applyBorder="1"/>
    <xf numFmtId="0" fontId="0" fillId="0" borderId="44" xfId="0" applyBorder="1"/>
    <xf numFmtId="0" fontId="0" fillId="0" borderId="0" xfId="0" applyBorder="1"/>
    <xf numFmtId="0" fontId="4" fillId="11" borderId="45" xfId="0" applyFont="1" applyFill="1" applyBorder="1" applyAlignment="1">
      <alignment horizontal="center"/>
    </xf>
    <xf numFmtId="1" fontId="3" fillId="3" borderId="46" xfId="0" applyNumberFormat="1" applyFont="1" applyFill="1" applyBorder="1" applyAlignment="1">
      <alignment horizontal="center" wrapText="1"/>
    </xf>
    <xf numFmtId="1" fontId="3" fillId="3" borderId="47" xfId="0" applyNumberFormat="1" applyFont="1" applyFill="1" applyBorder="1" applyAlignment="1">
      <alignment horizontal="center" wrapText="1"/>
    </xf>
    <xf numFmtId="0" fontId="3" fillId="3" borderId="45" xfId="0" applyFont="1" applyFill="1" applyBorder="1" applyAlignment="1">
      <alignment horizontal="center"/>
    </xf>
    <xf numFmtId="3" fontId="0" fillId="0" borderId="3" xfId="0" applyNumberFormat="1" applyBorder="1"/>
    <xf numFmtId="0" fontId="0" fillId="3" borderId="48" xfId="0" applyFill="1" applyBorder="1" applyAlignment="1">
      <alignment horizontal="center"/>
    </xf>
    <xf numFmtId="0" fontId="0" fillId="3" borderId="49" xfId="0" applyFill="1" applyBorder="1" applyAlignment="1">
      <alignment horizontal="center"/>
    </xf>
    <xf numFmtId="3" fontId="0" fillId="0" borderId="43" xfId="0" applyNumberFormat="1" applyBorder="1"/>
    <xf numFmtId="3" fontId="0" fillId="0" borderId="14" xfId="0" applyNumberFormat="1" applyBorder="1"/>
    <xf numFmtId="0" fontId="4" fillId="4" borderId="45" xfId="0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 wrapText="1"/>
    </xf>
    <xf numFmtId="3" fontId="7" fillId="0" borderId="0" xfId="0" applyNumberFormat="1" applyFont="1" applyFill="1" applyBorder="1"/>
    <xf numFmtId="3" fontId="7" fillId="0" borderId="3" xfId="0" applyNumberFormat="1" applyFont="1" applyFill="1" applyBorder="1"/>
    <xf numFmtId="3" fontId="7" fillId="0" borderId="43" xfId="0" applyNumberFormat="1" applyFont="1" applyFill="1" applyBorder="1"/>
    <xf numFmtId="3" fontId="7" fillId="0" borderId="14" xfId="0" applyNumberFormat="1" applyFont="1" applyFill="1" applyBorder="1"/>
    <xf numFmtId="0" fontId="3" fillId="3" borderId="50" xfId="0" applyFont="1" applyFill="1" applyBorder="1" applyAlignment="1">
      <alignment horizontal="center"/>
    </xf>
    <xf numFmtId="0" fontId="0" fillId="0" borderId="33" xfId="0" applyBorder="1"/>
    <xf numFmtId="0" fontId="25" fillId="0" borderId="0" xfId="0" applyFont="1"/>
    <xf numFmtId="3" fontId="4" fillId="8" borderId="29" xfId="0" applyNumberFormat="1" applyFont="1" applyFill="1" applyBorder="1" applyAlignment="1">
      <alignment horizontal="center"/>
    </xf>
    <xf numFmtId="3" fontId="24" fillId="7" borderId="0" xfId="0" applyNumberFormat="1" applyFont="1" applyFill="1" applyBorder="1" applyAlignment="1">
      <alignment horizontal="center"/>
    </xf>
    <xf numFmtId="3" fontId="4" fillId="7" borderId="0" xfId="0" applyNumberFormat="1" applyFont="1" applyFill="1" applyAlignment="1">
      <alignment horizontal="center"/>
    </xf>
    <xf numFmtId="3" fontId="24" fillId="7" borderId="0" xfId="0" applyNumberFormat="1" applyFont="1" applyFill="1" applyAlignment="1">
      <alignment horizontal="center"/>
    </xf>
    <xf numFmtId="3" fontId="4" fillId="7" borderId="0" xfId="0" applyNumberFormat="1" applyFont="1" applyFill="1" applyBorder="1" applyAlignment="1">
      <alignment horizontal="center"/>
    </xf>
    <xf numFmtId="0" fontId="10" fillId="2" borderId="0" xfId="0" applyFont="1" applyFill="1"/>
    <xf numFmtId="4" fontId="13" fillId="4" borderId="3" xfId="0" applyNumberFormat="1" applyFont="1" applyFill="1" applyBorder="1" applyAlignment="1">
      <alignment horizontal="center"/>
    </xf>
    <xf numFmtId="4" fontId="14" fillId="3" borderId="0" xfId="0" applyNumberFormat="1" applyFont="1" applyFill="1" applyAlignment="1">
      <alignment horizontal="center"/>
    </xf>
    <xf numFmtId="4" fontId="13" fillId="4" borderId="5" xfId="0" applyNumberFormat="1" applyFont="1" applyFill="1" applyBorder="1" applyAlignment="1">
      <alignment horizontal="center"/>
    </xf>
    <xf numFmtId="4" fontId="13" fillId="4" borderId="19" xfId="0" applyNumberFormat="1" applyFont="1" applyFill="1" applyBorder="1" applyAlignment="1">
      <alignment horizontal="center"/>
    </xf>
    <xf numFmtId="0" fontId="12" fillId="4" borderId="37" xfId="0" applyFont="1" applyFill="1" applyBorder="1" applyAlignment="1">
      <alignment horizontal="left" vertical="top" wrapText="1"/>
    </xf>
    <xf numFmtId="0" fontId="12" fillId="4" borderId="20" xfId="0" applyFont="1" applyFill="1" applyBorder="1" applyAlignment="1">
      <alignment horizontal="center"/>
    </xf>
    <xf numFmtId="0" fontId="0" fillId="2" borderId="51" xfId="0" applyFill="1" applyBorder="1"/>
    <xf numFmtId="0" fontId="10" fillId="2" borderId="52" xfId="0" applyFont="1" applyFill="1" applyBorder="1" applyAlignment="1">
      <alignment horizontal="center"/>
    </xf>
    <xf numFmtId="1" fontId="11" fillId="3" borderId="53" xfId="0" applyNumberFormat="1" applyFont="1" applyFill="1" applyBorder="1" applyAlignment="1">
      <alignment horizontal="center"/>
    </xf>
    <xf numFmtId="1" fontId="26" fillId="3" borderId="0" xfId="0" applyNumberFormat="1" applyFont="1" applyFill="1" applyBorder="1" applyAlignment="1">
      <alignment horizontal="center" wrapText="1"/>
    </xf>
    <xf numFmtId="1" fontId="4" fillId="11" borderId="28" xfId="0" applyNumberFormat="1" applyFont="1" applyFill="1" applyBorder="1" applyAlignment="1">
      <alignment horizontal="center" wrapText="1"/>
    </xf>
    <xf numFmtId="1" fontId="3" fillId="3" borderId="39" xfId="0" applyNumberFormat="1" applyFont="1" applyFill="1" applyBorder="1" applyAlignment="1">
      <alignment horizontal="center" wrapText="1"/>
    </xf>
    <xf numFmtId="1" fontId="8" fillId="3" borderId="40" xfId="0" applyNumberFormat="1" applyFont="1" applyFill="1" applyBorder="1" applyAlignment="1">
      <alignment horizontal="center" wrapText="1"/>
    </xf>
    <xf numFmtId="1" fontId="8" fillId="3" borderId="41" xfId="0" applyNumberFormat="1" applyFont="1" applyFill="1" applyBorder="1" applyAlignment="1">
      <alignment horizontal="right"/>
    </xf>
    <xf numFmtId="1" fontId="3" fillId="3" borderId="33" xfId="0" applyNumberFormat="1" applyFont="1" applyFill="1" applyBorder="1" applyAlignment="1">
      <alignment horizontal="center"/>
    </xf>
    <xf numFmtId="1" fontId="3" fillId="3" borderId="33" xfId="0" applyNumberFormat="1" applyFont="1" applyFill="1" applyBorder="1" applyAlignment="1">
      <alignment horizontal="center"/>
    </xf>
    <xf numFmtId="1" fontId="3" fillId="3" borderId="0" xfId="0" applyNumberFormat="1" applyFont="1" applyFill="1" applyBorder="1" applyAlignment="1">
      <alignment horizontal="center"/>
    </xf>
    <xf numFmtId="3" fontId="8" fillId="3" borderId="40" xfId="0" applyNumberFormat="1" applyFont="1" applyFill="1" applyBorder="1" applyAlignment="1">
      <alignment horizontal="center" wrapText="1"/>
    </xf>
  </cellXfs>
  <cellStyles count="4">
    <cellStyle name="Dårlig" xfId="2" builtinId="27"/>
    <cellStyle name="Komma" xfId="1" builtinId="3"/>
    <cellStyle name="Komma 2" xfId="3" xr:uid="{DA89BD0A-60A1-4F43-9301-ECCFD70C4644}"/>
    <cellStyle name="Normal" xfId="0" builtinId="0"/>
  </cellStyles>
  <dxfs count="2">
    <dxf>
      <numFmt numFmtId="1" formatCode="0"/>
    </dxf>
    <dxf>
      <numFmt numFmtId="0" formatCode="General"/>
    </dxf>
  </dxfs>
  <tableStyles count="0" defaultTableStyle="TableStyleMedium2" defaultPivotStyle="PivotStyleLight16"/>
  <colors>
    <mruColors>
      <color rgb="FFF4D8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vs</a:t>
            </a:r>
            <a:r>
              <a:rPr lang="en-US" baseline="0"/>
              <a:t> Budget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'%Cost vs Budget'!$B$1</c:f>
              <c:strCache>
                <c:ptCount val="1"/>
                <c:pt idx="0">
                  <c:v>Used of Budget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E7-452C-94C0-DEDC53FA5EB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9E7-452C-94C0-DEDC53FA5EB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E7-452C-94C0-DEDC53FA5EB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9E7-452C-94C0-DEDC53FA5EB3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E7-452C-94C0-DEDC53FA5EB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9E7-452C-94C0-DEDC53FA5EB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9E7-452C-94C0-DEDC53FA5EB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C9E7-452C-94C0-DEDC53FA5EB3}"/>
              </c:ext>
            </c:extLst>
          </c:dPt>
          <c:dPt>
            <c:idx val="8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9E7-452C-94C0-DEDC53FA5EB3}"/>
              </c:ext>
            </c:extLst>
          </c:dPt>
          <c:dPt>
            <c:idx val="9"/>
            <c:invertIfNegative val="0"/>
            <c:bubble3D val="0"/>
            <c:spPr>
              <a:solidFill>
                <a:srgbClr val="7030A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C9E7-452C-94C0-DEDC53FA5EB3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9E7-452C-94C0-DEDC53FA5EB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9E7-452C-94C0-DEDC53FA5EB3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/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C9E7-452C-94C0-DEDC53FA5EB3}"/>
              </c:ext>
            </c:extLst>
          </c:dPt>
          <c:cat>
            <c:strRef>
              <c:f>'%Cost vs Budget'!$A$2:$A$14</c:f>
              <c:strCache>
                <c:ptCount val="13"/>
                <c:pt idx="0">
                  <c:v>GOT</c:v>
                </c:pt>
                <c:pt idx="1">
                  <c:v>MNU</c:v>
                </c:pt>
                <c:pt idx="2">
                  <c:v>SCA</c:v>
                </c:pt>
                <c:pt idx="3">
                  <c:v>FOC</c:v>
                </c:pt>
                <c:pt idx="4">
                  <c:v>CLTV</c:v>
                </c:pt>
                <c:pt idx="5">
                  <c:v>MAI</c:v>
                </c:pt>
                <c:pt idx="6">
                  <c:v>BIN</c:v>
                </c:pt>
                <c:pt idx="7">
                  <c:v>IOC</c:v>
                </c:pt>
                <c:pt idx="8">
                  <c:v>HIE</c:v>
                </c:pt>
                <c:pt idx="9">
                  <c:v>BAL</c:v>
                </c:pt>
                <c:pt idx="10">
                  <c:v>MEERI</c:v>
                </c:pt>
                <c:pt idx="11">
                  <c:v>MCN</c:v>
                </c:pt>
                <c:pt idx="12">
                  <c:v>CKR</c:v>
                </c:pt>
              </c:strCache>
            </c:strRef>
          </c:cat>
          <c:val>
            <c:numRef>
              <c:f>'%Cost vs Budget'!$B$2:$B$14</c:f>
              <c:numCache>
                <c:formatCode>0</c:formatCode>
                <c:ptCount val="13"/>
                <c:pt idx="0">
                  <c:v>20.498142561165448</c:v>
                </c:pt>
                <c:pt idx="1">
                  <c:v>29.334354998345276</c:v>
                </c:pt>
                <c:pt idx="2">
                  <c:v>22.228007738846664</c:v>
                </c:pt>
                <c:pt idx="3">
                  <c:v>23.329145699636708</c:v>
                </c:pt>
                <c:pt idx="4">
                  <c:v>15.344396423175166</c:v>
                </c:pt>
                <c:pt idx="5">
                  <c:v>10.421054317331071</c:v>
                </c:pt>
                <c:pt idx="6">
                  <c:v>7.6098033931396944</c:v>
                </c:pt>
                <c:pt idx="7">
                  <c:v>6.7956784040770524</c:v>
                </c:pt>
                <c:pt idx="8">
                  <c:v>22.468177134431507</c:v>
                </c:pt>
                <c:pt idx="9">
                  <c:v>45.780784583620104</c:v>
                </c:pt>
                <c:pt idx="10">
                  <c:v>23.913982717989004</c:v>
                </c:pt>
                <c:pt idx="11">
                  <c:v>11.289715150227325</c:v>
                </c:pt>
                <c:pt idx="12">
                  <c:v>33.117714670433635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7-452C-94C0-DEDC53FA5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5206159"/>
        <c:axId val="1465104559"/>
      </c:barChart>
      <c:catAx>
        <c:axId val="34520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65104559"/>
        <c:crosses val="autoZero"/>
        <c:auto val="1"/>
        <c:lblAlgn val="ctr"/>
        <c:lblOffset val="100"/>
        <c:noMultiLvlLbl val="0"/>
      </c:catAx>
      <c:valAx>
        <c:axId val="146510455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4520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Project Cost versus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'Direct &amp;Indirect Personnal Cost'!$C$5</c:f>
              <c:strCache>
                <c:ptCount val="1"/>
                <c:pt idx="0">
                  <c:v>TOTAL
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'Direct &amp;Indirect Personnal Cost'!$B$6:$B$44</c15:sqref>
                  </c15:fullRef>
                </c:ext>
              </c:extLst>
              <c:f>('Direct &amp;Indirect Personnal Cost'!$B$6:$B$7,'Direct &amp;Indirect Personnal Cost'!$B$11,'Direct &amp;Indirect Personnal Cost'!$B$16,'Direct &amp;Indirect Personnal Cost'!$B$23,'Direct &amp;Indirect Personnal Cost'!$B$33,'Direct &amp;Indirect Personnal Cost'!$B$37,'Direct &amp;Indirect Personnal Cost'!$B$41,'Direct &amp;Indirect Personnal Cost'!$B$43)</c:f>
              <c:strCache>
                <c:ptCount val="9"/>
                <c:pt idx="0">
                  <c:v>ODC</c:v>
                </c:pt>
                <c:pt idx="1">
                  <c:v>WP1</c:v>
                </c:pt>
                <c:pt idx="2">
                  <c:v>WP2</c:v>
                </c:pt>
                <c:pt idx="3">
                  <c:v>WP3</c:v>
                </c:pt>
                <c:pt idx="4">
                  <c:v>WP4</c:v>
                </c:pt>
                <c:pt idx="5">
                  <c:v>WP5</c:v>
                </c:pt>
                <c:pt idx="6">
                  <c:v>WP6</c:v>
                </c:pt>
                <c:pt idx="7">
                  <c:v>WP7</c:v>
                </c:pt>
                <c:pt idx="8">
                  <c:v>T7.2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'Direct &amp;Indirect Personnal Cost'!$C$6:$C$44</c15:sqref>
                  </c15:fullRef>
                </c:ext>
              </c:extLst>
              <c:f>('Direct &amp;Indirect Personnal Cost'!$C$6:$C$7,'Direct &amp;Indirect Personnal Cost'!$C$11,'Direct &amp;Indirect Personnal Cost'!$C$16,'Direct &amp;Indirect Personnal Cost'!$C$23,'Direct &amp;Indirect Personnal Cost'!$C$33,'Direct &amp;Indirect Personnal Cost'!$C$37,'Direct &amp;Indirect Personnal Cost'!$C$41,'Direct &amp;Indirect Personnal Cost'!$C$43)</c:f>
              <c:numCache>
                <c:formatCode>#,##0</c:formatCode>
                <c:ptCount val="9"/>
                <c:pt idx="0" formatCode="0">
                  <c:v>0</c:v>
                </c:pt>
                <c:pt idx="1">
                  <c:v>107552.17689700077</c:v>
                </c:pt>
                <c:pt idx="2">
                  <c:v>67975.265929632689</c:v>
                </c:pt>
                <c:pt idx="3">
                  <c:v>84518.514688493553</c:v>
                </c:pt>
                <c:pt idx="4">
                  <c:v>21952.603262094621</c:v>
                </c:pt>
                <c:pt idx="5">
                  <c:v>42546.324297708605</c:v>
                </c:pt>
                <c:pt idx="6">
                  <c:v>56508.949745897713</c:v>
                </c:pt>
                <c:pt idx="7">
                  <c:v>116025.33132148575</c:v>
                </c:pt>
                <c:pt idx="8">
                  <c:v>50402.561505838057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8-4544-AC5F-0B2D3A4AC21F}"/>
            </c:ext>
          </c:extLst>
        </c:ser>
        <c:ser>
          <c:idx val="1"/>
          <c:order val="1"/>
          <c:tx>
            <c:strRef>
              <c:f>'Direct &amp;Indirect Personnal Cost'!$D$5</c:f>
              <c:strCache>
                <c:ptCount val="1"/>
                <c:pt idx="0">
                  <c:v>Other Dir. 
Cost 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'Direct &amp;Indirect Personnal Cost'!$B$6:$B$44</c15:sqref>
                  </c15:fullRef>
                </c:ext>
              </c:extLst>
              <c:f>('Direct &amp;Indirect Personnal Cost'!$B$6:$B$7,'Direct &amp;Indirect Personnal Cost'!$B$11,'Direct &amp;Indirect Personnal Cost'!$B$16,'Direct &amp;Indirect Personnal Cost'!$B$23,'Direct &amp;Indirect Personnal Cost'!$B$33,'Direct &amp;Indirect Personnal Cost'!$B$37,'Direct &amp;Indirect Personnal Cost'!$B$41,'Direct &amp;Indirect Personnal Cost'!$B$43)</c:f>
              <c:strCache>
                <c:ptCount val="9"/>
                <c:pt idx="0">
                  <c:v>ODC</c:v>
                </c:pt>
                <c:pt idx="1">
                  <c:v>WP1</c:v>
                </c:pt>
                <c:pt idx="2">
                  <c:v>T1.1</c:v>
                </c:pt>
                <c:pt idx="3">
                  <c:v>T1.2</c:v>
                </c:pt>
                <c:pt idx="4">
                  <c:v>T1.3 </c:v>
                </c:pt>
                <c:pt idx="5">
                  <c:v>WP2</c:v>
                </c:pt>
                <c:pt idx="6">
                  <c:v>T2.1</c:v>
                </c:pt>
                <c:pt idx="7">
                  <c:v>T2.2</c:v>
                </c:pt>
                <c:pt idx="8">
                  <c:v>T2.3</c:v>
                </c:pt>
                <c:pt idx="9">
                  <c:v>T2.4</c:v>
                </c:pt>
                <c:pt idx="10">
                  <c:v>WP3</c:v>
                </c:pt>
                <c:pt idx="11">
                  <c:v>T3.1</c:v>
                </c:pt>
                <c:pt idx="12">
                  <c:v>T3.2</c:v>
                </c:pt>
                <c:pt idx="13">
                  <c:v>T3.3</c:v>
                </c:pt>
                <c:pt idx="14">
                  <c:v>T3.4</c:v>
                </c:pt>
                <c:pt idx="15">
                  <c:v>T3.5</c:v>
                </c:pt>
                <c:pt idx="16">
                  <c:v>T3.6</c:v>
                </c:pt>
                <c:pt idx="17">
                  <c:v>WP4</c:v>
                </c:pt>
                <c:pt idx="18">
                  <c:v>T4.1</c:v>
                </c:pt>
                <c:pt idx="19">
                  <c:v>T4.2</c:v>
                </c:pt>
                <c:pt idx="20">
                  <c:v>T4.3</c:v>
                </c:pt>
                <c:pt idx="21">
                  <c:v>T4.4</c:v>
                </c:pt>
                <c:pt idx="22">
                  <c:v>T4.5</c:v>
                </c:pt>
                <c:pt idx="23">
                  <c:v>T4.6</c:v>
                </c:pt>
                <c:pt idx="24">
                  <c:v>T4.7</c:v>
                </c:pt>
                <c:pt idx="25">
                  <c:v>T4.8</c:v>
                </c:pt>
                <c:pt idx="26">
                  <c:v>T4.9</c:v>
                </c:pt>
                <c:pt idx="27">
                  <c:v>WP5</c:v>
                </c:pt>
                <c:pt idx="28">
                  <c:v>T5.1</c:v>
                </c:pt>
                <c:pt idx="29">
                  <c:v>T5.2</c:v>
                </c:pt>
                <c:pt idx="30">
                  <c:v>T5.3</c:v>
                </c:pt>
                <c:pt idx="31">
                  <c:v>WP6</c:v>
                </c:pt>
                <c:pt idx="32">
                  <c:v>T6.1</c:v>
                </c:pt>
                <c:pt idx="33">
                  <c:v>T6.2</c:v>
                </c:pt>
                <c:pt idx="34">
                  <c:v>T6.3</c:v>
                </c:pt>
                <c:pt idx="35">
                  <c:v>WP7</c:v>
                </c:pt>
                <c:pt idx="36">
                  <c:v>T7.1</c:v>
                </c:pt>
                <c:pt idx="37">
                  <c:v>T7.2</c:v>
                </c:pt>
                <c:pt idx="38">
                  <c:v>T7.3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'Direct &amp;Indirect Personnal Cost'!$D$6:$D$44</c15:sqref>
                  </c15:fullRef>
                </c:ext>
              </c:extLst>
              <c:f>('Direct &amp;Indirect Personnal Cost'!$D$6:$D$7,'Direct &amp;Indirect Personnal Cost'!$D$11,'Direct &amp;Indirect Personnal Cost'!$D$16,'Direct &amp;Indirect Personnal Cost'!$D$23,'Direct &amp;Indirect Personnal Cost'!$D$33,'Direct &amp;Indirect Personnal Cost'!$D$37,'Direct &amp;Indirect Personnal Cost'!$D$41,'Direct &amp;Indirect Personnal Cost'!$D$43)</c:f>
            </c:numRef>
          </c:val>
          <c:extLst>
            <c:ext xmlns:c16="http://schemas.microsoft.com/office/drawing/2014/chart" uri="{C3380CC4-5D6E-409C-BE32-E72D297353CC}">
              <c16:uniqueId val="{00000001-43F8-4544-AC5F-0B2D3A4AC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08466191"/>
        <c:axId val="1808449551"/>
      </c:barChart>
      <c:lineChart>
        <c:grouping val="standard"/>
        <c:varyColors val="0"/>
        <c:ser>
          <c:idx val="2"/>
          <c:order val="2"/>
          <c:tx>
            <c:strRef>
              <c:f>'Direct &amp;Indirect Personnal Cost'!$E$5</c:f>
              <c:strCache>
                <c:ptCount val="1"/>
                <c:pt idx="0">
                  <c:v>TOTAL BUDGET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'Direct &amp;Indirect Personnal Cost'!$B$6:$B$44</c15:sqref>
                  </c15:fullRef>
                </c:ext>
              </c:extLst>
              <c:f>('Direct &amp;Indirect Personnal Cost'!$B$6:$B$7,'Direct &amp;Indirect Personnal Cost'!$B$11,'Direct &amp;Indirect Personnal Cost'!$B$16,'Direct &amp;Indirect Personnal Cost'!$B$23,'Direct &amp;Indirect Personnal Cost'!$B$33,'Direct &amp;Indirect Personnal Cost'!$B$37,'Direct &amp;Indirect Personnal Cost'!$B$41,'Direct &amp;Indirect Personnal Cost'!$B$43)</c:f>
              <c:strCache>
                <c:ptCount val="9"/>
                <c:pt idx="0">
                  <c:v>ODC</c:v>
                </c:pt>
                <c:pt idx="1">
                  <c:v>WP1</c:v>
                </c:pt>
                <c:pt idx="2">
                  <c:v>WP2</c:v>
                </c:pt>
                <c:pt idx="3">
                  <c:v>WP3</c:v>
                </c:pt>
                <c:pt idx="4">
                  <c:v>WP4</c:v>
                </c:pt>
                <c:pt idx="5">
                  <c:v>WP5</c:v>
                </c:pt>
                <c:pt idx="6">
                  <c:v>WP6</c:v>
                </c:pt>
                <c:pt idx="7">
                  <c:v>WP7</c:v>
                </c:pt>
                <c:pt idx="8">
                  <c:v>T7.2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'Direct &amp;Indirect Personnal Cost'!$E$6:$E$44</c15:sqref>
                  </c15:fullRef>
                </c:ext>
              </c:extLst>
              <c:f>('Direct &amp;Indirect Personnal Cost'!$E$6:$E$7,'Direct &amp;Indirect Personnal Cost'!$E$11,'Direct &amp;Indirect Personnal Cost'!$E$16,'Direct &amp;Indirect Personnal Cost'!$E$23,'Direct &amp;Indirect Personnal Cost'!$E$33,'Direct &amp;Indirect Personnal Cost'!$E$37,'Direct &amp;Indirect Personnal Cost'!$E$41,'Direct &amp;Indirect Personnal Cost'!$E$43)</c:f>
              <c:numCache>
                <c:formatCode>#,##0</c:formatCode>
                <c:ptCount val="9"/>
                <c:pt idx="0" formatCode="0">
                  <c:v>343929</c:v>
                </c:pt>
                <c:pt idx="1">
                  <c:v>226991.17</c:v>
                </c:pt>
                <c:pt idx="2">
                  <c:v>153493.81</c:v>
                </c:pt>
                <c:pt idx="3">
                  <c:v>434125.12</c:v>
                </c:pt>
                <c:pt idx="4">
                  <c:v>700689.32</c:v>
                </c:pt>
                <c:pt idx="5">
                  <c:v>148095.22999999998</c:v>
                </c:pt>
                <c:pt idx="6">
                  <c:v>231218.95</c:v>
                </c:pt>
                <c:pt idx="7">
                  <c:v>214000</c:v>
                </c:pt>
                <c:pt idx="8">
                  <c:v>46812.5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F8-4544-AC5F-0B2D3A4AC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466191"/>
        <c:axId val="1808449551"/>
      </c:lineChart>
      <c:catAx>
        <c:axId val="18084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08449551"/>
        <c:crosses val="autoZero"/>
        <c:auto val="1"/>
        <c:lblAlgn val="ctr"/>
        <c:lblOffset val="100"/>
        <c:noMultiLvlLbl val="0"/>
      </c:catAx>
      <c:valAx>
        <c:axId val="180844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0846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WP1 Cost</a:t>
            </a:r>
            <a:r>
              <a:rPr lang="nb-NO" baseline="0"/>
              <a:t> versus Budget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'WP Cost VS Budget'!$C$23</c:f>
              <c:strCache>
                <c:ptCount val="1"/>
                <c:pt idx="0">
                  <c:v>TOTAL
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'WP Cost VS Budget'!$B$24:$B$27</c:f>
              <c:strCache>
                <c:ptCount val="4"/>
                <c:pt idx="0">
                  <c:v>WP1</c:v>
                </c:pt>
                <c:pt idx="1">
                  <c:v>T1.1</c:v>
                </c:pt>
                <c:pt idx="2">
                  <c:v>T1.2</c:v>
                </c:pt>
                <c:pt idx="3">
                  <c:v>T1.3 </c:v>
                </c:pt>
              </c:strCache>
            </c:strRef>
          </c:cat>
          <c:val>
            <c:numRef>
              <c:f>'WP Cost VS Budget'!$C$24:$C$27</c:f>
              <c:numCache>
                <c:formatCode>#,##0</c:formatCode>
                <c:ptCount val="4"/>
                <c:pt idx="0">
                  <c:v>107552.17689700077</c:v>
                </c:pt>
                <c:pt idx="1">
                  <c:v>41951.053728673003</c:v>
                </c:pt>
                <c:pt idx="2">
                  <c:v>30527.423979246461</c:v>
                </c:pt>
                <c:pt idx="3">
                  <c:v>31448.389814081289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2-4C39-B67C-ACBA5A1E7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79206175"/>
        <c:axId val="979204095"/>
      </c:barChart>
      <c:lineChart>
        <c:grouping val="standard"/>
        <c:varyColors val="0"/>
        <c:ser>
          <c:idx val="1"/>
          <c:order val="1"/>
          <c:tx>
            <c:strRef>
              <c:f>'WP Cost VS Budget'!$D$23</c:f>
              <c:strCache>
                <c:ptCount val="1"/>
                <c:pt idx="0">
                  <c:v>TOTAL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'WP Cost VS Budget'!$B$24:$B$27</c:f>
              <c:strCache>
                <c:ptCount val="4"/>
                <c:pt idx="0">
                  <c:v>WP1</c:v>
                </c:pt>
                <c:pt idx="1">
                  <c:v>T1.1</c:v>
                </c:pt>
                <c:pt idx="2">
                  <c:v>T1.2</c:v>
                </c:pt>
                <c:pt idx="3">
                  <c:v>T1.3 </c:v>
                </c:pt>
              </c:strCache>
            </c:strRef>
          </c:cat>
          <c:val>
            <c:numRef>
              <c:f>'WP Cost VS Budget'!$D$24:$D$27</c:f>
              <c:numCache>
                <c:formatCode>#,##0</c:formatCode>
                <c:ptCount val="4"/>
                <c:pt idx="0">
                  <c:v>226991.17</c:v>
                </c:pt>
                <c:pt idx="1">
                  <c:v>88440.739999999991</c:v>
                </c:pt>
                <c:pt idx="2">
                  <c:v>53116.01</c:v>
                </c:pt>
                <c:pt idx="3">
                  <c:v>85434.42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2-4C39-B67C-ACBA5A1E7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206175"/>
        <c:axId val="979204095"/>
      </c:lineChart>
      <c:catAx>
        <c:axId val="97920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79204095"/>
        <c:crosses val="autoZero"/>
        <c:auto val="1"/>
        <c:lblAlgn val="ctr"/>
        <c:lblOffset val="100"/>
        <c:noMultiLvlLbl val="0"/>
      </c:catAx>
      <c:valAx>
        <c:axId val="97920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97920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800" b="0" i="0" baseline="0">
                <a:effectLst/>
              </a:rPr>
              <a:t>WP2 Cost versus Budget</a:t>
            </a:r>
            <a:endParaRPr lang="nb-N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'WP Cost VS Budget'!$C$38</c:f>
              <c:strCache>
                <c:ptCount val="1"/>
                <c:pt idx="0">
                  <c:v>TOTAL
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'WP Cost VS Budget'!$B$39:$B$43</c:f>
              <c:strCache>
                <c:ptCount val="5"/>
                <c:pt idx="0">
                  <c:v>WP2</c:v>
                </c:pt>
                <c:pt idx="1">
                  <c:v>T2.1</c:v>
                </c:pt>
                <c:pt idx="2">
                  <c:v>T2.2</c:v>
                </c:pt>
                <c:pt idx="3">
                  <c:v>T2.3</c:v>
                </c:pt>
                <c:pt idx="4">
                  <c:v>T2.4</c:v>
                </c:pt>
              </c:strCache>
            </c:strRef>
          </c:cat>
          <c:val>
            <c:numRef>
              <c:f>'WP Cost VS Budget'!$C$39:$C$43</c:f>
              <c:numCache>
                <c:formatCode>#,##0</c:formatCode>
                <c:ptCount val="5"/>
                <c:pt idx="0">
                  <c:v>67975.265929632689</c:v>
                </c:pt>
                <c:pt idx="1">
                  <c:v>19638.133747697415</c:v>
                </c:pt>
                <c:pt idx="2">
                  <c:v>5204.3415723569178</c:v>
                </c:pt>
                <c:pt idx="3">
                  <c:v>10843.041911952334</c:v>
                </c:pt>
                <c:pt idx="4">
                  <c:v>32340.659166944206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8-4F1F-88DB-559B7C02F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27663695"/>
        <c:axId val="1827662031"/>
      </c:barChart>
      <c:lineChart>
        <c:grouping val="standard"/>
        <c:varyColors val="0"/>
        <c:ser>
          <c:idx val="1"/>
          <c:order val="1"/>
          <c:tx>
            <c:strRef>
              <c:f>'WP Cost VS Budget'!$D$38</c:f>
              <c:strCache>
                <c:ptCount val="1"/>
                <c:pt idx="0">
                  <c:v>TOTAL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'WP Cost VS Budget'!$B$39:$B$43</c:f>
              <c:strCache>
                <c:ptCount val="5"/>
                <c:pt idx="0">
                  <c:v>WP2</c:v>
                </c:pt>
                <c:pt idx="1">
                  <c:v>T2.1</c:v>
                </c:pt>
                <c:pt idx="2">
                  <c:v>T2.2</c:v>
                </c:pt>
                <c:pt idx="3">
                  <c:v>T2.3</c:v>
                </c:pt>
                <c:pt idx="4">
                  <c:v>T2.4</c:v>
                </c:pt>
              </c:strCache>
            </c:strRef>
          </c:cat>
          <c:val>
            <c:numRef>
              <c:f>'WP Cost VS Budget'!$D$39:$D$43</c:f>
              <c:numCache>
                <c:formatCode>#,##0</c:formatCode>
                <c:ptCount val="5"/>
                <c:pt idx="0">
                  <c:v>153493.81</c:v>
                </c:pt>
                <c:pt idx="1">
                  <c:v>67887.510000000009</c:v>
                </c:pt>
                <c:pt idx="2">
                  <c:v>3343.75</c:v>
                </c:pt>
                <c:pt idx="3">
                  <c:v>12525</c:v>
                </c:pt>
                <c:pt idx="4">
                  <c:v>69737.55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8-4F1F-88DB-559B7C02F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7663695"/>
        <c:axId val="1827662031"/>
      </c:lineChart>
      <c:catAx>
        <c:axId val="182766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27662031"/>
        <c:crosses val="autoZero"/>
        <c:auto val="1"/>
        <c:lblAlgn val="ctr"/>
        <c:lblOffset val="100"/>
        <c:noMultiLvlLbl val="0"/>
      </c:catAx>
      <c:valAx>
        <c:axId val="1827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2766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nb-NO" sz="1800" b="0" i="0" baseline="0">
                <a:effectLst/>
              </a:rPr>
              <a:t>WP3 Cost versus Budget</a:t>
            </a:r>
            <a:endParaRPr lang="nb-NO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'WP Cost VS Budget'!$C$53</c:f>
              <c:strCache>
                <c:ptCount val="1"/>
                <c:pt idx="0">
                  <c:v>TOTAL
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'WP Cost VS Budget'!$B$54:$B$60</c:f>
              <c:strCache>
                <c:ptCount val="7"/>
                <c:pt idx="0">
                  <c:v>WP3</c:v>
                </c:pt>
                <c:pt idx="1">
                  <c:v>T3.1</c:v>
                </c:pt>
                <c:pt idx="2">
                  <c:v>T3.2</c:v>
                </c:pt>
                <c:pt idx="3">
                  <c:v>T3.3</c:v>
                </c:pt>
                <c:pt idx="4">
                  <c:v>T3.4</c:v>
                </c:pt>
                <c:pt idx="5">
                  <c:v>T3.5</c:v>
                </c:pt>
                <c:pt idx="6">
                  <c:v>T3.6</c:v>
                </c:pt>
              </c:strCache>
            </c:strRef>
          </c:cat>
          <c:val>
            <c:numRef>
              <c:f>'WP Cost VS Budget'!$C$54:$C$60</c:f>
              <c:numCache>
                <c:formatCode>#,##0</c:formatCode>
                <c:ptCount val="7"/>
                <c:pt idx="0">
                  <c:v>84518.514688493553</c:v>
                </c:pt>
                <c:pt idx="1">
                  <c:v>47272.494660916309</c:v>
                </c:pt>
                <c:pt idx="2">
                  <c:v>14726.04276507724</c:v>
                </c:pt>
                <c:pt idx="3">
                  <c:v>15885.025000000001</c:v>
                </c:pt>
                <c:pt idx="4">
                  <c:v>0</c:v>
                </c:pt>
                <c:pt idx="5">
                  <c:v>0</c:v>
                </c:pt>
                <c:pt idx="6">
                  <c:v>6187.5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1-4BC1-8C25-AC3144CA2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5352895"/>
        <c:axId val="1655356223"/>
      </c:barChart>
      <c:lineChart>
        <c:grouping val="standard"/>
        <c:varyColors val="0"/>
        <c:ser>
          <c:idx val="1"/>
          <c:order val="1"/>
          <c:tx>
            <c:strRef>
              <c:f>'WP Cost VS Budget'!$D$53</c:f>
              <c:strCache>
                <c:ptCount val="1"/>
                <c:pt idx="0">
                  <c:v>TOTAL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'WP Cost VS Budget'!$B$54:$B$60</c:f>
              <c:strCache>
                <c:ptCount val="7"/>
                <c:pt idx="0">
                  <c:v>WP3</c:v>
                </c:pt>
                <c:pt idx="1">
                  <c:v>T3.1</c:v>
                </c:pt>
                <c:pt idx="2">
                  <c:v>T3.2</c:v>
                </c:pt>
                <c:pt idx="3">
                  <c:v>T3.3</c:v>
                </c:pt>
                <c:pt idx="4">
                  <c:v>T3.4</c:v>
                </c:pt>
                <c:pt idx="5">
                  <c:v>T3.5</c:v>
                </c:pt>
                <c:pt idx="6">
                  <c:v>T3.6</c:v>
                </c:pt>
              </c:strCache>
            </c:strRef>
          </c:cat>
          <c:val>
            <c:numRef>
              <c:f>'WP Cost VS Budget'!$D$54:$D$60</c:f>
              <c:numCache>
                <c:formatCode>#,##0</c:formatCode>
                <c:ptCount val="7"/>
                <c:pt idx="0">
                  <c:v>434125.12</c:v>
                </c:pt>
                <c:pt idx="1">
                  <c:v>68475.03</c:v>
                </c:pt>
                <c:pt idx="2">
                  <c:v>18562.5</c:v>
                </c:pt>
                <c:pt idx="3">
                  <c:v>121637.57</c:v>
                </c:pt>
                <c:pt idx="4">
                  <c:v>26750</c:v>
                </c:pt>
                <c:pt idx="5">
                  <c:v>26750</c:v>
                </c:pt>
                <c:pt idx="6">
                  <c:v>171950.02000000002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11-4BC1-8C25-AC3144CA2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5352895"/>
        <c:axId val="1655356223"/>
      </c:lineChart>
      <c:catAx>
        <c:axId val="165535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55356223"/>
        <c:crosses val="autoZero"/>
        <c:auto val="1"/>
        <c:lblAlgn val="ctr"/>
        <c:lblOffset val="100"/>
        <c:noMultiLvlLbl val="0"/>
      </c:catAx>
      <c:valAx>
        <c:axId val="165535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5535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800" b="0" i="0" baseline="0">
                <a:effectLst/>
              </a:rPr>
              <a:t>WP4 Cost versus Budget</a:t>
            </a:r>
            <a:endParaRPr lang="nb-N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'WP Cost VS Budget'!$C$68</c:f>
              <c:strCache>
                <c:ptCount val="1"/>
                <c:pt idx="0">
                  <c:v>TOTAL
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'WP Cost VS Budget'!$B$69:$B$78</c:f>
              <c:strCache>
                <c:ptCount val="10"/>
                <c:pt idx="0">
                  <c:v>WP4</c:v>
                </c:pt>
                <c:pt idx="1">
                  <c:v>T4.1</c:v>
                </c:pt>
                <c:pt idx="2">
                  <c:v>T4.2</c:v>
                </c:pt>
                <c:pt idx="3">
                  <c:v>T4.3</c:v>
                </c:pt>
                <c:pt idx="4">
                  <c:v>T4.4</c:v>
                </c:pt>
                <c:pt idx="5">
                  <c:v>T4.5</c:v>
                </c:pt>
                <c:pt idx="6">
                  <c:v>T4.6</c:v>
                </c:pt>
                <c:pt idx="7">
                  <c:v>T4.7</c:v>
                </c:pt>
                <c:pt idx="8">
                  <c:v>T4.8</c:v>
                </c:pt>
                <c:pt idx="9">
                  <c:v>T4.9</c:v>
                </c:pt>
              </c:strCache>
            </c:strRef>
          </c:cat>
          <c:val>
            <c:numRef>
              <c:f>'WP Cost VS Budget'!$C$69:$C$78</c:f>
              <c:numCache>
                <c:formatCode>#,##0</c:formatCode>
                <c:ptCount val="10"/>
                <c:pt idx="0">
                  <c:v>21952.603262094621</c:v>
                </c:pt>
                <c:pt idx="1">
                  <c:v>8347.2261002439154</c:v>
                </c:pt>
                <c:pt idx="2">
                  <c:v>5371.85</c:v>
                </c:pt>
                <c:pt idx="3">
                  <c:v>326.75</c:v>
                </c:pt>
                <c:pt idx="4">
                  <c:v>0</c:v>
                </c:pt>
                <c:pt idx="5">
                  <c:v>359.9074800325219</c:v>
                </c:pt>
                <c:pt idx="6">
                  <c:v>230.55500000000001</c:v>
                </c:pt>
                <c:pt idx="7">
                  <c:v>798.07499999999993</c:v>
                </c:pt>
                <c:pt idx="8">
                  <c:v>595.19468181818183</c:v>
                </c:pt>
                <c:pt idx="9">
                  <c:v>5748.0500000000011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B-4130-964D-053BB48DD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72551967"/>
        <c:axId val="1072553631"/>
      </c:barChart>
      <c:lineChart>
        <c:grouping val="standard"/>
        <c:varyColors val="0"/>
        <c:ser>
          <c:idx val="1"/>
          <c:order val="1"/>
          <c:tx>
            <c:strRef>
              <c:f>'WP Cost VS Budget'!$D$68</c:f>
              <c:strCache>
                <c:ptCount val="1"/>
                <c:pt idx="0">
                  <c:v>TOTAL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'WP Cost VS Budget'!$B$69:$B$78</c:f>
              <c:strCache>
                <c:ptCount val="10"/>
                <c:pt idx="0">
                  <c:v>WP4</c:v>
                </c:pt>
                <c:pt idx="1">
                  <c:v>T4.1</c:v>
                </c:pt>
                <c:pt idx="2">
                  <c:v>T4.2</c:v>
                </c:pt>
                <c:pt idx="3">
                  <c:v>T4.3</c:v>
                </c:pt>
                <c:pt idx="4">
                  <c:v>T4.4</c:v>
                </c:pt>
                <c:pt idx="5">
                  <c:v>T4.5</c:v>
                </c:pt>
                <c:pt idx="6">
                  <c:v>T4.6</c:v>
                </c:pt>
                <c:pt idx="7">
                  <c:v>T4.7</c:v>
                </c:pt>
                <c:pt idx="8">
                  <c:v>T4.8</c:v>
                </c:pt>
                <c:pt idx="9">
                  <c:v>T4.9</c:v>
                </c:pt>
              </c:strCache>
            </c:strRef>
          </c:cat>
          <c:val>
            <c:numRef>
              <c:f>'WP Cost VS Budget'!$D$69:$D$78</c:f>
              <c:numCache>
                <c:formatCode>#,##0</c:formatCode>
                <c:ptCount val="10"/>
                <c:pt idx="0">
                  <c:v>700689.32</c:v>
                </c:pt>
                <c:pt idx="1">
                  <c:v>24218.75</c:v>
                </c:pt>
                <c:pt idx="2">
                  <c:v>169499.08</c:v>
                </c:pt>
                <c:pt idx="3">
                  <c:v>113875.04999999999</c:v>
                </c:pt>
                <c:pt idx="4">
                  <c:v>70268.81</c:v>
                </c:pt>
                <c:pt idx="5">
                  <c:v>114196.76</c:v>
                </c:pt>
                <c:pt idx="6">
                  <c:v>6925</c:v>
                </c:pt>
                <c:pt idx="7">
                  <c:v>54018.33</c:v>
                </c:pt>
                <c:pt idx="8">
                  <c:v>53087.47</c:v>
                </c:pt>
                <c:pt idx="9">
                  <c:v>94600.07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B-4130-964D-053BB48DD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551967"/>
        <c:axId val="1072553631"/>
      </c:lineChart>
      <c:catAx>
        <c:axId val="107255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2553631"/>
        <c:crosses val="autoZero"/>
        <c:auto val="1"/>
        <c:lblAlgn val="ctr"/>
        <c:lblOffset val="100"/>
        <c:noMultiLvlLbl val="0"/>
      </c:catAx>
      <c:valAx>
        <c:axId val="107255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07255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800" b="0" i="0" baseline="0">
                <a:effectLst/>
              </a:rPr>
              <a:t>WP5 Cost versus Budget</a:t>
            </a:r>
            <a:endParaRPr lang="nb-N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'WP Cost VS Budget'!$C$83</c:f>
              <c:strCache>
                <c:ptCount val="1"/>
                <c:pt idx="0">
                  <c:v>TOTAL
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'WP Cost VS Budget'!$B$84:$B$87</c:f>
              <c:strCache>
                <c:ptCount val="4"/>
                <c:pt idx="0">
                  <c:v>WP5</c:v>
                </c:pt>
                <c:pt idx="1">
                  <c:v>T5.1</c:v>
                </c:pt>
                <c:pt idx="2">
                  <c:v>T5.2</c:v>
                </c:pt>
                <c:pt idx="3">
                  <c:v>T5.3 </c:v>
                </c:pt>
              </c:strCache>
            </c:strRef>
          </c:cat>
          <c:val>
            <c:numRef>
              <c:f>'WP Cost VS Budget'!$C$84:$C$87</c:f>
              <c:numCache>
                <c:formatCode>#,##0</c:formatCode>
                <c:ptCount val="4"/>
                <c:pt idx="0">
                  <c:v>42546.324297708605</c:v>
                </c:pt>
                <c:pt idx="1">
                  <c:v>40961.187400208597</c:v>
                </c:pt>
                <c:pt idx="2">
                  <c:v>771.5</c:v>
                </c:pt>
                <c:pt idx="3">
                  <c:v>796.20624999999995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2-4432-A9EA-BF6A840C9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6746415"/>
        <c:axId val="1810191679"/>
      </c:barChart>
      <c:lineChart>
        <c:grouping val="standard"/>
        <c:varyColors val="0"/>
        <c:ser>
          <c:idx val="1"/>
          <c:order val="1"/>
          <c:tx>
            <c:strRef>
              <c:f>'WP Cost VS Budget'!$D$83</c:f>
              <c:strCache>
                <c:ptCount val="1"/>
                <c:pt idx="0">
                  <c:v>TOTAL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'WP Cost VS Budget'!$B$84:$B$87</c:f>
              <c:strCache>
                <c:ptCount val="4"/>
                <c:pt idx="0">
                  <c:v>WP5</c:v>
                </c:pt>
                <c:pt idx="1">
                  <c:v>T5.1</c:v>
                </c:pt>
                <c:pt idx="2">
                  <c:v>T5.2</c:v>
                </c:pt>
                <c:pt idx="3">
                  <c:v>T5.3 </c:v>
                </c:pt>
              </c:strCache>
            </c:strRef>
          </c:cat>
          <c:val>
            <c:numRef>
              <c:f>'WP Cost VS Budget'!$D$84:$D$87</c:f>
              <c:numCache>
                <c:formatCode>#,##0</c:formatCode>
                <c:ptCount val="4"/>
                <c:pt idx="0">
                  <c:v>148095.22999999998</c:v>
                </c:pt>
                <c:pt idx="1">
                  <c:v>55221.349999999991</c:v>
                </c:pt>
                <c:pt idx="2">
                  <c:v>55221.349999999991</c:v>
                </c:pt>
                <c:pt idx="3">
                  <c:v>37652.530000000006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2-4432-A9EA-BF6A840C9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746415"/>
        <c:axId val="1810191679"/>
      </c:lineChart>
      <c:catAx>
        <c:axId val="172674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10191679"/>
        <c:crosses val="autoZero"/>
        <c:auto val="1"/>
        <c:lblAlgn val="ctr"/>
        <c:lblOffset val="100"/>
        <c:noMultiLvlLbl val="0"/>
      </c:catAx>
      <c:valAx>
        <c:axId val="181019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72674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nb-NO" sz="1800" b="0" i="0" baseline="0">
                <a:effectLst/>
              </a:rPr>
              <a:t>WP6 Cost versus Budget</a:t>
            </a:r>
            <a:endParaRPr lang="nb-NO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'WP Cost VS Budget'!$C$98</c:f>
              <c:strCache>
                <c:ptCount val="1"/>
                <c:pt idx="0">
                  <c:v>TOTAL
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'WP Cost VS Budget'!$B$99:$B$102</c:f>
              <c:strCache>
                <c:ptCount val="4"/>
                <c:pt idx="0">
                  <c:v>WP6</c:v>
                </c:pt>
                <c:pt idx="1">
                  <c:v>T6.1</c:v>
                </c:pt>
                <c:pt idx="2">
                  <c:v>T6.2</c:v>
                </c:pt>
                <c:pt idx="3">
                  <c:v>T6.3 </c:v>
                </c:pt>
              </c:strCache>
            </c:strRef>
          </c:cat>
          <c:val>
            <c:numRef>
              <c:f>'WP Cost VS Budget'!$C$99:$C$102</c:f>
              <c:numCache>
                <c:formatCode>#,##0</c:formatCode>
                <c:ptCount val="4"/>
                <c:pt idx="0">
                  <c:v>56508.949745897713</c:v>
                </c:pt>
                <c:pt idx="1">
                  <c:v>39463.092502314139</c:v>
                </c:pt>
                <c:pt idx="2">
                  <c:v>10860.063160833579</c:v>
                </c:pt>
                <c:pt idx="3">
                  <c:v>1066.5956250000002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6-4F3E-A634-F0911CBFF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08444975"/>
        <c:axId val="1808450383"/>
      </c:barChart>
      <c:lineChart>
        <c:grouping val="standard"/>
        <c:varyColors val="0"/>
        <c:ser>
          <c:idx val="1"/>
          <c:order val="1"/>
          <c:tx>
            <c:strRef>
              <c:f>'WP Cost VS Budget'!$D$98</c:f>
              <c:strCache>
                <c:ptCount val="1"/>
                <c:pt idx="0">
                  <c:v>TOTAL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'WP Cost VS Budget'!$B$99:$B$102</c:f>
              <c:strCache>
                <c:ptCount val="4"/>
                <c:pt idx="0">
                  <c:v>WP6</c:v>
                </c:pt>
                <c:pt idx="1">
                  <c:v>T6.1</c:v>
                </c:pt>
                <c:pt idx="2">
                  <c:v>T6.2</c:v>
                </c:pt>
                <c:pt idx="3">
                  <c:v>T6.3 </c:v>
                </c:pt>
              </c:strCache>
            </c:strRef>
          </c:cat>
          <c:val>
            <c:numRef>
              <c:f>'WP Cost VS Budget'!$D$99:$D$102</c:f>
              <c:numCache>
                <c:formatCode>#,##0</c:formatCode>
                <c:ptCount val="4"/>
                <c:pt idx="0">
                  <c:v>231218.95</c:v>
                </c:pt>
                <c:pt idx="1">
                  <c:v>55825.06</c:v>
                </c:pt>
                <c:pt idx="2">
                  <c:v>108168.84</c:v>
                </c:pt>
                <c:pt idx="3">
                  <c:v>67225.05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36-4F3E-A634-F0911CBFF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444975"/>
        <c:axId val="1808450383"/>
      </c:lineChart>
      <c:catAx>
        <c:axId val="180844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08450383"/>
        <c:crosses val="autoZero"/>
        <c:auto val="1"/>
        <c:lblAlgn val="ctr"/>
        <c:lblOffset val="100"/>
        <c:noMultiLvlLbl val="0"/>
      </c:catAx>
      <c:valAx>
        <c:axId val="180845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0844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nb-NO" sz="1800" b="0" i="0" baseline="0">
                <a:effectLst/>
              </a:rPr>
              <a:t>WP7 Cost versus Budget</a:t>
            </a:r>
            <a:endParaRPr lang="nb-NO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'WP Cost VS Budget'!$C$113</c:f>
              <c:strCache>
                <c:ptCount val="1"/>
                <c:pt idx="0">
                  <c:v>TOTAL
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'WP Cost VS Budget'!$B$114:$B$117</c:f>
              <c:strCache>
                <c:ptCount val="4"/>
                <c:pt idx="0">
                  <c:v>WP7</c:v>
                </c:pt>
                <c:pt idx="1">
                  <c:v>T7.1</c:v>
                </c:pt>
                <c:pt idx="2">
                  <c:v>T7.2</c:v>
                </c:pt>
                <c:pt idx="3">
                  <c:v>T7.3 </c:v>
                </c:pt>
              </c:strCache>
            </c:strRef>
          </c:cat>
          <c:val>
            <c:numRef>
              <c:f>'WP Cost VS Budget'!$C$114:$C$117</c:f>
              <c:numCache>
                <c:formatCode>#,##0</c:formatCode>
                <c:ptCount val="4"/>
                <c:pt idx="0">
                  <c:v>116025.33132148575</c:v>
                </c:pt>
                <c:pt idx="1">
                  <c:v>42675.263923074512</c:v>
                </c:pt>
                <c:pt idx="2">
                  <c:v>50402.561505838057</c:v>
                </c:pt>
                <c:pt idx="3">
                  <c:v>22855.607455073172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2-416A-9D10-4AF990A38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0147055"/>
        <c:axId val="1810147471"/>
      </c:barChart>
      <c:lineChart>
        <c:grouping val="standard"/>
        <c:varyColors val="0"/>
        <c:ser>
          <c:idx val="1"/>
          <c:order val="1"/>
          <c:tx>
            <c:strRef>
              <c:f>'WP Cost VS Budget'!$D$113</c:f>
              <c:strCache>
                <c:ptCount val="1"/>
                <c:pt idx="0">
                  <c:v>TOTAL BUDGET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'WP Cost VS Budget'!$B$114:$B$117</c:f>
              <c:strCache>
                <c:ptCount val="4"/>
                <c:pt idx="0">
                  <c:v>WP7</c:v>
                </c:pt>
                <c:pt idx="1">
                  <c:v>T7.1</c:v>
                </c:pt>
                <c:pt idx="2">
                  <c:v>T7.2</c:v>
                </c:pt>
                <c:pt idx="3">
                  <c:v>T7.3 </c:v>
                </c:pt>
              </c:strCache>
            </c:strRef>
          </c:cat>
          <c:val>
            <c:numRef>
              <c:f>'WP Cost VS Budget'!$D$114:$D$117</c:f>
              <c:numCache>
                <c:formatCode>#,##0</c:formatCode>
                <c:ptCount val="4"/>
                <c:pt idx="0">
                  <c:v>214000</c:v>
                </c:pt>
                <c:pt idx="1">
                  <c:v>147125</c:v>
                </c:pt>
                <c:pt idx="2">
                  <c:v>46812.5</c:v>
                </c:pt>
                <c:pt idx="3">
                  <c:v>20062.5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42-416A-9D10-4AF990A38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0147055"/>
        <c:axId val="1810147471"/>
      </c:lineChart>
      <c:catAx>
        <c:axId val="181014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10147471"/>
        <c:crosses val="autoZero"/>
        <c:auto val="1"/>
        <c:lblAlgn val="ctr"/>
        <c:lblOffset val="100"/>
        <c:noMultiLvlLbl val="0"/>
      </c:catAx>
      <c:valAx>
        <c:axId val="181014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81014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2</xdr:row>
      <xdr:rowOff>123824</xdr:rowOff>
    </xdr:from>
    <xdr:to>
      <xdr:col>14</xdr:col>
      <xdr:colOff>428624</xdr:colOff>
      <xdr:row>37</xdr:row>
      <xdr:rowOff>114299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E5B46D8-2A5B-98E5-BD6B-E65BBE8AD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161925</xdr:rowOff>
    </xdr:from>
    <xdr:to>
      <xdr:col>10</xdr:col>
      <xdr:colOff>161925</xdr:colOff>
      <xdr:row>19</xdr:row>
      <xdr:rowOff>47625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216FD70C-BCDF-4136-8E55-22C2FA219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180975</xdr:colOff>
      <xdr:row>21</xdr:row>
      <xdr:rowOff>185737</xdr:rowOff>
    </xdr:from>
    <xdr:to>
      <xdr:col>10</xdr:col>
      <xdr:colOff>180975</xdr:colOff>
      <xdr:row>35</xdr:row>
      <xdr:rowOff>52387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23707791-3E30-4802-D4A2-D1C6383D4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176212</xdr:colOff>
      <xdr:row>36</xdr:row>
      <xdr:rowOff>185737</xdr:rowOff>
    </xdr:from>
    <xdr:to>
      <xdr:col>10</xdr:col>
      <xdr:colOff>176212</xdr:colOff>
      <xdr:row>50</xdr:row>
      <xdr:rowOff>52387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E449F4A9-2264-3374-0BDE-E645463DE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157162</xdr:colOff>
      <xdr:row>52</xdr:row>
      <xdr:rowOff>14287</xdr:rowOff>
    </xdr:from>
    <xdr:to>
      <xdr:col>10</xdr:col>
      <xdr:colOff>157162</xdr:colOff>
      <xdr:row>65</xdr:row>
      <xdr:rowOff>71437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668C1334-03F4-7F7C-DBE2-933865B5B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138112</xdr:colOff>
      <xdr:row>67</xdr:row>
      <xdr:rowOff>4762</xdr:rowOff>
    </xdr:from>
    <xdr:to>
      <xdr:col>10</xdr:col>
      <xdr:colOff>138112</xdr:colOff>
      <xdr:row>80</xdr:row>
      <xdr:rowOff>61912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6C1243B2-1D20-9224-FE8E-112B3909E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128587</xdr:colOff>
      <xdr:row>81</xdr:row>
      <xdr:rowOff>185737</xdr:rowOff>
    </xdr:from>
    <xdr:to>
      <xdr:col>10</xdr:col>
      <xdr:colOff>128587</xdr:colOff>
      <xdr:row>95</xdr:row>
      <xdr:rowOff>52387</xdr:rowOff>
    </xdr:to>
    <xdr:graphicFrame macro="">
      <xdr:nvGraphicFramePr>
        <xdr:cNvPr id="10" name="Diagram 9">
          <a:extLst>
            <a:ext uri="{FF2B5EF4-FFF2-40B4-BE49-F238E27FC236}">
              <a16:creationId xmlns:a16="http://schemas.microsoft.com/office/drawing/2014/main" id="{CC5DE63C-F480-2E6D-45E9-73359E4D5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128587</xdr:colOff>
      <xdr:row>97</xdr:row>
      <xdr:rowOff>14287</xdr:rowOff>
    </xdr:from>
    <xdr:to>
      <xdr:col>10</xdr:col>
      <xdr:colOff>128587</xdr:colOff>
      <xdr:row>110</xdr:row>
      <xdr:rowOff>71437</xdr:rowOff>
    </xdr:to>
    <xdr:graphicFrame macro="">
      <xdr:nvGraphicFramePr>
        <xdr:cNvPr id="11" name="Diagram 10">
          <a:extLst>
            <a:ext uri="{FF2B5EF4-FFF2-40B4-BE49-F238E27FC236}">
              <a16:creationId xmlns:a16="http://schemas.microsoft.com/office/drawing/2014/main" id="{DC35F95C-DD9C-735F-39F0-A8501E93A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100012</xdr:colOff>
      <xdr:row>112</xdr:row>
      <xdr:rowOff>4762</xdr:rowOff>
    </xdr:from>
    <xdr:to>
      <xdr:col>10</xdr:col>
      <xdr:colOff>100012</xdr:colOff>
      <xdr:row>125</xdr:row>
      <xdr:rowOff>61912</xdr:rowOff>
    </xdr:to>
    <xdr:graphicFrame macro="">
      <xdr:nvGraphicFramePr>
        <xdr:cNvPr id="12" name="Diagram 11">
          <a:extLst>
            <a:ext uri="{FF2B5EF4-FFF2-40B4-BE49-F238E27FC236}">
              <a16:creationId xmlns:a16="http://schemas.microsoft.com/office/drawing/2014/main" id="{30693C4E-CB22-BBED-DB6E-A62DD8063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9524</xdr:colOff>
      <xdr:row>2</xdr:row>
      <xdr:rowOff>76200</xdr:rowOff>
    </xdr:from>
    <xdr:ext cx="657225" cy="342786"/>
    <xdr:sp macro="" textlink="">
      <xdr:nvSpPr>
        <xdr:cNvPr id="15" name="TekstSylinder 14">
          <a:extLst>
            <a:ext uri="{FF2B5EF4-FFF2-40B4-BE49-F238E27FC236}">
              <a16:creationId xmlns:a16="http://schemas.microsoft.com/office/drawing/2014/main" id="{5274D484-B6D7-45F6-BA5D-8AEF72998BEC}"/>
            </a:ext>
          </a:extLst>
        </xdr:cNvPr>
        <xdr:cNvSpPr txBox="1"/>
      </xdr:nvSpPr>
      <xdr:spPr>
        <a:xfrm>
          <a:off x="11696699" y="542925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FOC</a:t>
          </a:r>
        </a:p>
      </xdr:txBody>
    </xdr:sp>
    <xdr:clientData/>
  </xdr:oneCellAnchor>
  <xdr:oneCellAnchor>
    <xdr:from>
      <xdr:col>40</xdr:col>
      <xdr:colOff>38101</xdr:colOff>
      <xdr:row>2</xdr:row>
      <xdr:rowOff>38100</xdr:rowOff>
    </xdr:from>
    <xdr:ext cx="762000" cy="342786"/>
    <xdr:sp macro="" textlink="">
      <xdr:nvSpPr>
        <xdr:cNvPr id="16" name="TekstSylinder 15">
          <a:extLst>
            <a:ext uri="{FF2B5EF4-FFF2-40B4-BE49-F238E27FC236}">
              <a16:creationId xmlns:a16="http://schemas.microsoft.com/office/drawing/2014/main" id="{D542A03C-6650-48F6-AE30-2B6E716900E2}"/>
            </a:ext>
          </a:extLst>
        </xdr:cNvPr>
        <xdr:cNvSpPr txBox="1"/>
      </xdr:nvSpPr>
      <xdr:spPr>
        <a:xfrm>
          <a:off x="23040976" y="504825"/>
          <a:ext cx="7620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BAL</a:t>
          </a:r>
        </a:p>
      </xdr:txBody>
    </xdr:sp>
    <xdr:clientData/>
  </xdr:oneCellAnchor>
  <xdr:oneCellAnchor>
    <xdr:from>
      <xdr:col>46</xdr:col>
      <xdr:colOff>647699</xdr:colOff>
      <xdr:row>2</xdr:row>
      <xdr:rowOff>57150</xdr:rowOff>
    </xdr:from>
    <xdr:ext cx="657225" cy="342786"/>
    <xdr:sp macro="" textlink="">
      <xdr:nvSpPr>
        <xdr:cNvPr id="17" name="TekstSylinder 16">
          <a:extLst>
            <a:ext uri="{FF2B5EF4-FFF2-40B4-BE49-F238E27FC236}">
              <a16:creationId xmlns:a16="http://schemas.microsoft.com/office/drawing/2014/main" id="{BFA1A8CD-25B5-445F-9A49-A85526BE589A}"/>
            </a:ext>
          </a:extLst>
        </xdr:cNvPr>
        <xdr:cNvSpPr txBox="1"/>
      </xdr:nvSpPr>
      <xdr:spPr>
        <a:xfrm>
          <a:off x="26984324" y="523875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MCN</a:t>
          </a:r>
        </a:p>
      </xdr:txBody>
    </xdr:sp>
    <xdr:clientData/>
  </xdr:oneCellAnchor>
  <xdr:oneCellAnchor>
    <xdr:from>
      <xdr:col>36</xdr:col>
      <xdr:colOff>66674</xdr:colOff>
      <xdr:row>2</xdr:row>
      <xdr:rowOff>28575</xdr:rowOff>
    </xdr:from>
    <xdr:ext cx="657225" cy="342786"/>
    <xdr:sp macro="" textlink="">
      <xdr:nvSpPr>
        <xdr:cNvPr id="18" name="TekstSylinder 17">
          <a:extLst>
            <a:ext uri="{FF2B5EF4-FFF2-40B4-BE49-F238E27FC236}">
              <a16:creationId xmlns:a16="http://schemas.microsoft.com/office/drawing/2014/main" id="{3AEED3B9-FB63-4048-BF31-26AD4DAAB4A2}"/>
            </a:ext>
          </a:extLst>
        </xdr:cNvPr>
        <xdr:cNvSpPr txBox="1"/>
      </xdr:nvSpPr>
      <xdr:spPr>
        <a:xfrm>
          <a:off x="21069299" y="495300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HIE</a:t>
          </a:r>
        </a:p>
      </xdr:txBody>
    </xdr:sp>
    <xdr:clientData/>
  </xdr:oneCellAnchor>
  <xdr:oneCellAnchor>
    <xdr:from>
      <xdr:col>32</xdr:col>
      <xdr:colOff>38099</xdr:colOff>
      <xdr:row>2</xdr:row>
      <xdr:rowOff>28575</xdr:rowOff>
    </xdr:from>
    <xdr:ext cx="657225" cy="342786"/>
    <xdr:sp macro="" textlink="">
      <xdr:nvSpPr>
        <xdr:cNvPr id="19" name="TekstSylinder 18">
          <a:extLst>
            <a:ext uri="{FF2B5EF4-FFF2-40B4-BE49-F238E27FC236}">
              <a16:creationId xmlns:a16="http://schemas.microsoft.com/office/drawing/2014/main" id="{45587E15-58D8-433D-B535-C824B4CC7938}"/>
            </a:ext>
          </a:extLst>
        </xdr:cNvPr>
        <xdr:cNvSpPr txBox="1"/>
      </xdr:nvSpPr>
      <xdr:spPr>
        <a:xfrm>
          <a:off x="19183349" y="495300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IOC</a:t>
          </a:r>
        </a:p>
      </xdr:txBody>
    </xdr:sp>
    <xdr:clientData/>
  </xdr:oneCellAnchor>
  <xdr:oneCellAnchor>
    <xdr:from>
      <xdr:col>23</xdr:col>
      <xdr:colOff>9524</xdr:colOff>
      <xdr:row>2</xdr:row>
      <xdr:rowOff>47625</xdr:rowOff>
    </xdr:from>
    <xdr:ext cx="657225" cy="342786"/>
    <xdr:sp macro="" textlink="">
      <xdr:nvSpPr>
        <xdr:cNvPr id="21" name="TekstSylinder 20">
          <a:extLst>
            <a:ext uri="{FF2B5EF4-FFF2-40B4-BE49-F238E27FC236}">
              <a16:creationId xmlns:a16="http://schemas.microsoft.com/office/drawing/2014/main" id="{B34BB933-D801-4A39-A5EE-F869E0862484}"/>
            </a:ext>
          </a:extLst>
        </xdr:cNvPr>
        <xdr:cNvSpPr txBox="1"/>
      </xdr:nvSpPr>
      <xdr:spPr>
        <a:xfrm>
          <a:off x="15440024" y="514350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>
              <a:solidFill>
                <a:sysClr val="windowText" lastClr="000000"/>
              </a:solidFill>
            </a:rPr>
            <a:t>MAI</a:t>
          </a:r>
        </a:p>
      </xdr:txBody>
    </xdr:sp>
    <xdr:clientData/>
  </xdr:oneCellAnchor>
  <xdr:oneCellAnchor>
    <xdr:from>
      <xdr:col>18</xdr:col>
      <xdr:colOff>666749</xdr:colOff>
      <xdr:row>2</xdr:row>
      <xdr:rowOff>38100</xdr:rowOff>
    </xdr:from>
    <xdr:ext cx="657225" cy="342786"/>
    <xdr:sp macro="" textlink="">
      <xdr:nvSpPr>
        <xdr:cNvPr id="22" name="TekstSylinder 21">
          <a:extLst>
            <a:ext uri="{FF2B5EF4-FFF2-40B4-BE49-F238E27FC236}">
              <a16:creationId xmlns:a16="http://schemas.microsoft.com/office/drawing/2014/main" id="{A837B04B-345E-48CF-BBE7-58AD3AED8E99}"/>
            </a:ext>
          </a:extLst>
        </xdr:cNvPr>
        <xdr:cNvSpPr txBox="1"/>
      </xdr:nvSpPr>
      <xdr:spPr>
        <a:xfrm>
          <a:off x="13563599" y="504825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CTLV</a:t>
          </a:r>
        </a:p>
      </xdr:txBody>
    </xdr:sp>
    <xdr:clientData/>
  </xdr:oneCellAnchor>
  <xdr:oneCellAnchor>
    <xdr:from>
      <xdr:col>8</xdr:col>
      <xdr:colOff>47624</xdr:colOff>
      <xdr:row>2</xdr:row>
      <xdr:rowOff>47625</xdr:rowOff>
    </xdr:from>
    <xdr:ext cx="657225" cy="342786"/>
    <xdr:sp macro="" textlink="">
      <xdr:nvSpPr>
        <xdr:cNvPr id="23" name="TekstSylinder 22">
          <a:extLst>
            <a:ext uri="{FF2B5EF4-FFF2-40B4-BE49-F238E27FC236}">
              <a16:creationId xmlns:a16="http://schemas.microsoft.com/office/drawing/2014/main" id="{6A10CAB5-8085-4ED1-870C-043597E3200C}"/>
            </a:ext>
          </a:extLst>
        </xdr:cNvPr>
        <xdr:cNvSpPr txBox="1"/>
      </xdr:nvSpPr>
      <xdr:spPr>
        <a:xfrm>
          <a:off x="7953374" y="514350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MNU</a:t>
          </a:r>
        </a:p>
      </xdr:txBody>
    </xdr:sp>
    <xdr:clientData/>
  </xdr:oneCellAnchor>
  <xdr:oneCellAnchor>
    <xdr:from>
      <xdr:col>12</xdr:col>
      <xdr:colOff>66675</xdr:colOff>
      <xdr:row>2</xdr:row>
      <xdr:rowOff>66675</xdr:rowOff>
    </xdr:from>
    <xdr:ext cx="657225" cy="342786"/>
    <xdr:sp macro="" textlink="">
      <xdr:nvSpPr>
        <xdr:cNvPr id="24" name="TekstSylinder 23">
          <a:extLst>
            <a:ext uri="{FF2B5EF4-FFF2-40B4-BE49-F238E27FC236}">
              <a16:creationId xmlns:a16="http://schemas.microsoft.com/office/drawing/2014/main" id="{6AAC2DBD-C722-4231-8834-BFE6E99BB753}"/>
            </a:ext>
          </a:extLst>
        </xdr:cNvPr>
        <xdr:cNvSpPr txBox="1"/>
      </xdr:nvSpPr>
      <xdr:spPr>
        <a:xfrm>
          <a:off x="9829800" y="533400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SCA</a:t>
          </a:r>
        </a:p>
      </xdr:txBody>
    </xdr:sp>
    <xdr:clientData/>
  </xdr:oneCellAnchor>
  <xdr:oneCellAnchor>
    <xdr:from>
      <xdr:col>42</xdr:col>
      <xdr:colOff>590550</xdr:colOff>
      <xdr:row>2</xdr:row>
      <xdr:rowOff>38100</xdr:rowOff>
    </xdr:from>
    <xdr:ext cx="762000" cy="342786"/>
    <xdr:sp macro="" textlink="">
      <xdr:nvSpPr>
        <xdr:cNvPr id="25" name="TekstSylinder 24">
          <a:extLst>
            <a:ext uri="{FF2B5EF4-FFF2-40B4-BE49-F238E27FC236}">
              <a16:creationId xmlns:a16="http://schemas.microsoft.com/office/drawing/2014/main" id="{A0A538CA-9D16-4E4A-A6AD-AF398E2C5D82}"/>
            </a:ext>
          </a:extLst>
        </xdr:cNvPr>
        <xdr:cNvSpPr txBox="1"/>
      </xdr:nvSpPr>
      <xdr:spPr>
        <a:xfrm>
          <a:off x="24926925" y="504825"/>
          <a:ext cx="7620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MEERI</a:t>
          </a:r>
        </a:p>
      </xdr:txBody>
    </xdr:sp>
    <xdr:clientData/>
  </xdr:oneCellAnchor>
  <xdr:oneCellAnchor>
    <xdr:from>
      <xdr:col>52</xdr:col>
      <xdr:colOff>28574</xdr:colOff>
      <xdr:row>2</xdr:row>
      <xdr:rowOff>57150</xdr:rowOff>
    </xdr:from>
    <xdr:ext cx="657225" cy="342786"/>
    <xdr:sp macro="" textlink="">
      <xdr:nvSpPr>
        <xdr:cNvPr id="26" name="TekstSylinder 25">
          <a:extLst>
            <a:ext uri="{FF2B5EF4-FFF2-40B4-BE49-F238E27FC236}">
              <a16:creationId xmlns:a16="http://schemas.microsoft.com/office/drawing/2014/main" id="{9871AAF9-F60D-4B39-B10D-C6420BD9F7F3}"/>
            </a:ext>
          </a:extLst>
        </xdr:cNvPr>
        <xdr:cNvSpPr txBox="1"/>
      </xdr:nvSpPr>
      <xdr:spPr>
        <a:xfrm>
          <a:off x="29032199" y="523875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/>
            <a:t>CKR</a:t>
          </a:r>
        </a:p>
      </xdr:txBody>
    </xdr:sp>
    <xdr:clientData/>
  </xdr:oneCellAnchor>
  <xdr:oneCellAnchor>
    <xdr:from>
      <xdr:col>28</xdr:col>
      <xdr:colOff>57149</xdr:colOff>
      <xdr:row>2</xdr:row>
      <xdr:rowOff>38100</xdr:rowOff>
    </xdr:from>
    <xdr:ext cx="657225" cy="342786"/>
    <xdr:sp macro="" textlink="">
      <xdr:nvSpPr>
        <xdr:cNvPr id="27" name="TekstSylinder 26">
          <a:extLst>
            <a:ext uri="{FF2B5EF4-FFF2-40B4-BE49-F238E27FC236}">
              <a16:creationId xmlns:a16="http://schemas.microsoft.com/office/drawing/2014/main" id="{030DFFBF-F034-418C-8345-B965016D16B7}"/>
            </a:ext>
          </a:extLst>
        </xdr:cNvPr>
        <xdr:cNvSpPr txBox="1"/>
      </xdr:nvSpPr>
      <xdr:spPr>
        <a:xfrm>
          <a:off x="17335499" y="504825"/>
          <a:ext cx="6572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nb-NO" sz="1600" b="1">
              <a:solidFill>
                <a:sysClr val="windowText" lastClr="000000"/>
              </a:solidFill>
            </a:rPr>
            <a:t>BIN</a:t>
          </a:r>
        </a:p>
      </xdr:txBody>
    </xdr:sp>
    <xdr:clientData/>
  </xdr:oneCellAnchor>
  <xdr:oneCellAnchor>
    <xdr:from>
      <xdr:col>1</xdr:col>
      <xdr:colOff>438150</xdr:colOff>
      <xdr:row>0</xdr:row>
      <xdr:rowOff>228600</xdr:rowOff>
    </xdr:from>
    <xdr:ext cx="1987595" cy="609013"/>
    <xdr:sp macro="" textlink="">
      <xdr:nvSpPr>
        <xdr:cNvPr id="33" name="TekstSylinder 32">
          <a:extLst>
            <a:ext uri="{FF2B5EF4-FFF2-40B4-BE49-F238E27FC236}">
              <a16:creationId xmlns:a16="http://schemas.microsoft.com/office/drawing/2014/main" id="{504495F7-A006-3F8A-E7D6-50BB4C96D4D0}"/>
            </a:ext>
          </a:extLst>
        </xdr:cNvPr>
        <xdr:cNvSpPr txBox="1"/>
      </xdr:nvSpPr>
      <xdr:spPr>
        <a:xfrm>
          <a:off x="5019675" y="228600"/>
          <a:ext cx="1987595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nb-NO" sz="1100" b="1"/>
            <a:t>TOTAL</a:t>
          </a:r>
        </a:p>
        <a:p>
          <a:pPr algn="ctr"/>
          <a:r>
            <a:rPr lang="nb-NO" sz="1100" b="1"/>
            <a:t>All Direct &amp; Indirect Cost (EUR)</a:t>
          </a:r>
        </a:p>
        <a:p>
          <a:pPr algn="ctr"/>
          <a:r>
            <a:rPr lang="nb-NO" sz="1100" b="1"/>
            <a:t>ACTUAL</a:t>
          </a:r>
          <a:r>
            <a:rPr lang="nb-NO" sz="1100" b="1" baseline="0"/>
            <a:t> &amp; BUDGET</a:t>
          </a:r>
          <a:endParaRPr lang="nb-NO" sz="1100" b="1"/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71F7BD3B-62E6-49F8-9EDA-DD46F0767236}" autoFormatId="16" applyNumberFormats="0" applyBorderFormats="0" applyFontFormats="0" applyPatternFormats="0" applyAlignmentFormats="0" applyWidthHeightFormats="0">
  <queryTableRefresh nextId="3">
    <queryTableFields count="2">
      <queryTableField id="1" name="Partner" tableColumnId="1"/>
      <queryTableField id="2" name="Used of Budge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12615B-4E60-4CC6-895E-B5E03F12638C}" name="Tabell1__2" displayName="Tabell1__2" ref="A1:B14" tableType="queryTable" totalsRowShown="0">
  <autoFilter ref="A1:B14" xr:uid="{9E12615B-4E60-4CC6-895E-B5E03F12638C}"/>
  <tableColumns count="2">
    <tableColumn id="1" xr3:uid="{115BB692-F6B5-42FE-9841-9C263432DB80}" uniqueName="1" name="Partner" queryTableFieldId="1" dataDxfId="1"/>
    <tableColumn id="2" xr3:uid="{DB33BC5A-36ED-474E-B907-6E6B1FE0BC1D}" uniqueName="2" name="Used of Budget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3E90-391C-490E-8D08-A5D86F312D96}">
  <dimension ref="A1:B14"/>
  <sheetViews>
    <sheetView workbookViewId="0">
      <selection activeCell="B18" sqref="B18"/>
    </sheetView>
  </sheetViews>
  <sheetFormatPr baseColWidth="10" defaultRowHeight="15" x14ac:dyDescent="0.25"/>
  <cols>
    <col min="1" max="1" width="9.85546875" bestFit="1" customWidth="1"/>
    <col min="2" max="2" width="16.85546875" style="111" bestFit="1" customWidth="1"/>
  </cols>
  <sheetData>
    <row r="1" spans="1:2" x14ac:dyDescent="0.25">
      <c r="A1" t="s">
        <v>187</v>
      </c>
      <c r="B1" s="111" t="s">
        <v>151</v>
      </c>
    </row>
    <row r="2" spans="1:2" x14ac:dyDescent="0.25">
      <c r="A2" s="193" t="s">
        <v>186</v>
      </c>
      <c r="B2" s="111">
        <v>20.498142561165448</v>
      </c>
    </row>
    <row r="3" spans="1:2" x14ac:dyDescent="0.25">
      <c r="A3" s="193" t="s">
        <v>150</v>
      </c>
      <c r="B3" s="111">
        <v>29.334354998345276</v>
      </c>
    </row>
    <row r="4" spans="1:2" x14ac:dyDescent="0.25">
      <c r="A4" s="193" t="s">
        <v>152</v>
      </c>
      <c r="B4" s="111">
        <v>22.228007738846664</v>
      </c>
    </row>
    <row r="5" spans="1:2" x14ac:dyDescent="0.25">
      <c r="A5" s="193" t="s">
        <v>153</v>
      </c>
      <c r="B5" s="111">
        <v>23.329145699636708</v>
      </c>
    </row>
    <row r="6" spans="1:2" x14ac:dyDescent="0.25">
      <c r="A6" s="193" t="s">
        <v>154</v>
      </c>
      <c r="B6" s="111">
        <v>15.344396423175166</v>
      </c>
    </row>
    <row r="7" spans="1:2" x14ac:dyDescent="0.25">
      <c r="A7" s="193" t="s">
        <v>155</v>
      </c>
      <c r="B7" s="111">
        <v>10.421054317331071</v>
      </c>
    </row>
    <row r="8" spans="1:2" x14ac:dyDescent="0.25">
      <c r="A8" s="193" t="s">
        <v>156</v>
      </c>
      <c r="B8" s="111">
        <v>7.6098033931396944</v>
      </c>
    </row>
    <row r="9" spans="1:2" x14ac:dyDescent="0.25">
      <c r="A9" s="193" t="s">
        <v>157</v>
      </c>
      <c r="B9" s="111">
        <v>6.7956784040770524</v>
      </c>
    </row>
    <row r="10" spans="1:2" x14ac:dyDescent="0.25">
      <c r="A10" s="193" t="s">
        <v>112</v>
      </c>
      <c r="B10" s="111">
        <v>22.468177134431507</v>
      </c>
    </row>
    <row r="11" spans="1:2" x14ac:dyDescent="0.25">
      <c r="A11" s="193" t="s">
        <v>158</v>
      </c>
      <c r="B11" s="111">
        <v>45.780784583620104</v>
      </c>
    </row>
    <row r="12" spans="1:2" x14ac:dyDescent="0.25">
      <c r="A12" s="193" t="s">
        <v>159</v>
      </c>
      <c r="B12" s="111">
        <v>23.913982717989004</v>
      </c>
    </row>
    <row r="13" spans="1:2" x14ac:dyDescent="0.25">
      <c r="A13" s="193" t="s">
        <v>125</v>
      </c>
      <c r="B13" s="111">
        <v>11.289715150227325</v>
      </c>
    </row>
    <row r="14" spans="1:2" x14ac:dyDescent="0.25">
      <c r="A14" s="193" t="s">
        <v>160</v>
      </c>
      <c r="B14" s="111">
        <v>33.117714670433635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E239-CDC5-49C2-80E9-82C3DD67B32B}">
  <dimension ref="B6:S117"/>
  <sheetViews>
    <sheetView tabSelected="1" topLeftCell="B21" workbookViewId="0">
      <selection activeCell="N23" sqref="N23"/>
    </sheetView>
  </sheetViews>
  <sheetFormatPr baseColWidth="10" defaultRowHeight="15" x14ac:dyDescent="0.25"/>
  <cols>
    <col min="19" max="19" width="16.7109375" style="140" customWidth="1"/>
  </cols>
  <sheetData>
    <row r="6" spans="14:14" ht="15.75" thickBot="1" x14ac:dyDescent="0.3">
      <c r="N6" s="233"/>
    </row>
    <row r="7" spans="14:14" ht="15.75" thickTop="1" x14ac:dyDescent="0.25"/>
    <row r="15" spans="14:14" ht="15.75" x14ac:dyDescent="0.25">
      <c r="N15" s="234"/>
    </row>
    <row r="23" spans="2:5" ht="30.75" thickBot="1" x14ac:dyDescent="0.3">
      <c r="B23" s="226" t="s">
        <v>142</v>
      </c>
      <c r="C23" s="218" t="s">
        <v>137</v>
      </c>
      <c r="D23" s="227" t="s">
        <v>135</v>
      </c>
    </row>
    <row r="24" spans="2:5" ht="15.75" thickTop="1" x14ac:dyDescent="0.25">
      <c r="B24" s="232" t="s">
        <v>8</v>
      </c>
      <c r="C24" s="228">
        <f>SUM('Direct &amp;Indirect Personnal Cost'!C7)</f>
        <v>107552.17689700077</v>
      </c>
      <c r="D24" s="229">
        <f>SUM('Direct &amp;Indirect Personnal Cost'!E7)</f>
        <v>226991.17</v>
      </c>
      <c r="E24" s="213"/>
    </row>
    <row r="25" spans="2:5" x14ac:dyDescent="0.25">
      <c r="B25" s="222" t="s">
        <v>10</v>
      </c>
      <c r="C25" s="228">
        <f>SUM('Direct &amp;Indirect Personnal Cost'!C8)</f>
        <v>41951.053728673003</v>
      </c>
      <c r="D25" s="229">
        <f>SUM('Direct &amp;Indirect Personnal Cost'!E8)</f>
        <v>88440.739999999991</v>
      </c>
      <c r="E25" s="213"/>
    </row>
    <row r="26" spans="2:5" x14ac:dyDescent="0.25">
      <c r="B26" s="222" t="s">
        <v>12</v>
      </c>
      <c r="C26" s="228">
        <f>SUM('Direct &amp;Indirect Personnal Cost'!C9)</f>
        <v>30527.423979246461</v>
      </c>
      <c r="D26" s="229">
        <f>SUM('Direct &amp;Indirect Personnal Cost'!E9)</f>
        <v>53116.01</v>
      </c>
      <c r="E26" s="213"/>
    </row>
    <row r="27" spans="2:5" x14ac:dyDescent="0.25">
      <c r="B27" s="223" t="s">
        <v>14</v>
      </c>
      <c r="C27" s="230">
        <f>SUM('Direct &amp;Indirect Personnal Cost'!C10)</f>
        <v>31448.389814081289</v>
      </c>
      <c r="D27" s="231">
        <f>SUM('Direct &amp;Indirect Personnal Cost'!E10)</f>
        <v>85434.42</v>
      </c>
      <c r="E27" s="213"/>
    </row>
    <row r="37" spans="2:4" x14ac:dyDescent="0.25">
      <c r="B37" s="216"/>
    </row>
    <row r="38" spans="2:4" ht="30.75" thickBot="1" x14ac:dyDescent="0.3">
      <c r="B38" s="217" t="s">
        <v>142</v>
      </c>
      <c r="C38" s="218" t="s">
        <v>137</v>
      </c>
      <c r="D38" s="219" t="s">
        <v>135</v>
      </c>
    </row>
    <row r="39" spans="2:4" ht="15.75" thickTop="1" x14ac:dyDescent="0.25">
      <c r="B39" s="220" t="s">
        <v>16</v>
      </c>
      <c r="C39" s="214">
        <f>SUM('Direct &amp;Indirect Personnal Cost'!C11)</f>
        <v>67975.265929632689</v>
      </c>
      <c r="D39" s="221">
        <f>SUM('Direct &amp;Indirect Personnal Cost'!E11)</f>
        <v>153493.81</v>
      </c>
    </row>
    <row r="40" spans="2:4" x14ac:dyDescent="0.25">
      <c r="B40" s="222" t="s">
        <v>18</v>
      </c>
      <c r="C40" s="214">
        <f>SUM('Direct &amp;Indirect Personnal Cost'!C12)</f>
        <v>19638.133747697415</v>
      </c>
      <c r="D40" s="221">
        <f>SUM('Direct &amp;Indirect Personnal Cost'!E12)</f>
        <v>67887.510000000009</v>
      </c>
    </row>
    <row r="41" spans="2:4" x14ac:dyDescent="0.25">
      <c r="B41" s="222" t="s">
        <v>20</v>
      </c>
      <c r="C41" s="214">
        <f>SUM('Direct &amp;Indirect Personnal Cost'!C13)</f>
        <v>5204.3415723569178</v>
      </c>
      <c r="D41" s="221">
        <f>SUM('Direct &amp;Indirect Personnal Cost'!E13)</f>
        <v>3343.75</v>
      </c>
    </row>
    <row r="42" spans="2:4" x14ac:dyDescent="0.25">
      <c r="B42" s="222" t="s">
        <v>22</v>
      </c>
      <c r="C42" s="214">
        <f>SUM('Direct &amp;Indirect Personnal Cost'!C14)</f>
        <v>10843.041911952334</v>
      </c>
      <c r="D42" s="221">
        <f>SUM('Direct &amp;Indirect Personnal Cost'!E14)</f>
        <v>12525</v>
      </c>
    </row>
    <row r="43" spans="2:4" x14ac:dyDescent="0.25">
      <c r="B43" s="223" t="s">
        <v>24</v>
      </c>
      <c r="C43" s="224">
        <f>SUM('Direct &amp;Indirect Personnal Cost'!C15)</f>
        <v>32340.659166944206</v>
      </c>
      <c r="D43" s="225">
        <f>SUM('Direct &amp;Indirect Personnal Cost'!E15)</f>
        <v>69737.55</v>
      </c>
    </row>
    <row r="47" spans="2:4" x14ac:dyDescent="0.25">
      <c r="B47" s="215"/>
    </row>
    <row r="53" spans="2:4" ht="30.75" thickBot="1" x14ac:dyDescent="0.3">
      <c r="B53" s="217" t="s">
        <v>142</v>
      </c>
      <c r="C53" s="218" t="s">
        <v>137</v>
      </c>
      <c r="D53" s="219" t="s">
        <v>135</v>
      </c>
    </row>
    <row r="54" spans="2:4" ht="15.75" thickTop="1" x14ac:dyDescent="0.25">
      <c r="B54" s="220" t="s">
        <v>26</v>
      </c>
      <c r="C54" s="214">
        <f>SUM('Direct &amp;Indirect Personnal Cost'!C16)</f>
        <v>84518.514688493553</v>
      </c>
      <c r="D54" s="221">
        <f>SUM('Direct &amp;Indirect Personnal Cost'!E16)</f>
        <v>434125.12</v>
      </c>
    </row>
    <row r="55" spans="2:4" x14ac:dyDescent="0.25">
      <c r="B55" s="222" t="s">
        <v>28</v>
      </c>
      <c r="C55" s="214">
        <f>SUM('Direct &amp;Indirect Personnal Cost'!C17)</f>
        <v>47272.494660916309</v>
      </c>
      <c r="D55" s="221">
        <f>SUM('Direct &amp;Indirect Personnal Cost'!E17)</f>
        <v>68475.03</v>
      </c>
    </row>
    <row r="56" spans="2:4" x14ac:dyDescent="0.25">
      <c r="B56" s="222" t="s">
        <v>30</v>
      </c>
      <c r="C56" s="214">
        <f>SUM('Direct &amp;Indirect Personnal Cost'!C18)</f>
        <v>14726.04276507724</v>
      </c>
      <c r="D56" s="221">
        <f>SUM('Direct &amp;Indirect Personnal Cost'!E18)</f>
        <v>18562.5</v>
      </c>
    </row>
    <row r="57" spans="2:4" x14ac:dyDescent="0.25">
      <c r="B57" s="222" t="s">
        <v>32</v>
      </c>
      <c r="C57" s="214">
        <f>SUM('Direct &amp;Indirect Personnal Cost'!C19)</f>
        <v>15885.025000000001</v>
      </c>
      <c r="D57" s="221">
        <f>SUM('Direct &amp;Indirect Personnal Cost'!E19)</f>
        <v>121637.57</v>
      </c>
    </row>
    <row r="58" spans="2:4" x14ac:dyDescent="0.25">
      <c r="B58" s="222" t="s">
        <v>34</v>
      </c>
      <c r="C58" s="214">
        <f>SUM('Direct &amp;Indirect Personnal Cost'!C20)</f>
        <v>0</v>
      </c>
      <c r="D58" s="221">
        <f>SUM('Direct &amp;Indirect Personnal Cost'!E20)</f>
        <v>26750</v>
      </c>
    </row>
    <row r="59" spans="2:4" x14ac:dyDescent="0.25">
      <c r="B59" s="222" t="s">
        <v>36</v>
      </c>
      <c r="C59" s="214">
        <f>SUM('Direct &amp;Indirect Personnal Cost'!C21)</f>
        <v>0</v>
      </c>
      <c r="D59" s="221">
        <f>SUM('Direct &amp;Indirect Personnal Cost'!E21)</f>
        <v>26750</v>
      </c>
    </row>
    <row r="60" spans="2:4" x14ac:dyDescent="0.25">
      <c r="B60" s="223" t="s">
        <v>38</v>
      </c>
      <c r="C60" s="224">
        <f>SUM('Direct &amp;Indirect Personnal Cost'!C22)</f>
        <v>6187.5</v>
      </c>
      <c r="D60" s="225">
        <f>SUM('Direct &amp;Indirect Personnal Cost'!E22)</f>
        <v>171950.02000000002</v>
      </c>
    </row>
    <row r="68" spans="2:4" ht="30.75" thickBot="1" x14ac:dyDescent="0.3">
      <c r="B68" s="217" t="s">
        <v>142</v>
      </c>
      <c r="C68" s="218" t="s">
        <v>137</v>
      </c>
      <c r="D68" s="219" t="s">
        <v>135</v>
      </c>
    </row>
    <row r="69" spans="2:4" ht="15.75" thickTop="1" x14ac:dyDescent="0.25">
      <c r="B69" s="220" t="s">
        <v>40</v>
      </c>
      <c r="C69" s="214">
        <f>SUM('Direct &amp;Indirect Personnal Cost'!C23)</f>
        <v>21952.603262094621</v>
      </c>
      <c r="D69" s="221">
        <f>SUM('Direct &amp;Indirect Personnal Cost'!E23)</f>
        <v>700689.32</v>
      </c>
    </row>
    <row r="70" spans="2:4" x14ac:dyDescent="0.25">
      <c r="B70" s="222" t="s">
        <v>42</v>
      </c>
      <c r="C70" s="214">
        <f>SUM('Direct &amp;Indirect Personnal Cost'!C24)</f>
        <v>8347.2261002439154</v>
      </c>
      <c r="D70" s="221">
        <f>SUM('Direct &amp;Indirect Personnal Cost'!E24)</f>
        <v>24218.75</v>
      </c>
    </row>
    <row r="71" spans="2:4" x14ac:dyDescent="0.25">
      <c r="B71" s="222" t="s">
        <v>44</v>
      </c>
      <c r="C71" s="214">
        <f>SUM('Direct &amp;Indirect Personnal Cost'!C25)</f>
        <v>5371.85</v>
      </c>
      <c r="D71" s="221">
        <f>SUM('Direct &amp;Indirect Personnal Cost'!E25)</f>
        <v>169499.08</v>
      </c>
    </row>
    <row r="72" spans="2:4" x14ac:dyDescent="0.25">
      <c r="B72" s="222" t="s">
        <v>46</v>
      </c>
      <c r="C72" s="214">
        <f>SUM('Direct &amp;Indirect Personnal Cost'!C26)</f>
        <v>326.75</v>
      </c>
      <c r="D72" s="221">
        <f>SUM('Direct &amp;Indirect Personnal Cost'!E26)</f>
        <v>113875.04999999999</v>
      </c>
    </row>
    <row r="73" spans="2:4" x14ac:dyDescent="0.25">
      <c r="B73" s="222" t="s">
        <v>48</v>
      </c>
      <c r="C73" s="214">
        <f>SUM('Direct &amp;Indirect Personnal Cost'!C27)</f>
        <v>0</v>
      </c>
      <c r="D73" s="221">
        <f>SUM('Direct &amp;Indirect Personnal Cost'!E27)</f>
        <v>70268.81</v>
      </c>
    </row>
    <row r="74" spans="2:4" x14ac:dyDescent="0.25">
      <c r="B74" s="222" t="s">
        <v>50</v>
      </c>
      <c r="C74" s="214">
        <f>SUM('Direct &amp;Indirect Personnal Cost'!C28)</f>
        <v>359.9074800325219</v>
      </c>
      <c r="D74" s="221">
        <f>SUM('Direct &amp;Indirect Personnal Cost'!E28)</f>
        <v>114196.76</v>
      </c>
    </row>
    <row r="75" spans="2:4" x14ac:dyDescent="0.25">
      <c r="B75" s="222" t="s">
        <v>52</v>
      </c>
      <c r="C75" s="214">
        <f>SUM('Direct &amp;Indirect Personnal Cost'!C29)</f>
        <v>230.55500000000001</v>
      </c>
      <c r="D75" s="221">
        <f>SUM('Direct &amp;Indirect Personnal Cost'!E29)</f>
        <v>6925</v>
      </c>
    </row>
    <row r="76" spans="2:4" x14ac:dyDescent="0.25">
      <c r="B76" s="222" t="s">
        <v>54</v>
      </c>
      <c r="C76" s="214">
        <f>SUM('Direct &amp;Indirect Personnal Cost'!C30)</f>
        <v>798.07499999999993</v>
      </c>
      <c r="D76" s="221">
        <f>SUM('Direct &amp;Indirect Personnal Cost'!E30)</f>
        <v>54018.33</v>
      </c>
    </row>
    <row r="77" spans="2:4" x14ac:dyDescent="0.25">
      <c r="B77" s="222" t="s">
        <v>56</v>
      </c>
      <c r="C77" s="214">
        <f>SUM('Direct &amp;Indirect Personnal Cost'!C31)</f>
        <v>595.19468181818183</v>
      </c>
      <c r="D77" s="221">
        <f>SUM('Direct &amp;Indirect Personnal Cost'!E31)</f>
        <v>53087.47</v>
      </c>
    </row>
    <row r="78" spans="2:4" x14ac:dyDescent="0.25">
      <c r="B78" s="223" t="s">
        <v>58</v>
      </c>
      <c r="C78" s="224">
        <f>SUM('Direct &amp;Indirect Personnal Cost'!C32)</f>
        <v>5748.0500000000011</v>
      </c>
      <c r="D78" s="225">
        <f>SUM('Direct &amp;Indirect Personnal Cost'!E32)</f>
        <v>94600.07</v>
      </c>
    </row>
    <row r="83" spans="2:4" ht="30.75" thickBot="1" x14ac:dyDescent="0.3">
      <c r="B83" s="226" t="s">
        <v>142</v>
      </c>
      <c r="C83" s="218" t="s">
        <v>137</v>
      </c>
      <c r="D83" s="227" t="s">
        <v>135</v>
      </c>
    </row>
    <row r="84" spans="2:4" ht="15.75" thickTop="1" x14ac:dyDescent="0.25">
      <c r="B84" s="232" t="s">
        <v>60</v>
      </c>
      <c r="C84" s="228">
        <f>SUM('Direct &amp;Indirect Personnal Cost'!C33)</f>
        <v>42546.324297708605</v>
      </c>
      <c r="D84" s="229">
        <f>SUM('Direct &amp;Indirect Personnal Cost'!E33)</f>
        <v>148095.22999999998</v>
      </c>
    </row>
    <row r="85" spans="2:4" x14ac:dyDescent="0.25">
      <c r="B85" s="222" t="s">
        <v>62</v>
      </c>
      <c r="C85" s="228">
        <f>SUM('Direct &amp;Indirect Personnal Cost'!C34)</f>
        <v>40961.187400208597</v>
      </c>
      <c r="D85" s="229">
        <f>SUM('Direct &amp;Indirect Personnal Cost'!E34)</f>
        <v>55221.349999999991</v>
      </c>
    </row>
    <row r="86" spans="2:4" x14ac:dyDescent="0.25">
      <c r="B86" s="222" t="s">
        <v>64</v>
      </c>
      <c r="C86" s="228">
        <f>SUM('Direct &amp;Indirect Personnal Cost'!C35)</f>
        <v>771.5</v>
      </c>
      <c r="D86" s="229">
        <f>SUM('Direct &amp;Indirect Personnal Cost'!E35)</f>
        <v>55221.349999999991</v>
      </c>
    </row>
    <row r="87" spans="2:4" x14ac:dyDescent="0.25">
      <c r="B87" s="223" t="s">
        <v>143</v>
      </c>
      <c r="C87" s="230">
        <f>SUM('Direct &amp;Indirect Personnal Cost'!C36)</f>
        <v>796.20624999999995</v>
      </c>
      <c r="D87" s="231">
        <f>SUM('Direct &amp;Indirect Personnal Cost'!E36)</f>
        <v>37652.530000000006</v>
      </c>
    </row>
    <row r="98" spans="2:4" ht="30.75" thickBot="1" x14ac:dyDescent="0.3">
      <c r="B98" s="226" t="s">
        <v>142</v>
      </c>
      <c r="C98" s="218" t="s">
        <v>137</v>
      </c>
      <c r="D98" s="227" t="s">
        <v>135</v>
      </c>
    </row>
    <row r="99" spans="2:4" ht="15.75" thickTop="1" x14ac:dyDescent="0.25">
      <c r="B99" s="232" t="s">
        <v>68</v>
      </c>
      <c r="C99" s="228">
        <f>SUM('Direct &amp;Indirect Personnal Cost'!C37)</f>
        <v>56508.949745897713</v>
      </c>
      <c r="D99" s="229">
        <f>SUM('Direct &amp;Indirect Personnal Cost'!E37)</f>
        <v>231218.95</v>
      </c>
    </row>
    <row r="100" spans="2:4" x14ac:dyDescent="0.25">
      <c r="B100" s="222" t="s">
        <v>70</v>
      </c>
      <c r="C100" s="228">
        <f>SUM('Direct &amp;Indirect Personnal Cost'!C38)</f>
        <v>39463.092502314139</v>
      </c>
      <c r="D100" s="229">
        <f>SUM('Direct &amp;Indirect Personnal Cost'!E38)</f>
        <v>55825.06</v>
      </c>
    </row>
    <row r="101" spans="2:4" x14ac:dyDescent="0.25">
      <c r="B101" s="222" t="s">
        <v>72</v>
      </c>
      <c r="C101" s="228">
        <f>SUM('Direct &amp;Indirect Personnal Cost'!C39)</f>
        <v>10860.063160833579</v>
      </c>
      <c r="D101" s="229">
        <f>SUM('Direct &amp;Indirect Personnal Cost'!E39)</f>
        <v>108168.84</v>
      </c>
    </row>
    <row r="102" spans="2:4" x14ac:dyDescent="0.25">
      <c r="B102" s="223" t="s">
        <v>144</v>
      </c>
      <c r="C102" s="230">
        <f>SUM('Direct &amp;Indirect Personnal Cost'!C40)</f>
        <v>1066.5956250000002</v>
      </c>
      <c r="D102" s="231">
        <f>SUM('Direct &amp;Indirect Personnal Cost'!E40)</f>
        <v>67225.05</v>
      </c>
    </row>
    <row r="113" spans="2:4" ht="30.75" thickBot="1" x14ac:dyDescent="0.3">
      <c r="B113" s="226" t="s">
        <v>142</v>
      </c>
      <c r="C113" s="218" t="s">
        <v>137</v>
      </c>
      <c r="D113" s="227" t="s">
        <v>135</v>
      </c>
    </row>
    <row r="114" spans="2:4" ht="15.75" thickTop="1" x14ac:dyDescent="0.25">
      <c r="B114" s="232" t="s">
        <v>76</v>
      </c>
      <c r="C114" s="228">
        <f>SUM('Direct &amp;Indirect Personnal Cost'!C41)</f>
        <v>116025.33132148575</v>
      </c>
      <c r="D114" s="229">
        <f>SUM('Direct &amp;Indirect Personnal Cost'!E41)</f>
        <v>214000</v>
      </c>
    </row>
    <row r="115" spans="2:4" x14ac:dyDescent="0.25">
      <c r="B115" s="222" t="s">
        <v>78</v>
      </c>
      <c r="C115" s="228">
        <f>SUM('Direct &amp;Indirect Personnal Cost'!C42)</f>
        <v>42675.263923074512</v>
      </c>
      <c r="D115" s="229">
        <f>SUM('Direct &amp;Indirect Personnal Cost'!E42)</f>
        <v>147125</v>
      </c>
    </row>
    <row r="116" spans="2:4" x14ac:dyDescent="0.25">
      <c r="B116" s="222" t="s">
        <v>80</v>
      </c>
      <c r="C116" s="228">
        <f>SUM('Direct &amp;Indirect Personnal Cost'!C43)</f>
        <v>50402.561505838057</v>
      </c>
      <c r="D116" s="229">
        <f>SUM('Direct &amp;Indirect Personnal Cost'!E43)</f>
        <v>46812.5</v>
      </c>
    </row>
    <row r="117" spans="2:4" x14ac:dyDescent="0.25">
      <c r="B117" s="223" t="s">
        <v>145</v>
      </c>
      <c r="C117" s="230">
        <f>SUM('Direct &amp;Indirect Personnal Cost'!C44)</f>
        <v>22855.607455073172</v>
      </c>
      <c r="D117" s="231">
        <f>SUM('Direct &amp;Indirect Personnal Cost'!E44)</f>
        <v>20062.5</v>
      </c>
    </row>
  </sheetData>
  <phoneticPr fontId="1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C121A-80A9-4DCE-80FE-24C9268D31A7}">
  <dimension ref="A1:BB59"/>
  <sheetViews>
    <sheetView topLeftCell="A13" workbookViewId="0">
      <selection activeCell="V46" sqref="V46"/>
    </sheetView>
  </sheetViews>
  <sheetFormatPr baseColWidth="10" defaultColWidth="10" defaultRowHeight="15" x14ac:dyDescent="0.25"/>
  <cols>
    <col min="1" max="1" width="68.7109375" customWidth="1"/>
    <col min="2" max="2" width="7.7109375" style="123" customWidth="1"/>
    <col min="3" max="3" width="10" style="109"/>
    <col min="4" max="4" width="11.7109375" style="109" hidden="1" customWidth="1"/>
    <col min="5" max="5" width="9.5703125" style="109" customWidth="1"/>
    <col min="6" max="6" width="8.42578125" customWidth="1"/>
    <col min="7" max="7" width="10" style="41"/>
    <col min="8" max="8" width="12.85546875" style="41" hidden="1" customWidth="1"/>
    <col min="9" max="9" width="10" style="119"/>
    <col min="10" max="10" width="7.85546875" customWidth="1"/>
    <col min="12" max="12" width="0" hidden="1" customWidth="1"/>
    <col min="14" max="14" width="8.85546875" customWidth="1"/>
    <col min="16" max="16" width="0" hidden="1" customWidth="1"/>
    <col min="18" max="18" width="8.140625" customWidth="1"/>
    <col min="20" max="20" width="0" hidden="1" customWidth="1"/>
    <col min="22" max="22" width="8" customWidth="1"/>
    <col min="24" max="24" width="0" hidden="1" customWidth="1"/>
    <col min="26" max="26" width="7.7109375" customWidth="1"/>
    <col min="28" max="28" width="0" hidden="1" customWidth="1"/>
    <col min="30" max="30" width="8" customWidth="1"/>
    <col min="32" max="32" width="0" hidden="1" customWidth="1"/>
    <col min="34" max="34" width="7.85546875" customWidth="1"/>
    <col min="36" max="36" width="0" hidden="1" customWidth="1"/>
    <col min="38" max="38" width="8.28515625" customWidth="1"/>
    <col min="40" max="40" width="0" hidden="1" customWidth="1"/>
    <col min="44" max="44" width="0" hidden="1" customWidth="1"/>
    <col min="48" max="48" width="0" hidden="1" customWidth="1"/>
    <col min="52" max="52" width="0" hidden="1" customWidth="1"/>
  </cols>
  <sheetData>
    <row r="1" spans="1:54" ht="21" x14ac:dyDescent="0.35">
      <c r="A1" s="2"/>
      <c r="B1" s="3"/>
      <c r="C1" s="188"/>
      <c r="D1" s="188"/>
      <c r="E1" s="188"/>
      <c r="F1" s="189"/>
      <c r="G1" s="142"/>
      <c r="H1" s="142"/>
      <c r="I1" s="142"/>
      <c r="J1" s="121"/>
      <c r="K1" s="180"/>
      <c r="L1" s="180"/>
      <c r="M1" s="180"/>
      <c r="N1" s="142"/>
      <c r="O1" s="142"/>
      <c r="P1" s="121"/>
      <c r="Q1" s="142"/>
      <c r="R1" s="142"/>
      <c r="S1" s="180"/>
      <c r="T1" s="180"/>
      <c r="U1" s="180"/>
      <c r="V1" s="121"/>
      <c r="W1" s="142"/>
      <c r="X1" s="142"/>
      <c r="Y1" s="142"/>
      <c r="Z1" s="121"/>
      <c r="AA1" s="142"/>
      <c r="AB1" s="142"/>
      <c r="AC1" s="142"/>
      <c r="AD1" s="121"/>
      <c r="AE1" s="142"/>
      <c r="AF1" s="142"/>
      <c r="AG1" s="142"/>
      <c r="AH1" s="121"/>
      <c r="AI1" s="142"/>
      <c r="AJ1" s="142"/>
      <c r="AK1" s="142"/>
      <c r="AL1" s="121"/>
      <c r="AM1" s="180"/>
      <c r="AN1" s="180"/>
      <c r="AO1" s="180"/>
      <c r="AP1" s="121"/>
      <c r="AQ1" s="142"/>
      <c r="AR1" s="142"/>
      <c r="AS1" s="142"/>
      <c r="AT1" s="121"/>
      <c r="AU1" s="142"/>
      <c r="AV1" s="142"/>
      <c r="AW1" s="142"/>
      <c r="AX1" s="121"/>
      <c r="AY1" s="142"/>
      <c r="AZ1" s="142"/>
      <c r="BA1" s="142"/>
      <c r="BB1" s="121"/>
    </row>
    <row r="2" spans="1:54" ht="15.75" x14ac:dyDescent="0.25">
      <c r="A2" s="120" t="s">
        <v>134</v>
      </c>
      <c r="B2" s="3"/>
      <c r="C2" s="141"/>
      <c r="D2" s="141"/>
      <c r="E2" s="141"/>
      <c r="F2" s="122"/>
      <c r="G2" s="188"/>
      <c r="H2" s="188"/>
      <c r="I2" s="188"/>
      <c r="J2" s="257"/>
      <c r="K2" s="188"/>
      <c r="L2" s="188"/>
      <c r="M2" s="188"/>
      <c r="N2" s="141"/>
      <c r="O2" s="141"/>
      <c r="P2" s="122"/>
      <c r="Q2" s="141"/>
      <c r="R2" s="141"/>
      <c r="S2" s="141"/>
      <c r="T2" s="141"/>
      <c r="U2" s="141"/>
      <c r="V2" s="122"/>
      <c r="W2" s="141"/>
      <c r="X2" s="141"/>
      <c r="Y2" s="141"/>
      <c r="Z2" s="122"/>
      <c r="AA2" s="141"/>
      <c r="AB2" s="141"/>
      <c r="AC2" s="141"/>
      <c r="AD2" s="122"/>
      <c r="AE2" s="141"/>
      <c r="AF2" s="141"/>
      <c r="AG2" s="141"/>
      <c r="AH2" s="122"/>
      <c r="AI2" s="141"/>
      <c r="AJ2" s="141"/>
      <c r="AK2" s="141"/>
      <c r="AL2" s="122"/>
      <c r="AM2" s="141"/>
      <c r="AN2" s="141"/>
      <c r="AO2" s="141"/>
      <c r="AP2" s="122"/>
      <c r="AQ2" s="141"/>
      <c r="AR2" s="141"/>
      <c r="AS2" s="141"/>
      <c r="AT2" s="122"/>
      <c r="AU2" s="141"/>
      <c r="AV2" s="141"/>
      <c r="AW2" s="141"/>
      <c r="AX2" s="122"/>
      <c r="AY2" s="141"/>
      <c r="AZ2" s="141"/>
      <c r="BA2" s="141"/>
      <c r="BB2" s="122"/>
    </row>
    <row r="3" spans="1:54" x14ac:dyDescent="0.25">
      <c r="A3" s="25" t="s">
        <v>138</v>
      </c>
      <c r="B3" s="3"/>
      <c r="C3" s="141"/>
      <c r="D3" s="141"/>
      <c r="E3" s="141"/>
      <c r="F3" s="122"/>
      <c r="G3" s="188"/>
      <c r="H3" s="188"/>
      <c r="I3" s="188"/>
      <c r="J3" s="257"/>
      <c r="K3" s="141"/>
      <c r="L3" s="141"/>
      <c r="M3" s="141"/>
      <c r="N3" s="141"/>
      <c r="O3" s="141"/>
      <c r="P3" s="122"/>
      <c r="Q3" s="141"/>
      <c r="R3" s="141"/>
      <c r="S3" s="141"/>
      <c r="T3" s="141"/>
      <c r="U3" s="141"/>
      <c r="V3" s="122"/>
      <c r="W3" s="141"/>
      <c r="X3" s="141"/>
      <c r="Y3" s="141"/>
      <c r="Z3" s="122"/>
      <c r="AA3" s="141"/>
      <c r="AB3" s="141"/>
      <c r="AC3" s="141"/>
      <c r="AD3" s="122"/>
      <c r="AE3" s="141"/>
      <c r="AF3" s="141"/>
      <c r="AG3" s="141"/>
      <c r="AH3" s="122"/>
      <c r="AI3" s="141"/>
      <c r="AJ3" s="141"/>
      <c r="AK3" s="141"/>
      <c r="AL3" s="122"/>
      <c r="AM3" s="141"/>
      <c r="AN3" s="141"/>
      <c r="AO3" s="141"/>
      <c r="AP3" s="122"/>
      <c r="AQ3" s="141"/>
      <c r="AR3" s="141"/>
      <c r="AS3" s="141"/>
      <c r="AT3" s="122"/>
      <c r="AU3" s="141"/>
      <c r="AV3" s="141"/>
      <c r="AW3" s="141"/>
      <c r="AX3" s="122"/>
      <c r="AY3" s="141"/>
      <c r="AZ3" s="141"/>
      <c r="BA3" s="141"/>
      <c r="BB3" s="183"/>
    </row>
    <row r="4" spans="1:54" ht="15.75" thickBot="1" x14ac:dyDescent="0.3">
      <c r="A4" s="91" t="s">
        <v>161</v>
      </c>
      <c r="B4" s="145"/>
      <c r="C4" s="141"/>
      <c r="D4" s="141"/>
      <c r="E4" s="141"/>
      <c r="F4" s="122"/>
      <c r="G4" s="188"/>
      <c r="H4" s="188"/>
      <c r="I4" s="188"/>
      <c r="J4" s="257"/>
      <c r="K4" s="141"/>
      <c r="L4" s="141"/>
      <c r="M4" s="141"/>
      <c r="N4" s="141"/>
      <c r="O4" s="141"/>
      <c r="P4" s="122"/>
      <c r="Q4" s="141"/>
      <c r="R4" s="141"/>
      <c r="S4" s="256"/>
      <c r="T4" s="256"/>
      <c r="U4" s="256"/>
      <c r="V4" s="255"/>
      <c r="W4" s="256"/>
      <c r="X4" s="256"/>
      <c r="Y4" s="256"/>
      <c r="Z4" s="255"/>
      <c r="AA4" s="256"/>
      <c r="AB4" s="256"/>
      <c r="AC4" s="256"/>
      <c r="AD4" s="255"/>
      <c r="AE4" s="256"/>
      <c r="AF4" s="256"/>
      <c r="AG4" s="256"/>
      <c r="AH4" s="255"/>
      <c r="AI4" s="256"/>
      <c r="AJ4" s="256"/>
      <c r="AK4" s="256"/>
      <c r="AL4" s="255"/>
      <c r="AM4" s="256"/>
      <c r="AN4" s="256"/>
      <c r="AO4" s="256"/>
      <c r="AP4" s="255"/>
      <c r="AQ4" s="256"/>
      <c r="AR4" s="256"/>
      <c r="AS4" s="256"/>
      <c r="AT4" s="255"/>
      <c r="AU4" s="256"/>
      <c r="AV4" s="256"/>
      <c r="AW4" s="256"/>
      <c r="AX4" s="255"/>
      <c r="AY4" s="141"/>
      <c r="AZ4" s="141"/>
      <c r="BA4" s="141"/>
      <c r="BB4" s="183"/>
    </row>
    <row r="5" spans="1:54" ht="46.5" thickTop="1" thickBot="1" x14ac:dyDescent="0.3">
      <c r="A5" s="25" t="s">
        <v>132</v>
      </c>
      <c r="B5" s="181" t="s">
        <v>139</v>
      </c>
      <c r="C5" s="252" t="s">
        <v>137</v>
      </c>
      <c r="D5" s="179" t="s">
        <v>136</v>
      </c>
      <c r="E5" s="253" t="s">
        <v>135</v>
      </c>
      <c r="F5" s="254" t="s">
        <v>6</v>
      </c>
      <c r="G5" s="252" t="s">
        <v>174</v>
      </c>
      <c r="H5" s="179" t="s">
        <v>136</v>
      </c>
      <c r="I5" s="258" t="s">
        <v>162</v>
      </c>
      <c r="J5" s="254" t="s">
        <v>6</v>
      </c>
      <c r="K5" s="252" t="s">
        <v>175</v>
      </c>
      <c r="L5" s="179" t="s">
        <v>136</v>
      </c>
      <c r="M5" s="253" t="s">
        <v>163</v>
      </c>
      <c r="N5" s="254" t="s">
        <v>6</v>
      </c>
      <c r="O5" s="252" t="s">
        <v>176</v>
      </c>
      <c r="P5" s="179" t="s">
        <v>136</v>
      </c>
      <c r="Q5" s="253" t="s">
        <v>164</v>
      </c>
      <c r="R5" s="254" t="s">
        <v>6</v>
      </c>
      <c r="S5" s="178" t="s">
        <v>177</v>
      </c>
      <c r="T5" s="178" t="s">
        <v>136</v>
      </c>
      <c r="U5" s="182" t="s">
        <v>165</v>
      </c>
      <c r="V5" s="254" t="s">
        <v>6</v>
      </c>
      <c r="W5" s="178" t="s">
        <v>178</v>
      </c>
      <c r="X5" s="178" t="s">
        <v>133</v>
      </c>
      <c r="Y5" s="182" t="s">
        <v>166</v>
      </c>
      <c r="Z5" s="254" t="s">
        <v>6</v>
      </c>
      <c r="AA5" s="178" t="s">
        <v>179</v>
      </c>
      <c r="AB5" s="178" t="s">
        <v>133</v>
      </c>
      <c r="AC5" s="182" t="s">
        <v>167</v>
      </c>
      <c r="AD5" s="254" t="s">
        <v>6</v>
      </c>
      <c r="AE5" s="178" t="s">
        <v>180</v>
      </c>
      <c r="AF5" s="178" t="s">
        <v>133</v>
      </c>
      <c r="AG5" s="182" t="s">
        <v>168</v>
      </c>
      <c r="AH5" s="254" t="s">
        <v>6</v>
      </c>
      <c r="AI5" s="178" t="s">
        <v>181</v>
      </c>
      <c r="AJ5" s="178" t="s">
        <v>133</v>
      </c>
      <c r="AK5" s="182" t="s">
        <v>169</v>
      </c>
      <c r="AL5" s="254" t="s">
        <v>6</v>
      </c>
      <c r="AM5" s="178" t="s">
        <v>182</v>
      </c>
      <c r="AN5" s="178" t="s">
        <v>133</v>
      </c>
      <c r="AO5" s="182" t="s">
        <v>170</v>
      </c>
      <c r="AP5" s="254" t="s">
        <v>6</v>
      </c>
      <c r="AQ5" s="178" t="s">
        <v>183</v>
      </c>
      <c r="AR5" s="178" t="s">
        <v>133</v>
      </c>
      <c r="AS5" s="182" t="s">
        <v>171</v>
      </c>
      <c r="AT5" s="254" t="s">
        <v>6</v>
      </c>
      <c r="AU5" s="178" t="s">
        <v>184</v>
      </c>
      <c r="AV5" s="178" t="s">
        <v>133</v>
      </c>
      <c r="AW5" s="182" t="s">
        <v>172</v>
      </c>
      <c r="AX5" s="254" t="s">
        <v>6</v>
      </c>
      <c r="AY5" s="252" t="s">
        <v>185</v>
      </c>
      <c r="AZ5" s="179" t="s">
        <v>133</v>
      </c>
      <c r="BA5" s="253" t="s">
        <v>173</v>
      </c>
      <c r="BB5" s="254" t="s">
        <v>6</v>
      </c>
    </row>
    <row r="6" spans="1:54" s="130" customFormat="1" ht="16.5" thickTop="1" thickBot="1" x14ac:dyDescent="0.3">
      <c r="A6" s="176" t="s">
        <v>141</v>
      </c>
      <c r="B6" s="177" t="s">
        <v>140</v>
      </c>
      <c r="C6" s="202">
        <v>0</v>
      </c>
      <c r="D6" s="200"/>
      <c r="E6" s="198">
        <f>SUM(I6+M6+Q6+U6+Y6+AC6+AG6+AK6+AO6+AS6+AW6+BA6)</f>
        <v>343929</v>
      </c>
      <c r="F6" s="205">
        <f>100/E6*C6</f>
        <v>0</v>
      </c>
      <c r="G6" s="207">
        <v>0</v>
      </c>
      <c r="H6" s="208"/>
      <c r="I6" s="198">
        <v>39500</v>
      </c>
      <c r="J6" s="205">
        <f>100/I6*G6</f>
        <v>0</v>
      </c>
      <c r="K6" s="207">
        <v>0</v>
      </c>
      <c r="L6" s="208"/>
      <c r="M6" s="198">
        <v>20750</v>
      </c>
      <c r="N6" s="205">
        <f>100/M6*K6</f>
        <v>0</v>
      </c>
      <c r="O6" s="204">
        <v>0</v>
      </c>
      <c r="P6" s="200"/>
      <c r="Q6" s="194">
        <v>42500</v>
      </c>
      <c r="R6" s="205">
        <f>100/Q6*O6</f>
        <v>0</v>
      </c>
      <c r="S6" s="202">
        <v>0</v>
      </c>
      <c r="T6" s="200"/>
      <c r="U6" s="194">
        <v>20750</v>
      </c>
      <c r="V6" s="205">
        <f>100/U6*S6</f>
        <v>0</v>
      </c>
      <c r="W6" s="204">
        <f>SUM(MAI!D6)</f>
        <v>0</v>
      </c>
      <c r="X6" s="200"/>
      <c r="Y6" s="194">
        <v>20750</v>
      </c>
      <c r="Z6" s="209">
        <f>100/Y6*W6</f>
        <v>0</v>
      </c>
      <c r="AA6" s="199">
        <v>0</v>
      </c>
      <c r="AB6" s="200"/>
      <c r="AC6" s="194">
        <v>56429</v>
      </c>
      <c r="AD6" s="201">
        <f>100/AC6*AA6</f>
        <v>0</v>
      </c>
      <c r="AE6" s="207">
        <f>SUM(IOC!K9)</f>
        <v>0</v>
      </c>
      <c r="AF6" s="200"/>
      <c r="AG6" s="198">
        <v>20750</v>
      </c>
      <c r="AH6" s="209">
        <f>100/AG6*AE6</f>
        <v>0</v>
      </c>
      <c r="AI6" s="199">
        <f>SUM(HIE!L9)</f>
        <v>5763.75</v>
      </c>
      <c r="AJ6" s="200"/>
      <c r="AK6" s="196">
        <v>20750</v>
      </c>
      <c r="AL6" s="201">
        <f>100/AK6*AI6</f>
        <v>27.777108433734941</v>
      </c>
      <c r="AM6" s="199">
        <v>0</v>
      </c>
      <c r="AN6" s="200"/>
      <c r="AO6" s="196">
        <f>SUM(BAL!Q1*BAL!$S$1)</f>
        <v>20750</v>
      </c>
      <c r="AP6" s="201">
        <f>100/AO6*AM6</f>
        <v>0</v>
      </c>
      <c r="AQ6" s="199">
        <v>0</v>
      </c>
      <c r="AR6" s="200"/>
      <c r="AS6" s="196">
        <f>SUM(MEERI!M1*MEERI!$O$1)</f>
        <v>20750</v>
      </c>
      <c r="AT6" s="201">
        <f>100/AS6*AQ6</f>
        <v>0</v>
      </c>
      <c r="AU6" s="199">
        <v>0</v>
      </c>
      <c r="AV6" s="200"/>
      <c r="AW6" s="196">
        <f>SUM(MCN!V1*MCN!$T$1)</f>
        <v>39500</v>
      </c>
      <c r="AX6" s="201">
        <f>100/AW6*AU6</f>
        <v>0</v>
      </c>
      <c r="AY6" s="147">
        <v>0</v>
      </c>
      <c r="AZ6" s="178"/>
      <c r="BA6" s="152">
        <v>20750</v>
      </c>
      <c r="BB6" s="197">
        <f>100/BA6*AY6</f>
        <v>0</v>
      </c>
    </row>
    <row r="7" spans="1:54" ht="15" customHeight="1" thickTop="1" x14ac:dyDescent="0.25">
      <c r="A7" s="174" t="s">
        <v>7</v>
      </c>
      <c r="B7" s="175" t="s">
        <v>8</v>
      </c>
      <c r="C7" s="148">
        <f>SUM(G7+K7+O7+S7+W7+AA7+AE7+AI7+AM7+AQ7+AU7+AY7)</f>
        <v>107552.17689700077</v>
      </c>
      <c r="D7" s="112">
        <f>SUM(H7+L7+P7+T7+X7+AB7+AF7+AJ7+AN7+AR7+AV7+AZ7)</f>
        <v>31600</v>
      </c>
      <c r="E7" s="167">
        <f>SUM(I7+M7+Q7+U7+Y7+AC7+AG7+AG7+AK7+AO7+AS7+AW7+BA7)</f>
        <v>226991.17</v>
      </c>
      <c r="F7" s="203">
        <f>100/E7*C7</f>
        <v>47.381656694840053</v>
      </c>
      <c r="G7" s="148" cm="1">
        <f t="array" ref="G7:G45">MNU!C7:C45</f>
        <v>8024.875</v>
      </c>
      <c r="H7" s="148">
        <f>SUM(H8:H10)</f>
        <v>31600</v>
      </c>
      <c r="I7" s="167">
        <f>SUM(I8:I10)</f>
        <v>20062.5</v>
      </c>
      <c r="J7" s="203">
        <f>100/I7*G7</f>
        <v>39.999376947040503</v>
      </c>
      <c r="K7" s="112" cm="1">
        <f t="array" ref="K7:K45">SCA!D8:D46</f>
        <v>13497.165096369999</v>
      </c>
      <c r="L7" s="148">
        <f>SUM(L8:L10)</f>
        <v>0</v>
      </c>
      <c r="M7" s="167">
        <f>SUM(M8:M10)</f>
        <v>11712.46</v>
      </c>
      <c r="N7" s="203">
        <f>100/M7*K7</f>
        <v>115.23766225344633</v>
      </c>
      <c r="O7" s="112" cm="1">
        <f t="array" ref="O7:O45">FOC!D8:D46</f>
        <v>1875.625</v>
      </c>
      <c r="P7" s="148">
        <f>SUM(P8:P10)</f>
        <v>0</v>
      </c>
      <c r="Q7" s="235">
        <f>SUM(Q8:Q10)</f>
        <v>7790.62</v>
      </c>
      <c r="R7" s="201">
        <f>100/Q7*O7</f>
        <v>24.075426602760757</v>
      </c>
      <c r="S7" s="161" cm="1">
        <f t="array" ref="S7:S45">CLTV!I10:I48</f>
        <v>6823.4177454545461</v>
      </c>
      <c r="T7" s="148">
        <f>SUM(T8:T10)</f>
        <v>0</v>
      </c>
      <c r="U7" s="194">
        <f>SUM(U8:U10)</f>
        <v>10546.880000000001</v>
      </c>
      <c r="V7" s="203">
        <f>100/U7*S7</f>
        <v>64.696078323205967</v>
      </c>
      <c r="W7" s="199">
        <f>SUM(MAI!D7)</f>
        <v>12627.3375</v>
      </c>
      <c r="X7" s="148">
        <f>SUM(X8:X10)</f>
        <v>0</v>
      </c>
      <c r="Y7" s="194">
        <f>SUM(Y8:Y10)</f>
        <v>31484.38</v>
      </c>
      <c r="Z7" s="201">
        <f>100/Y7*W7</f>
        <v>40.106673531446383</v>
      </c>
      <c r="AA7" s="190" cm="1">
        <f t="array" ref="AA7:AA45">BIN!C8:C46</f>
        <v>16250.921875</v>
      </c>
      <c r="AB7" s="148">
        <f>SUM(AB8:AB10)</f>
        <v>0</v>
      </c>
      <c r="AC7" s="235">
        <f>SUM(AC8:AC10)</f>
        <v>36562.5</v>
      </c>
      <c r="AD7" s="210">
        <f>100/AC7*AA7</f>
        <v>44.446965811965811</v>
      </c>
      <c r="AE7" s="199">
        <f>SUM(IOC!K10)</f>
        <v>2402.53125</v>
      </c>
      <c r="AF7" s="148">
        <f>SUM(AF8:AF10)</f>
        <v>0</v>
      </c>
      <c r="AG7" s="167">
        <f>SUM(AG8:AG10)</f>
        <v>17306.54</v>
      </c>
      <c r="AH7" s="201">
        <f>100/AG7*AE7</f>
        <v>13.882215913752836</v>
      </c>
      <c r="AI7" s="251">
        <f>SUM(HIE!L10)</f>
        <v>12255.245930176216</v>
      </c>
      <c r="AJ7" s="148">
        <f>SUM(AJ8:AJ10)</f>
        <v>0</v>
      </c>
      <c r="AK7" s="235">
        <f>SUM(AK8:AK10)</f>
        <v>23906.25</v>
      </c>
      <c r="AL7" s="210">
        <f>100/AK7*AI7</f>
        <v>51.263773825573715</v>
      </c>
      <c r="AM7" s="190" cm="1">
        <f t="array" ref="AM7:AM45">BAL!G9:G47</f>
        <v>13402.887500000001</v>
      </c>
      <c r="AN7" s="148">
        <f>SUM(AN8:AN10)</f>
        <v>0</v>
      </c>
      <c r="AO7" s="194">
        <f>SUM(AO8:AO10)</f>
        <v>12375</v>
      </c>
      <c r="AP7" s="210">
        <f>100/AO7*AM7</f>
        <v>108.30616161616162</v>
      </c>
      <c r="AQ7" s="190" cm="1">
        <f t="array" ref="AQ7:AQ45">MEERI!G10:G48</f>
        <v>8319.0499999999993</v>
      </c>
      <c r="AR7" s="148">
        <f>SUM(AR8:AR10)</f>
        <v>0</v>
      </c>
      <c r="AS7" s="194">
        <f>SUM(AS8:AS10)</f>
        <v>13406.25</v>
      </c>
      <c r="AT7" s="210">
        <f>100/AS7*AQ7</f>
        <v>62.053519813519806</v>
      </c>
      <c r="AU7" s="190" cm="1">
        <f t="array" ref="AU7:AU45">MCN!C7:C45</f>
        <v>7696.99</v>
      </c>
      <c r="AV7" s="148">
        <f>SUM(AV8:AV10)</f>
        <v>0</v>
      </c>
      <c r="AW7" s="194">
        <f>SUM(AW8:AW10)</f>
        <v>10312.5</v>
      </c>
      <c r="AX7" s="210">
        <f>100/AW7*AU7</f>
        <v>74.637478787878791</v>
      </c>
      <c r="AY7" s="190">
        <f>'CKR	'!C6</f>
        <v>4376.1299999999992</v>
      </c>
      <c r="AZ7" s="148">
        <f>SUM(AZ8:AZ10)</f>
        <v>0</v>
      </c>
      <c r="BA7" s="192">
        <f>SUM(BA8:BA10)</f>
        <v>14218.75</v>
      </c>
      <c r="BB7" s="159">
        <f>100/BA7*AY7</f>
        <v>30.777178021978017</v>
      </c>
    </row>
    <row r="8" spans="1:54" ht="15" customHeight="1" x14ac:dyDescent="0.25">
      <c r="A8" s="13" t="s">
        <v>9</v>
      </c>
      <c r="B8" s="153" t="s">
        <v>10</v>
      </c>
      <c r="C8" s="211">
        <f t="shared" ref="C8:C45" si="0">SUM(G8+K8+O8+S8+W8+AA8+AE8+AI8+AM8+AQ8+AU8+AY8)</f>
        <v>41951.053728673003</v>
      </c>
      <c r="D8" s="114">
        <f t="shared" ref="D8:D45" si="1">SUM(H8+L8+P8+T8+X8+AB8+AF8+AJ8+AN8+AR8+AV8+AZ8)</f>
        <v>31600</v>
      </c>
      <c r="E8" s="239">
        <f>SUM(I8+M8+Q8+U8+Y8+AC8+AG8+AG8+AK8+AO8+AS8+AW8+BA8)</f>
        <v>88440.739999999991</v>
      </c>
      <c r="F8" s="160">
        <f t="shared" ref="F8:F11" si="2">100/E8*C8</f>
        <v>47.434082673520152</v>
      </c>
      <c r="G8" s="116">
        <v>3265.9375</v>
      </c>
      <c r="H8" s="116">
        <v>31600</v>
      </c>
      <c r="I8" s="238">
        <v>13375</v>
      </c>
      <c r="J8" s="160">
        <f t="shared" ref="J8:J45" si="3">100/I8*G8</f>
        <v>24.418224299065422</v>
      </c>
      <c r="K8" s="116">
        <v>6648.4552106748306</v>
      </c>
      <c r="L8" s="116"/>
      <c r="M8" s="238">
        <v>5856.22</v>
      </c>
      <c r="N8" s="160">
        <f t="shared" ref="N8:N45" si="4">100/M8*K8</f>
        <v>113.52809851192119</v>
      </c>
      <c r="O8" s="116">
        <v>780.13</v>
      </c>
      <c r="P8" s="116"/>
      <c r="Q8" s="237">
        <v>3462.5</v>
      </c>
      <c r="R8" s="151">
        <f t="shared" ref="R8:R45" si="5">100/Q8*O8</f>
        <v>22.530830324909747</v>
      </c>
      <c r="S8" s="162">
        <v>508.68068181818188</v>
      </c>
      <c r="T8" s="163"/>
      <c r="U8" s="195">
        <v>4687.5</v>
      </c>
      <c r="V8" s="160">
        <f t="shared" ref="V8:V45" si="6">100/U8*S8</f>
        <v>10.851854545454547</v>
      </c>
      <c r="W8" s="250">
        <f>SUM(MAI!D8)</f>
        <v>0</v>
      </c>
      <c r="X8" s="116"/>
      <c r="Y8" s="195">
        <v>2421.88</v>
      </c>
      <c r="Z8" s="160">
        <f t="shared" ref="Z8:Z45" si="7">100/Y8*W8</f>
        <v>0</v>
      </c>
      <c r="AA8" s="116">
        <v>3222.6187500000001</v>
      </c>
      <c r="AB8" s="116"/>
      <c r="AC8" s="236">
        <v>2812.5</v>
      </c>
      <c r="AD8" s="160">
        <f t="shared" ref="AD8:AD45" si="8">100/AC8*AA8</f>
        <v>114.58200000000001</v>
      </c>
      <c r="AE8" s="250">
        <f>SUM(IOC!K11)</f>
        <v>310.53125</v>
      </c>
      <c r="AF8" s="116"/>
      <c r="AG8" s="236">
        <v>11537.57</v>
      </c>
      <c r="AH8" s="160">
        <f t="shared" ref="AH8:AH11" si="9">100/AG8*AE8</f>
        <v>2.6914787949282215</v>
      </c>
      <c r="AI8" s="250">
        <f>SUM(HIE!L11)</f>
        <v>11586.267836179984</v>
      </c>
      <c r="AJ8" s="116"/>
      <c r="AK8" s="236">
        <v>18593.75</v>
      </c>
      <c r="AL8" s="160">
        <f t="shared" ref="AL8:AL41" si="10">100/AK8*AI8</f>
        <v>62.312700967690674</v>
      </c>
      <c r="AM8" s="116">
        <v>7215.3875000000007</v>
      </c>
      <c r="AN8" s="116"/>
      <c r="AO8" s="195">
        <v>6187.5</v>
      </c>
      <c r="AP8" s="160">
        <f t="shared" ref="AP8:AP45" si="11">100/AO8*AM8</f>
        <v>116.61232323232325</v>
      </c>
      <c r="AQ8" s="116">
        <v>307.44</v>
      </c>
      <c r="AR8" s="116"/>
      <c r="AS8" s="195">
        <v>0</v>
      </c>
      <c r="AT8" s="160" t="e">
        <f t="shared" ref="AT8:AT45" si="12">100/AS8*AQ8</f>
        <v>#DIV/0!</v>
      </c>
      <c r="AU8" s="116">
        <v>6508.7449999999999</v>
      </c>
      <c r="AV8" s="116"/>
      <c r="AW8" s="195">
        <v>6875</v>
      </c>
      <c r="AX8" s="151">
        <f t="shared" ref="AX8:AX45" si="13">100/AW8*AU8</f>
        <v>94.672654545454549</v>
      </c>
      <c r="AY8" s="191">
        <f>'CKR	'!C7</f>
        <v>1596.86</v>
      </c>
      <c r="AZ8" s="116"/>
      <c r="BA8" s="166">
        <v>1093.75</v>
      </c>
      <c r="BB8" s="160">
        <f t="shared" ref="BB8:BB45" si="14">100/BA8*AY8</f>
        <v>145.99862857142855</v>
      </c>
    </row>
    <row r="9" spans="1:54" ht="15" customHeight="1" x14ac:dyDescent="0.25">
      <c r="A9" s="13" t="s">
        <v>11</v>
      </c>
      <c r="B9" s="146" t="s">
        <v>12</v>
      </c>
      <c r="C9" s="212">
        <f t="shared" si="0"/>
        <v>30527.423979246461</v>
      </c>
      <c r="D9" s="114">
        <f t="shared" si="1"/>
        <v>0</v>
      </c>
      <c r="E9" s="239">
        <f>SUM(I9+M9+Q9+U9+Y9+AC9+AG9+AG9+AK9+AO9+AS9+AW9+BA9)</f>
        <v>53116.01</v>
      </c>
      <c r="F9" s="160">
        <f t="shared" si="2"/>
        <v>57.473112116754365</v>
      </c>
      <c r="G9" s="116">
        <v>1399.6875</v>
      </c>
      <c r="H9" s="116"/>
      <c r="I9" s="238">
        <v>3343.75</v>
      </c>
      <c r="J9" s="160">
        <f t="shared" si="3"/>
        <v>41.859813084112155</v>
      </c>
      <c r="K9" s="116">
        <v>3484.4313453536761</v>
      </c>
      <c r="L9" s="116"/>
      <c r="M9" s="238">
        <v>2928.12</v>
      </c>
      <c r="N9" s="160">
        <f t="shared" si="4"/>
        <v>118.99892577331791</v>
      </c>
      <c r="O9" s="116">
        <v>194.2</v>
      </c>
      <c r="P9" s="116"/>
      <c r="Q9" s="237">
        <v>865.62</v>
      </c>
      <c r="R9" s="151">
        <f t="shared" si="5"/>
        <v>22.434786626926364</v>
      </c>
      <c r="S9" s="162">
        <v>2541.4263068181817</v>
      </c>
      <c r="T9" s="163"/>
      <c r="U9" s="195">
        <v>1171.8800000000001</v>
      </c>
      <c r="V9" s="160">
        <f t="shared" si="6"/>
        <v>216.86745288068585</v>
      </c>
      <c r="W9" s="250">
        <f>SUM(MAI!D9)</f>
        <v>5070.8374999999996</v>
      </c>
      <c r="X9" s="116"/>
      <c r="Y9" s="195">
        <v>9687.5</v>
      </c>
      <c r="Z9" s="160">
        <f t="shared" si="7"/>
        <v>52.34412903225806</v>
      </c>
      <c r="AA9" s="116">
        <v>7450.0249999999996</v>
      </c>
      <c r="AB9" s="116"/>
      <c r="AC9" s="236">
        <v>11250</v>
      </c>
      <c r="AD9" s="160">
        <f t="shared" si="8"/>
        <v>66.222444444444434</v>
      </c>
      <c r="AE9" s="250">
        <f>SUM(IOC!K12)</f>
        <v>1470.9375</v>
      </c>
      <c r="AF9" s="116"/>
      <c r="AG9" s="236">
        <v>2884.57</v>
      </c>
      <c r="AH9" s="160">
        <f t="shared" si="9"/>
        <v>50.993302294622765</v>
      </c>
      <c r="AI9" s="250">
        <f>SUM(HIE!L12)</f>
        <v>411.67882707460467</v>
      </c>
      <c r="AJ9" s="116"/>
      <c r="AK9" s="236">
        <v>2656.25</v>
      </c>
      <c r="AL9" s="160">
        <f t="shared" si="10"/>
        <v>15.498497019279233</v>
      </c>
      <c r="AM9" s="116">
        <v>3093.75</v>
      </c>
      <c r="AN9" s="116"/>
      <c r="AO9" s="195">
        <v>3093.75</v>
      </c>
      <c r="AP9" s="160">
        <f t="shared" si="11"/>
        <v>100</v>
      </c>
      <c r="AQ9" s="116">
        <v>4060.45</v>
      </c>
      <c r="AR9" s="116"/>
      <c r="AS9" s="195">
        <v>6256.25</v>
      </c>
      <c r="AT9" s="160">
        <f t="shared" si="12"/>
        <v>64.902297702297702</v>
      </c>
      <c r="AU9" s="116">
        <v>0</v>
      </c>
      <c r="AV9" s="116"/>
      <c r="AW9" s="195">
        <v>1718.75</v>
      </c>
      <c r="AX9" s="151">
        <f t="shared" si="13"/>
        <v>0</v>
      </c>
      <c r="AY9" s="191">
        <f>'CKR	'!C8</f>
        <v>1350</v>
      </c>
      <c r="AZ9" s="116"/>
      <c r="BA9" s="166">
        <v>4375</v>
      </c>
      <c r="BB9" s="160">
        <f t="shared" si="14"/>
        <v>30.857142857142858</v>
      </c>
    </row>
    <row r="10" spans="1:54" ht="15" customHeight="1" x14ac:dyDescent="0.25">
      <c r="A10" s="13" t="s">
        <v>13</v>
      </c>
      <c r="B10" s="146" t="s">
        <v>14</v>
      </c>
      <c r="C10" s="212">
        <f t="shared" si="0"/>
        <v>31448.389814081289</v>
      </c>
      <c r="D10" s="114">
        <f t="shared" si="1"/>
        <v>0</v>
      </c>
      <c r="E10" s="239">
        <f>SUM(I9+M10+Q10+U10+Y10+AC10+AG10+AG10+AK10+AO10+AS10+AW10+BA10)</f>
        <v>85434.42</v>
      </c>
      <c r="F10" s="160">
        <f t="shared" si="2"/>
        <v>36.809976370274754</v>
      </c>
      <c r="G10" s="116">
        <v>3359.25</v>
      </c>
      <c r="H10" s="116"/>
      <c r="I10" s="238">
        <v>3343.75</v>
      </c>
      <c r="J10" s="160">
        <f t="shared" si="3"/>
        <v>100.46355140186917</v>
      </c>
      <c r="K10" s="116">
        <v>3364.2785403414805</v>
      </c>
      <c r="L10" s="116"/>
      <c r="M10" s="238">
        <v>2928.12</v>
      </c>
      <c r="N10" s="160">
        <f t="shared" si="4"/>
        <v>114.89551453975523</v>
      </c>
      <c r="O10" s="116">
        <v>526.16999999999996</v>
      </c>
      <c r="P10" s="116"/>
      <c r="Q10" s="237">
        <v>3462.5</v>
      </c>
      <c r="R10" s="151">
        <f t="shared" si="5"/>
        <v>15.196245487364621</v>
      </c>
      <c r="S10" s="162">
        <v>3773.3107568181822</v>
      </c>
      <c r="T10" s="163"/>
      <c r="U10" s="195">
        <v>4687.5</v>
      </c>
      <c r="V10" s="160">
        <f t="shared" si="6"/>
        <v>80.497296145454555</v>
      </c>
      <c r="W10" s="250">
        <f>SUM(MAI!D10)</f>
        <v>7556.5</v>
      </c>
      <c r="X10" s="116"/>
      <c r="Y10" s="195">
        <v>19375</v>
      </c>
      <c r="Z10" s="160">
        <f t="shared" si="7"/>
        <v>39.001290322580644</v>
      </c>
      <c r="AA10" s="116">
        <v>2328.09375</v>
      </c>
      <c r="AB10" s="116"/>
      <c r="AC10" s="236">
        <v>22500</v>
      </c>
      <c r="AD10" s="160">
        <f t="shared" si="8"/>
        <v>10.347083333333334</v>
      </c>
      <c r="AE10" s="250">
        <f>SUM(IOC!K13)</f>
        <v>621.0625</v>
      </c>
      <c r="AF10" s="116"/>
      <c r="AG10" s="236">
        <v>2884.4</v>
      </c>
      <c r="AH10" s="160">
        <f t="shared" si="9"/>
        <v>21.531774372486478</v>
      </c>
      <c r="AI10" s="250">
        <f>SUM(HIE!L13)</f>
        <v>257.29926692162786</v>
      </c>
      <c r="AJ10" s="116"/>
      <c r="AK10" s="236">
        <v>2656.25</v>
      </c>
      <c r="AL10" s="160">
        <f t="shared" si="10"/>
        <v>9.686560637049519</v>
      </c>
      <c r="AM10" s="116">
        <v>3093.75</v>
      </c>
      <c r="AN10" s="116"/>
      <c r="AO10" s="195">
        <v>3093.75</v>
      </c>
      <c r="AP10" s="160">
        <f t="shared" si="11"/>
        <v>100</v>
      </c>
      <c r="AQ10" s="116">
        <v>3951.16</v>
      </c>
      <c r="AR10" s="116"/>
      <c r="AS10" s="195">
        <v>7150</v>
      </c>
      <c r="AT10" s="160">
        <f t="shared" si="12"/>
        <v>55.260979020979022</v>
      </c>
      <c r="AU10" s="116">
        <v>1188.2449999999999</v>
      </c>
      <c r="AV10" s="116"/>
      <c r="AW10" s="195">
        <v>1718.75</v>
      </c>
      <c r="AX10" s="151">
        <f t="shared" si="13"/>
        <v>69.134254545454539</v>
      </c>
      <c r="AY10" s="191">
        <f>'CKR	'!C9</f>
        <v>1429.27</v>
      </c>
      <c r="AZ10" s="116"/>
      <c r="BA10" s="166">
        <v>8750</v>
      </c>
      <c r="BB10" s="160">
        <f t="shared" si="14"/>
        <v>16.334514285714285</v>
      </c>
    </row>
    <row r="11" spans="1:54" ht="15" customHeight="1" x14ac:dyDescent="0.25">
      <c r="A11" s="9" t="s">
        <v>15</v>
      </c>
      <c r="B11" s="155" t="s">
        <v>16</v>
      </c>
      <c r="C11" s="148">
        <f t="shared" si="0"/>
        <v>67975.265929632689</v>
      </c>
      <c r="D11" s="112">
        <f t="shared" si="1"/>
        <v>0</v>
      </c>
      <c r="E11" s="167">
        <f t="shared" ref="E11:E45" si="15">SUM(I11+M11+Q11+U11+Y11+AC11+AG11+AG11+AK11+AO11+AS11+AW11+BA11)</f>
        <v>153493.81</v>
      </c>
      <c r="F11" s="159">
        <f t="shared" si="2"/>
        <v>44.285346705272801</v>
      </c>
      <c r="G11" s="117">
        <v>5346.8062500000005</v>
      </c>
      <c r="H11" s="117">
        <f>SUM(H12:H15)</f>
        <v>0</v>
      </c>
      <c r="I11" s="126">
        <f>SUM(I12:I15)</f>
        <v>6687.5</v>
      </c>
      <c r="J11" s="159">
        <f t="shared" si="3"/>
        <v>79.952242990654213</v>
      </c>
      <c r="K11" s="117">
        <v>3123.9729303170884</v>
      </c>
      <c r="L11" s="117">
        <f>SUM(L12:L15)</f>
        <v>0</v>
      </c>
      <c r="M11" s="126">
        <f>SUM(M12:M15)</f>
        <v>5856.2199999999993</v>
      </c>
      <c r="N11" s="159">
        <f t="shared" si="4"/>
        <v>53.344528216444886</v>
      </c>
      <c r="O11" s="117">
        <v>174.28750000000002</v>
      </c>
      <c r="P11" s="117">
        <f>SUM(P12:P15)</f>
        <v>0</v>
      </c>
      <c r="Q11" s="126">
        <f>SUM(Q12:Q15)</f>
        <v>8656.24</v>
      </c>
      <c r="R11" s="150">
        <f t="shared" si="5"/>
        <v>2.0134319288744309</v>
      </c>
      <c r="S11" s="164">
        <v>3711.9304886363634</v>
      </c>
      <c r="T11" s="165">
        <f>SUM(T12:T15)</f>
        <v>0</v>
      </c>
      <c r="U11" s="196">
        <f>SUM(U12:U15)</f>
        <v>11718.760000000002</v>
      </c>
      <c r="V11" s="159">
        <f t="shared" si="6"/>
        <v>31.675113140267083</v>
      </c>
      <c r="W11" s="199">
        <f>SUM(MAI!D11)</f>
        <v>0</v>
      </c>
      <c r="X11" s="117">
        <f>SUM(X12:X15)</f>
        <v>0</v>
      </c>
      <c r="Y11" s="196">
        <f>SUM(Y12:Y15)</f>
        <v>4843.76</v>
      </c>
      <c r="Z11" s="159">
        <f t="shared" si="7"/>
        <v>0</v>
      </c>
      <c r="AA11" s="117">
        <v>816.875</v>
      </c>
      <c r="AB11" s="117">
        <f>SUM(AB12:AB15)</f>
        <v>0</v>
      </c>
      <c r="AC11" s="167">
        <f>SUM(AC12:AC15)</f>
        <v>5625</v>
      </c>
      <c r="AD11" s="159">
        <f t="shared" si="8"/>
        <v>14.522222222222222</v>
      </c>
      <c r="AE11" s="199">
        <f>SUM(IOC!K14)</f>
        <v>555.6875</v>
      </c>
      <c r="AF11" s="117">
        <f>SUM(AF12:AF15)</f>
        <v>0</v>
      </c>
      <c r="AG11" s="167">
        <f>SUM(AG12:AG15)</f>
        <v>5768.79</v>
      </c>
      <c r="AH11" s="159">
        <f t="shared" si="9"/>
        <v>9.6326526013254075</v>
      </c>
      <c r="AI11" s="199">
        <f>SUM(HIE!L14)</f>
        <v>15281.059048179235</v>
      </c>
      <c r="AJ11" s="117">
        <f>SUM(AJ12:AJ15)</f>
        <v>0</v>
      </c>
      <c r="AK11" s="167">
        <f>SUM(AK12:AK15)</f>
        <v>37187.5</v>
      </c>
      <c r="AL11" s="159">
        <f t="shared" si="10"/>
        <v>41.091923490902147</v>
      </c>
      <c r="AM11" s="117">
        <v>30049.1875</v>
      </c>
      <c r="AN11" s="117">
        <f>SUM(AN12:AN15)</f>
        <v>0</v>
      </c>
      <c r="AO11" s="196">
        <f>SUM(AO12:AO15)</f>
        <v>47406.25</v>
      </c>
      <c r="AP11" s="159">
        <f t="shared" si="11"/>
        <v>63.386552406064595</v>
      </c>
      <c r="AQ11" s="117">
        <v>1776.6100000000001</v>
      </c>
      <c r="AR11" s="117">
        <f>SUM(AR12:AR15)</f>
        <v>0</v>
      </c>
      <c r="AS11" s="196">
        <f>SUM(AS12:AS15)</f>
        <v>1787.5</v>
      </c>
      <c r="AT11" s="159">
        <f t="shared" si="12"/>
        <v>99.390769230769237</v>
      </c>
      <c r="AU11" s="117">
        <v>565.24</v>
      </c>
      <c r="AV11" s="117">
        <f>SUM(AV12:AV15)</f>
        <v>0</v>
      </c>
      <c r="AW11" s="196">
        <f>SUM(AW12:AW15)</f>
        <v>3437.5</v>
      </c>
      <c r="AX11" s="150">
        <f t="shared" si="13"/>
        <v>16.443345454545454</v>
      </c>
      <c r="AY11" s="154">
        <f>'CKR	'!C10</f>
        <v>6573.6097125000006</v>
      </c>
      <c r="AZ11" s="117">
        <f>SUM(AZ12:AZ15)</f>
        <v>0</v>
      </c>
      <c r="BA11" s="149">
        <f>SUM(BA12:BA15)</f>
        <v>8750</v>
      </c>
      <c r="BB11" s="159">
        <f t="shared" si="14"/>
        <v>75.126968142857152</v>
      </c>
    </row>
    <row r="12" spans="1:54" ht="15" customHeight="1" x14ac:dyDescent="0.25">
      <c r="A12" s="13" t="s">
        <v>17</v>
      </c>
      <c r="B12" s="156" t="s">
        <v>18</v>
      </c>
      <c r="C12" s="211">
        <f t="shared" si="0"/>
        <v>19638.133747697415</v>
      </c>
      <c r="D12" s="114">
        <f t="shared" si="1"/>
        <v>0</v>
      </c>
      <c r="E12" s="239">
        <f t="shared" si="15"/>
        <v>67887.510000000009</v>
      </c>
      <c r="F12" s="160">
        <f>100/E12*C12</f>
        <v>28.927462132132131</v>
      </c>
      <c r="G12" s="116">
        <v>1306.3750000000002</v>
      </c>
      <c r="H12" s="116"/>
      <c r="I12" s="238">
        <v>3343.75</v>
      </c>
      <c r="J12" s="160">
        <f t="shared" si="3"/>
        <v>39.06915887850468</v>
      </c>
      <c r="K12" s="116">
        <v>40.050935004065238</v>
      </c>
      <c r="L12" s="116"/>
      <c r="M12" s="238">
        <v>2928.1</v>
      </c>
      <c r="N12" s="160">
        <f t="shared" si="4"/>
        <v>1.3678130871235696</v>
      </c>
      <c r="O12" s="116">
        <v>0</v>
      </c>
      <c r="P12" s="116"/>
      <c r="Q12" s="237">
        <v>4328.12</v>
      </c>
      <c r="R12" s="151">
        <f t="shared" si="5"/>
        <v>0</v>
      </c>
      <c r="S12" s="162">
        <v>1816.2619318181819</v>
      </c>
      <c r="T12" s="163"/>
      <c r="U12" s="195">
        <v>5859.38</v>
      </c>
      <c r="V12" s="160">
        <f t="shared" si="6"/>
        <v>30.997510518487996</v>
      </c>
      <c r="W12" s="250">
        <f>SUM(MAI!D12)</f>
        <v>0</v>
      </c>
      <c r="X12" s="116"/>
      <c r="Y12" s="195">
        <v>2421.88</v>
      </c>
      <c r="Z12" s="160">
        <f t="shared" si="7"/>
        <v>0</v>
      </c>
      <c r="AA12" s="116">
        <v>163.375</v>
      </c>
      <c r="AB12" s="116"/>
      <c r="AC12" s="236">
        <v>2812.5</v>
      </c>
      <c r="AD12" s="160">
        <f t="shared" si="8"/>
        <v>5.8088888888888892</v>
      </c>
      <c r="AE12" s="250">
        <f>SUM(IOC!K15)</f>
        <v>0</v>
      </c>
      <c r="AF12" s="116"/>
      <c r="AG12" s="236">
        <v>2884.39</v>
      </c>
      <c r="AH12" s="160">
        <f>100/AG12*AE13</f>
        <v>0</v>
      </c>
      <c r="AI12" s="250">
        <f>SUM(HIE!L15)</f>
        <v>14637.810880875166</v>
      </c>
      <c r="AJ12" s="116"/>
      <c r="AK12" s="236">
        <v>34531.25</v>
      </c>
      <c r="AL12" s="160">
        <f t="shared" si="10"/>
        <v>42.390040560000479</v>
      </c>
      <c r="AM12" s="116">
        <v>0</v>
      </c>
      <c r="AN12" s="116"/>
      <c r="AO12" s="195">
        <v>0</v>
      </c>
      <c r="AP12" s="160" t="e">
        <f t="shared" si="11"/>
        <v>#DIV/0!</v>
      </c>
      <c r="AQ12" s="116">
        <v>1115.02</v>
      </c>
      <c r="AR12" s="116"/>
      <c r="AS12" s="195">
        <v>893.75</v>
      </c>
      <c r="AT12" s="160">
        <f t="shared" si="12"/>
        <v>124.75748251748252</v>
      </c>
      <c r="AU12" s="116">
        <v>559.24</v>
      </c>
      <c r="AV12" s="116"/>
      <c r="AW12" s="195">
        <v>1718.75</v>
      </c>
      <c r="AX12" s="151">
        <f t="shared" si="13"/>
        <v>32.537599999999998</v>
      </c>
      <c r="AY12" s="191">
        <f>'CKR	'!C11</f>
        <v>0</v>
      </c>
      <c r="AZ12" s="116"/>
      <c r="BA12" s="166">
        <v>3281.25</v>
      </c>
      <c r="BB12" s="160">
        <f t="shared" si="14"/>
        <v>0</v>
      </c>
    </row>
    <row r="13" spans="1:54" ht="15" customHeight="1" x14ac:dyDescent="0.25">
      <c r="A13" s="13" t="s">
        <v>19</v>
      </c>
      <c r="B13" s="156" t="s">
        <v>20</v>
      </c>
      <c r="C13" s="211">
        <f t="shared" si="0"/>
        <v>5204.3415723569178</v>
      </c>
      <c r="D13" s="114">
        <f t="shared" si="1"/>
        <v>0</v>
      </c>
      <c r="E13" s="239">
        <f t="shared" si="15"/>
        <v>3343.75</v>
      </c>
      <c r="F13" s="160">
        <f>100/E13*C13</f>
        <v>155.64386010787044</v>
      </c>
      <c r="G13" s="116">
        <v>4040.4312500000005</v>
      </c>
      <c r="H13" s="116"/>
      <c r="I13" s="238">
        <v>3343.75</v>
      </c>
      <c r="J13" s="160">
        <f t="shared" si="3"/>
        <v>120.83532710280376</v>
      </c>
      <c r="K13" s="116">
        <v>520.66215505284811</v>
      </c>
      <c r="L13" s="116"/>
      <c r="M13" s="238">
        <v>0</v>
      </c>
      <c r="N13" s="160" t="e">
        <f t="shared" si="4"/>
        <v>#DIV/0!</v>
      </c>
      <c r="O13" s="116">
        <v>0</v>
      </c>
      <c r="P13" s="116"/>
      <c r="Q13" s="237">
        <v>0</v>
      </c>
      <c r="R13" s="151" t="e">
        <f t="shared" si="5"/>
        <v>#DIV/0!</v>
      </c>
      <c r="S13" s="162">
        <v>0</v>
      </c>
      <c r="T13" s="163"/>
      <c r="U13" s="195">
        <v>0</v>
      </c>
      <c r="V13" s="160" t="e">
        <f t="shared" si="6"/>
        <v>#DIV/0!</v>
      </c>
      <c r="W13" s="250">
        <f>SUM(MAI!D13)</f>
        <v>0</v>
      </c>
      <c r="X13" s="116"/>
      <c r="Y13" s="195">
        <v>0</v>
      </c>
      <c r="Z13" s="160" t="e">
        <f t="shared" si="7"/>
        <v>#DIV/0!</v>
      </c>
      <c r="AA13" s="116">
        <v>0</v>
      </c>
      <c r="AB13" s="116"/>
      <c r="AC13" s="236">
        <v>0</v>
      </c>
      <c r="AD13" s="160" t="e">
        <f t="shared" si="8"/>
        <v>#DIV/0!</v>
      </c>
      <c r="AE13" s="250">
        <f>SUM(IOC!K16)</f>
        <v>0</v>
      </c>
      <c r="AF13" s="116"/>
      <c r="AG13" s="236">
        <v>0</v>
      </c>
      <c r="AH13" s="160" t="e">
        <f>100/AG13*#REF!</f>
        <v>#DIV/0!</v>
      </c>
      <c r="AI13" s="250">
        <f>SUM(HIE!L16)</f>
        <v>643.24816730406974</v>
      </c>
      <c r="AJ13" s="116"/>
      <c r="AK13" s="236">
        <v>0</v>
      </c>
      <c r="AL13" s="160" t="e">
        <f t="shared" si="10"/>
        <v>#DIV/0!</v>
      </c>
      <c r="AM13" s="116">
        <v>0</v>
      </c>
      <c r="AN13" s="116"/>
      <c r="AO13" s="195">
        <v>0</v>
      </c>
      <c r="AP13" s="160" t="e">
        <f t="shared" si="11"/>
        <v>#DIV/0!</v>
      </c>
      <c r="AQ13" s="116">
        <v>0</v>
      </c>
      <c r="AR13" s="116"/>
      <c r="AS13" s="195">
        <v>0</v>
      </c>
      <c r="AT13" s="160" t="e">
        <f t="shared" si="12"/>
        <v>#DIV/0!</v>
      </c>
      <c r="AU13" s="116">
        <v>0</v>
      </c>
      <c r="AV13" s="116"/>
      <c r="AW13" s="195">
        <v>0</v>
      </c>
      <c r="AX13" s="151" t="e">
        <f t="shared" si="13"/>
        <v>#DIV/0!</v>
      </c>
      <c r="AY13" s="191">
        <f>'CKR	'!C12</f>
        <v>0</v>
      </c>
      <c r="AZ13" s="116"/>
      <c r="BA13" s="166">
        <v>0</v>
      </c>
      <c r="BB13" s="160" t="e">
        <f t="shared" si="14"/>
        <v>#DIV/0!</v>
      </c>
    </row>
    <row r="14" spans="1:54" ht="15" customHeight="1" x14ac:dyDescent="0.25">
      <c r="A14" s="13" t="s">
        <v>21</v>
      </c>
      <c r="B14" s="156" t="s">
        <v>22</v>
      </c>
      <c r="C14" s="211">
        <f t="shared" si="0"/>
        <v>10843.041911952334</v>
      </c>
      <c r="D14" s="114">
        <f t="shared" si="1"/>
        <v>0</v>
      </c>
      <c r="E14" s="239">
        <f t="shared" si="15"/>
        <v>12525</v>
      </c>
      <c r="F14" s="160">
        <f t="shared" ref="F14:F45" si="16">100/E14*C14</f>
        <v>86.571192909799066</v>
      </c>
      <c r="G14" s="116">
        <v>0</v>
      </c>
      <c r="H14" s="116"/>
      <c r="I14" s="238">
        <v>0</v>
      </c>
      <c r="J14" s="160" t="e">
        <f t="shared" si="3"/>
        <v>#DIV/0!</v>
      </c>
      <c r="K14" s="116">
        <v>1321.6808551341528</v>
      </c>
      <c r="L14" s="116"/>
      <c r="M14" s="238">
        <v>0</v>
      </c>
      <c r="N14" s="160" t="e">
        <f t="shared" si="4"/>
        <v>#DIV/0!</v>
      </c>
      <c r="O14" s="116">
        <v>139.43</v>
      </c>
      <c r="P14" s="116"/>
      <c r="Q14" s="237">
        <v>3462.5</v>
      </c>
      <c r="R14" s="151">
        <f t="shared" si="5"/>
        <v>4.0268592057761738</v>
      </c>
      <c r="S14" s="162">
        <v>1895.6685568181817</v>
      </c>
      <c r="T14" s="163"/>
      <c r="U14" s="195">
        <v>4687.5</v>
      </c>
      <c r="V14" s="160">
        <f t="shared" si="6"/>
        <v>40.440929212121212</v>
      </c>
      <c r="W14" s="250">
        <f>SUM(MAI!D14)</f>
        <v>0</v>
      </c>
      <c r="X14" s="116"/>
      <c r="Y14" s="195">
        <v>0</v>
      </c>
      <c r="Z14" s="160" t="e">
        <f t="shared" si="7"/>
        <v>#DIV/0!</v>
      </c>
      <c r="AA14" s="116">
        <v>245.06249999999997</v>
      </c>
      <c r="AB14" s="116"/>
      <c r="AC14" s="236">
        <v>0</v>
      </c>
      <c r="AD14" s="160" t="e">
        <f t="shared" si="8"/>
        <v>#DIV/0!</v>
      </c>
      <c r="AE14" s="250">
        <f>SUM(IOC!K17)</f>
        <v>0</v>
      </c>
      <c r="AF14" s="116"/>
      <c r="AG14" s="236">
        <v>0</v>
      </c>
      <c r="AH14" s="160" t="e">
        <f>100/AG14*AE14</f>
        <v>#DIV/0!</v>
      </c>
      <c r="AI14" s="250">
        <f>SUM(HIE!L17)</f>
        <v>0</v>
      </c>
      <c r="AJ14" s="116"/>
      <c r="AK14" s="236">
        <v>0</v>
      </c>
      <c r="AL14" s="160" t="e">
        <f t="shared" si="10"/>
        <v>#DIV/0!</v>
      </c>
      <c r="AM14" s="116">
        <v>0</v>
      </c>
      <c r="AN14" s="116"/>
      <c r="AO14" s="195">
        <v>0</v>
      </c>
      <c r="AP14" s="160" t="e">
        <f t="shared" si="11"/>
        <v>#DIV/0!</v>
      </c>
      <c r="AQ14" s="116">
        <v>661.59</v>
      </c>
      <c r="AR14" s="116"/>
      <c r="AS14" s="195">
        <v>0</v>
      </c>
      <c r="AT14" s="160" t="e">
        <f t="shared" si="12"/>
        <v>#DIV/0!</v>
      </c>
      <c r="AU14" s="116">
        <v>6</v>
      </c>
      <c r="AV14" s="116"/>
      <c r="AW14" s="195">
        <v>0</v>
      </c>
      <c r="AX14" s="151" t="e">
        <f t="shared" si="13"/>
        <v>#DIV/0!</v>
      </c>
      <c r="AY14" s="191">
        <f>'CKR	'!C13</f>
        <v>6573.61</v>
      </c>
      <c r="AZ14" s="116"/>
      <c r="BA14" s="166">
        <v>4375</v>
      </c>
      <c r="BB14" s="160">
        <f t="shared" si="14"/>
        <v>150.25394285714285</v>
      </c>
    </row>
    <row r="15" spans="1:54" ht="15" customHeight="1" x14ac:dyDescent="0.25">
      <c r="A15" s="13" t="s">
        <v>23</v>
      </c>
      <c r="B15" s="156" t="s">
        <v>24</v>
      </c>
      <c r="C15" s="211">
        <f t="shared" si="0"/>
        <v>32340.659166944206</v>
      </c>
      <c r="D15" s="114">
        <f t="shared" si="1"/>
        <v>0</v>
      </c>
      <c r="E15" s="239">
        <f t="shared" si="15"/>
        <v>69737.55</v>
      </c>
      <c r="F15" s="160">
        <f t="shared" si="16"/>
        <v>46.374814095052386</v>
      </c>
      <c r="G15" s="116">
        <v>0</v>
      </c>
      <c r="H15" s="116"/>
      <c r="I15" s="238">
        <v>0</v>
      </c>
      <c r="J15" s="160" t="e">
        <f t="shared" si="3"/>
        <v>#DIV/0!</v>
      </c>
      <c r="K15" s="116">
        <v>1241.5789851260224</v>
      </c>
      <c r="L15" s="116"/>
      <c r="M15" s="238">
        <v>2928.12</v>
      </c>
      <c r="N15" s="160">
        <f t="shared" si="4"/>
        <v>42.401916080147757</v>
      </c>
      <c r="O15" s="116">
        <v>0</v>
      </c>
      <c r="P15" s="116"/>
      <c r="Q15" s="237">
        <v>865.62</v>
      </c>
      <c r="R15" s="151">
        <f t="shared" si="5"/>
        <v>0</v>
      </c>
      <c r="S15" s="162">
        <v>249.14268181818184</v>
      </c>
      <c r="T15" s="163"/>
      <c r="U15" s="195">
        <v>1171.8800000000001</v>
      </c>
      <c r="V15" s="160">
        <f t="shared" si="6"/>
        <v>21.260084805456344</v>
      </c>
      <c r="W15" s="250">
        <f>SUM(MAI!D15)</f>
        <v>0</v>
      </c>
      <c r="X15" s="116"/>
      <c r="Y15" s="195">
        <v>2421.88</v>
      </c>
      <c r="Z15" s="160">
        <f t="shared" si="7"/>
        <v>0</v>
      </c>
      <c r="AA15" s="116">
        <v>245.06249999999997</v>
      </c>
      <c r="AB15" s="116"/>
      <c r="AC15" s="236">
        <v>2812.5</v>
      </c>
      <c r="AD15" s="160">
        <f t="shared" si="8"/>
        <v>8.7133333333333329</v>
      </c>
      <c r="AE15" s="250">
        <f>SUM(IOC!K18)</f>
        <v>555.6875</v>
      </c>
      <c r="AF15" s="116"/>
      <c r="AG15" s="236">
        <v>2884.4</v>
      </c>
      <c r="AH15" s="160">
        <f t="shared" ref="AH15:AH45" si="17">100/AG15*AE15</f>
        <v>19.265271806961586</v>
      </c>
      <c r="AI15" s="250">
        <f>SUM(HIE!L18)</f>
        <v>0</v>
      </c>
      <c r="AJ15" s="116"/>
      <c r="AK15" s="236">
        <v>2656.25</v>
      </c>
      <c r="AL15" s="160">
        <f t="shared" si="10"/>
        <v>0</v>
      </c>
      <c r="AM15" s="116">
        <v>30049.1875</v>
      </c>
      <c r="AN15" s="116"/>
      <c r="AO15" s="195">
        <v>47406.25</v>
      </c>
      <c r="AP15" s="160">
        <f t="shared" si="11"/>
        <v>63.386552406064595</v>
      </c>
      <c r="AQ15" s="116">
        <v>0</v>
      </c>
      <c r="AR15" s="116"/>
      <c r="AS15" s="195">
        <v>893.75</v>
      </c>
      <c r="AT15" s="160">
        <f t="shared" si="12"/>
        <v>0</v>
      </c>
      <c r="AU15" s="116">
        <v>0</v>
      </c>
      <c r="AV15" s="116"/>
      <c r="AW15" s="195">
        <v>1718.75</v>
      </c>
      <c r="AX15" s="151">
        <f t="shared" si="13"/>
        <v>0</v>
      </c>
      <c r="AY15" s="191">
        <f>'CKR	'!C14</f>
        <v>0</v>
      </c>
      <c r="AZ15" s="116"/>
      <c r="BA15" s="166">
        <v>1093.75</v>
      </c>
      <c r="BB15" s="160">
        <f t="shared" si="14"/>
        <v>0</v>
      </c>
    </row>
    <row r="16" spans="1:54" ht="15" customHeight="1" x14ac:dyDescent="0.25">
      <c r="A16" s="9" t="s">
        <v>25</v>
      </c>
      <c r="B16" s="155" t="s">
        <v>26</v>
      </c>
      <c r="C16" s="148">
        <f t="shared" si="0"/>
        <v>84518.514688493553</v>
      </c>
      <c r="D16" s="112">
        <f t="shared" si="1"/>
        <v>91428.57</v>
      </c>
      <c r="E16" s="167">
        <f t="shared" si="15"/>
        <v>434125.12</v>
      </c>
      <c r="F16" s="159">
        <f t="shared" si="16"/>
        <v>19.46869941285442</v>
      </c>
      <c r="G16" s="117">
        <v>1306.375</v>
      </c>
      <c r="H16" s="117">
        <f>SUM(H17:H22)</f>
        <v>0</v>
      </c>
      <c r="I16" s="126">
        <f>SUM(I17:I22)</f>
        <v>94375</v>
      </c>
      <c r="J16" s="159">
        <f t="shared" si="3"/>
        <v>1.3842384105960266</v>
      </c>
      <c r="K16" s="117">
        <v>11374.465541154526</v>
      </c>
      <c r="L16" s="117">
        <f>SUM(L17:L22)</f>
        <v>8000</v>
      </c>
      <c r="M16" s="126">
        <f>SUM(M17:M22)</f>
        <v>52706.11</v>
      </c>
      <c r="N16" s="159">
        <f t="shared" si="4"/>
        <v>21.580923997529936</v>
      </c>
      <c r="O16" s="117">
        <v>2002.375</v>
      </c>
      <c r="P16" s="117">
        <f>SUM(P17:P22)</f>
        <v>8000</v>
      </c>
      <c r="Q16" s="126">
        <f>SUM(Q17:Q22)</f>
        <v>8656.25</v>
      </c>
      <c r="R16" s="150">
        <f t="shared" si="5"/>
        <v>23.132129963898915</v>
      </c>
      <c r="S16" s="164">
        <v>962.41045681818173</v>
      </c>
      <c r="T16" s="165">
        <f>SUM(T17:T22)</f>
        <v>8000</v>
      </c>
      <c r="U16" s="196">
        <f>SUM(U17:U22)</f>
        <v>16406.25</v>
      </c>
      <c r="V16" s="159">
        <f t="shared" si="6"/>
        <v>5.8661208796536792</v>
      </c>
      <c r="W16" s="199">
        <f>SUM(MAI!D16)</f>
        <v>0</v>
      </c>
      <c r="X16" s="117">
        <f>SUM(X17:X22)</f>
        <v>8000</v>
      </c>
      <c r="Y16" s="196">
        <f>SUM(Y17:Y22)</f>
        <v>33906.25</v>
      </c>
      <c r="Z16" s="159">
        <f t="shared" si="7"/>
        <v>0</v>
      </c>
      <c r="AA16" s="117">
        <v>1705.265625</v>
      </c>
      <c r="AB16" s="117">
        <f>SUM(AB17:AB22)</f>
        <v>11428.57</v>
      </c>
      <c r="AC16" s="167">
        <f>SUM(AC17:AC22)</f>
        <v>39375</v>
      </c>
      <c r="AD16" s="159">
        <f t="shared" si="8"/>
        <v>4.3308333333333335</v>
      </c>
      <c r="AE16" s="199">
        <f>SUM(IOC!K19)</f>
        <v>1307.5</v>
      </c>
      <c r="AF16" s="117">
        <f>SUM(AF17:AF22)</f>
        <v>8000</v>
      </c>
      <c r="AG16" s="167">
        <f>SUM(AG17:AG22)</f>
        <v>28843.879999999997</v>
      </c>
      <c r="AH16" s="159">
        <f t="shared" si="17"/>
        <v>4.533023989837706</v>
      </c>
      <c r="AI16" s="199">
        <f>SUM(HIE!L19)</f>
        <v>6539.2514280208397</v>
      </c>
      <c r="AJ16" s="117">
        <f>SUM(AJ17:AJ22)</f>
        <v>8000</v>
      </c>
      <c r="AK16" s="167">
        <f>SUM(AK17:AK22)</f>
        <v>26562.5</v>
      </c>
      <c r="AL16" s="159">
        <f t="shared" si="10"/>
        <v>24.618358317254927</v>
      </c>
      <c r="AM16" s="117">
        <v>34570.487500000003</v>
      </c>
      <c r="AN16" s="117">
        <f>SUM(AN17:AN22)</f>
        <v>8000</v>
      </c>
      <c r="AO16" s="196">
        <f>SUM(AO17:AO22)</f>
        <v>48500</v>
      </c>
      <c r="AP16" s="159">
        <f t="shared" si="11"/>
        <v>71.279355670103101</v>
      </c>
      <c r="AQ16" s="117">
        <v>2131.5</v>
      </c>
      <c r="AR16" s="117">
        <f>SUM(AR17:AR22)</f>
        <v>8000</v>
      </c>
      <c r="AS16" s="196">
        <f>SUM(AS17:AS22)</f>
        <v>12512.5</v>
      </c>
      <c r="AT16" s="159">
        <f t="shared" si="12"/>
        <v>17.034965034965033</v>
      </c>
      <c r="AU16" s="117">
        <v>2898.0549999999998</v>
      </c>
      <c r="AV16" s="117">
        <f>SUM(AV17:AV22)</f>
        <v>8000</v>
      </c>
      <c r="AW16" s="196">
        <f>SUM(AW17:AW22)</f>
        <v>17187.5</v>
      </c>
      <c r="AX16" s="150">
        <f t="shared" si="13"/>
        <v>16.861410909090907</v>
      </c>
      <c r="AY16" s="154">
        <f>'CKR	'!C15</f>
        <v>19720.829137500001</v>
      </c>
      <c r="AZ16" s="117">
        <f>SUM(AZ17:AZ22)</f>
        <v>8000</v>
      </c>
      <c r="BA16" s="149">
        <f>SUM(BA17:BA22)</f>
        <v>26250</v>
      </c>
      <c r="BB16" s="159">
        <f t="shared" si="14"/>
        <v>75.126968142857152</v>
      </c>
    </row>
    <row r="17" spans="1:54" ht="15" customHeight="1" x14ac:dyDescent="0.25">
      <c r="A17" s="13" t="s">
        <v>27</v>
      </c>
      <c r="B17" s="156" t="s">
        <v>28</v>
      </c>
      <c r="C17" s="211">
        <f t="shared" si="0"/>
        <v>47272.494660916309</v>
      </c>
      <c r="D17" s="114">
        <f t="shared" si="1"/>
        <v>19000</v>
      </c>
      <c r="E17" s="239">
        <f t="shared" si="15"/>
        <v>68475.03</v>
      </c>
      <c r="F17" s="160">
        <f t="shared" si="16"/>
        <v>69.036106535355017</v>
      </c>
      <c r="G17" s="116">
        <v>559.875</v>
      </c>
      <c r="H17" s="116">
        <v>0</v>
      </c>
      <c r="I17" s="238">
        <v>6687.5</v>
      </c>
      <c r="J17" s="160">
        <f t="shared" si="3"/>
        <v>8.3719626168224295</v>
      </c>
      <c r="K17" s="116">
        <v>10613.497776077287</v>
      </c>
      <c r="L17" s="116">
        <v>1000</v>
      </c>
      <c r="M17" s="238">
        <v>5856.22</v>
      </c>
      <c r="N17" s="160">
        <f t="shared" si="4"/>
        <v>181.23461509433196</v>
      </c>
      <c r="O17" s="116">
        <v>1601.9</v>
      </c>
      <c r="P17" s="116">
        <v>2000</v>
      </c>
      <c r="Q17" s="237">
        <v>1731.25</v>
      </c>
      <c r="R17" s="151">
        <f t="shared" si="5"/>
        <v>92.528519855595675</v>
      </c>
      <c r="S17" s="162">
        <v>962.41045681818173</v>
      </c>
      <c r="T17" s="163">
        <v>1000</v>
      </c>
      <c r="U17" s="195">
        <v>2343.75</v>
      </c>
      <c r="V17" s="160">
        <f t="shared" si="6"/>
        <v>41.062846157575756</v>
      </c>
      <c r="W17" s="250">
        <f>SUM(MAI!D17)</f>
        <v>0</v>
      </c>
      <c r="X17" s="116">
        <v>1000</v>
      </c>
      <c r="Y17" s="195">
        <v>4843.75</v>
      </c>
      <c r="Z17" s="160">
        <f t="shared" si="7"/>
        <v>0</v>
      </c>
      <c r="AA17" s="163">
        <v>816.875</v>
      </c>
      <c r="AB17" s="163">
        <v>2000</v>
      </c>
      <c r="AC17" s="236">
        <v>5625</v>
      </c>
      <c r="AD17" s="160">
        <f t="shared" si="8"/>
        <v>14.522222222222222</v>
      </c>
      <c r="AE17" s="250">
        <f>SUM(IOC!K20)</f>
        <v>1046</v>
      </c>
      <c r="AF17" s="163">
        <v>2000</v>
      </c>
      <c r="AG17" s="236">
        <v>5768.78</v>
      </c>
      <c r="AH17" s="160">
        <f t="shared" si="17"/>
        <v>18.132083386781957</v>
      </c>
      <c r="AI17" s="250">
        <f>SUM(HIE!L20)</f>
        <v>1628.0514280208395</v>
      </c>
      <c r="AJ17" s="163">
        <v>2000</v>
      </c>
      <c r="AK17" s="236">
        <v>5312.5</v>
      </c>
      <c r="AL17" s="160">
        <f t="shared" si="10"/>
        <v>30.645673939215801</v>
      </c>
      <c r="AM17" s="163">
        <v>6187.5</v>
      </c>
      <c r="AN17" s="163">
        <v>1000</v>
      </c>
      <c r="AO17" s="195">
        <v>6187.5</v>
      </c>
      <c r="AP17" s="160">
        <f t="shared" si="11"/>
        <v>100</v>
      </c>
      <c r="AQ17" s="163">
        <v>2131.5</v>
      </c>
      <c r="AR17" s="116">
        <v>2000</v>
      </c>
      <c r="AS17" s="195">
        <v>1787.5</v>
      </c>
      <c r="AT17" s="160">
        <f t="shared" si="12"/>
        <v>119.24475524475524</v>
      </c>
      <c r="AU17" s="116">
        <v>2004.0549999999998</v>
      </c>
      <c r="AV17" s="116">
        <v>2000</v>
      </c>
      <c r="AW17" s="195">
        <v>3437.5</v>
      </c>
      <c r="AX17" s="151">
        <f t="shared" si="13"/>
        <v>58.299781818181813</v>
      </c>
      <c r="AY17" s="191">
        <f>'CKR	'!C16</f>
        <v>19720.830000000002</v>
      </c>
      <c r="AZ17" s="116">
        <v>3000</v>
      </c>
      <c r="BA17" s="166">
        <v>13125</v>
      </c>
      <c r="BB17" s="160">
        <f t="shared" si="14"/>
        <v>150.25394285714287</v>
      </c>
    </row>
    <row r="18" spans="1:54" ht="15" customHeight="1" x14ac:dyDescent="0.25">
      <c r="A18" s="13" t="s">
        <v>29</v>
      </c>
      <c r="B18" s="156" t="s">
        <v>30</v>
      </c>
      <c r="C18" s="211">
        <f t="shared" si="0"/>
        <v>14726.04276507724</v>
      </c>
      <c r="D18" s="114">
        <f t="shared" si="1"/>
        <v>2000</v>
      </c>
      <c r="E18" s="239">
        <f t="shared" si="15"/>
        <v>18562.5</v>
      </c>
      <c r="F18" s="160">
        <f t="shared" si="16"/>
        <v>79.332216916241023</v>
      </c>
      <c r="G18" s="116">
        <v>466.5625</v>
      </c>
      <c r="H18" s="116">
        <v>0</v>
      </c>
      <c r="I18" s="238">
        <v>6687.5</v>
      </c>
      <c r="J18" s="160">
        <f t="shared" si="3"/>
        <v>6.9766355140186915</v>
      </c>
      <c r="K18" s="116">
        <v>760.96776507723951</v>
      </c>
      <c r="L18" s="116"/>
      <c r="M18" s="238">
        <v>0</v>
      </c>
      <c r="N18" s="160" t="e">
        <f t="shared" si="4"/>
        <v>#DIV/0!</v>
      </c>
      <c r="O18" s="116">
        <v>0</v>
      </c>
      <c r="P18" s="116"/>
      <c r="Q18" s="237">
        <v>0</v>
      </c>
      <c r="R18" s="151" t="e">
        <f t="shared" si="5"/>
        <v>#DIV/0!</v>
      </c>
      <c r="S18" s="162">
        <v>0</v>
      </c>
      <c r="T18" s="163"/>
      <c r="U18" s="195">
        <v>0</v>
      </c>
      <c r="V18" s="160" t="e">
        <f t="shared" si="6"/>
        <v>#DIV/0!</v>
      </c>
      <c r="W18" s="250">
        <f>SUM(MAI!D18)</f>
        <v>0</v>
      </c>
      <c r="X18" s="116"/>
      <c r="Y18" s="195">
        <v>0</v>
      </c>
      <c r="Z18" s="151" t="e">
        <f t="shared" si="7"/>
        <v>#DIV/0!</v>
      </c>
      <c r="AA18" s="162">
        <v>841.41249999999991</v>
      </c>
      <c r="AB18" s="163"/>
      <c r="AC18" s="236">
        <v>0</v>
      </c>
      <c r="AD18" s="160" t="e">
        <f t="shared" si="8"/>
        <v>#DIV/0!</v>
      </c>
      <c r="AE18" s="250">
        <f>SUM(IOC!K21)</f>
        <v>261.5</v>
      </c>
      <c r="AF18" s="163"/>
      <c r="AG18" s="236">
        <v>0</v>
      </c>
      <c r="AH18" s="160" t="e">
        <f t="shared" si="17"/>
        <v>#DIV/0!</v>
      </c>
      <c r="AI18" s="250">
        <f>SUM(HIE!L21)</f>
        <v>4911.2</v>
      </c>
      <c r="AJ18" s="163"/>
      <c r="AK18" s="236">
        <v>0</v>
      </c>
      <c r="AL18" s="160" t="e">
        <f t="shared" si="10"/>
        <v>#DIV/0!</v>
      </c>
      <c r="AM18" s="163">
        <v>7484.4000000000005</v>
      </c>
      <c r="AN18" s="163">
        <v>2000</v>
      </c>
      <c r="AO18" s="195">
        <v>11875</v>
      </c>
      <c r="AP18" s="160">
        <f t="shared" si="11"/>
        <v>63.026526315789475</v>
      </c>
      <c r="AQ18" s="116">
        <v>0</v>
      </c>
      <c r="AR18" s="116"/>
      <c r="AS18" s="195">
        <v>0</v>
      </c>
      <c r="AT18" s="160" t="e">
        <f t="shared" si="12"/>
        <v>#DIV/0!</v>
      </c>
      <c r="AU18" s="116">
        <v>0</v>
      </c>
      <c r="AV18" s="116"/>
      <c r="AW18" s="195">
        <v>0</v>
      </c>
      <c r="AX18" s="151" t="e">
        <f>100/AW18*AU18</f>
        <v>#DIV/0!</v>
      </c>
      <c r="AY18" s="191">
        <f>'CKR	'!C17</f>
        <v>0</v>
      </c>
      <c r="AZ18" s="116"/>
      <c r="BA18" s="166">
        <v>0</v>
      </c>
      <c r="BB18" s="160" t="e">
        <f t="shared" si="14"/>
        <v>#DIV/0!</v>
      </c>
    </row>
    <row r="19" spans="1:54" ht="15" customHeight="1" x14ac:dyDescent="0.25">
      <c r="A19" s="13" t="s">
        <v>31</v>
      </c>
      <c r="B19" s="156" t="s">
        <v>32</v>
      </c>
      <c r="C19" s="211">
        <f t="shared" si="0"/>
        <v>15885.025000000001</v>
      </c>
      <c r="D19" s="114">
        <f t="shared" si="1"/>
        <v>33000</v>
      </c>
      <c r="E19" s="239">
        <f t="shared" si="15"/>
        <v>121637.57</v>
      </c>
      <c r="F19" s="160">
        <f t="shared" si="16"/>
        <v>13.059308073977473</v>
      </c>
      <c r="G19" s="116">
        <v>279.9375</v>
      </c>
      <c r="H19" s="116">
        <v>0</v>
      </c>
      <c r="I19" s="238">
        <v>13750</v>
      </c>
      <c r="J19" s="160">
        <f t="shared" si="3"/>
        <v>2.0359090909090911</v>
      </c>
      <c r="K19" s="116">
        <v>0</v>
      </c>
      <c r="L19" s="116">
        <v>2000</v>
      </c>
      <c r="M19" s="238">
        <v>11712.47</v>
      </c>
      <c r="N19" s="160">
        <f t="shared" si="4"/>
        <v>0</v>
      </c>
      <c r="O19" s="116">
        <v>0</v>
      </c>
      <c r="P19" s="116">
        <v>3000</v>
      </c>
      <c r="Q19" s="237">
        <v>3462.5</v>
      </c>
      <c r="R19" s="151">
        <f t="shared" si="5"/>
        <v>0</v>
      </c>
      <c r="S19" s="162">
        <v>0</v>
      </c>
      <c r="T19" s="163">
        <v>3000</v>
      </c>
      <c r="U19" s="195">
        <v>4687.5</v>
      </c>
      <c r="V19" s="160">
        <f t="shared" si="6"/>
        <v>0</v>
      </c>
      <c r="W19" s="250">
        <f>SUM(MAI!D19)</f>
        <v>0</v>
      </c>
      <c r="X19" s="116">
        <v>3000</v>
      </c>
      <c r="Y19" s="195">
        <v>9687.5</v>
      </c>
      <c r="Z19" s="151">
        <f t="shared" si="7"/>
        <v>0</v>
      </c>
      <c r="AA19" s="162">
        <v>0</v>
      </c>
      <c r="AB19" s="163">
        <v>5000</v>
      </c>
      <c r="AC19" s="236">
        <v>11250</v>
      </c>
      <c r="AD19" s="160">
        <f t="shared" si="8"/>
        <v>0</v>
      </c>
      <c r="AE19" s="250">
        <f>SUM(IOC!K22)</f>
        <v>0</v>
      </c>
      <c r="AF19" s="163">
        <v>3000</v>
      </c>
      <c r="AG19" s="236">
        <v>11537.55</v>
      </c>
      <c r="AH19" s="160">
        <f t="shared" si="17"/>
        <v>0</v>
      </c>
      <c r="AI19" s="250">
        <f>SUM(HIE!L22)</f>
        <v>0</v>
      </c>
      <c r="AJ19" s="163">
        <v>3000</v>
      </c>
      <c r="AK19" s="236">
        <v>10625</v>
      </c>
      <c r="AL19" s="160">
        <f t="shared" si="10"/>
        <v>0</v>
      </c>
      <c r="AM19" s="163">
        <v>14711.087500000001</v>
      </c>
      <c r="AN19" s="163">
        <v>3000</v>
      </c>
      <c r="AO19" s="195">
        <v>18562.5</v>
      </c>
      <c r="AP19" s="160">
        <f t="shared" si="11"/>
        <v>79.251649831649843</v>
      </c>
      <c r="AQ19" s="116">
        <v>0</v>
      </c>
      <c r="AR19" s="116">
        <v>3000</v>
      </c>
      <c r="AS19" s="195">
        <v>3575</v>
      </c>
      <c r="AT19" s="160">
        <f t="shared" si="12"/>
        <v>0</v>
      </c>
      <c r="AU19" s="116">
        <v>894</v>
      </c>
      <c r="AV19" s="116">
        <v>3000</v>
      </c>
      <c r="AW19" s="195">
        <v>6875</v>
      </c>
      <c r="AX19" s="151">
        <f t="shared" si="13"/>
        <v>13.003636363636364</v>
      </c>
      <c r="AY19" s="191">
        <f>'CKR	'!C18</f>
        <v>0</v>
      </c>
      <c r="AZ19" s="116">
        <v>2000</v>
      </c>
      <c r="BA19" s="166">
        <v>4375</v>
      </c>
      <c r="BB19" s="160">
        <f t="shared" si="14"/>
        <v>0</v>
      </c>
    </row>
    <row r="20" spans="1:54" ht="15" customHeight="1" x14ac:dyDescent="0.25">
      <c r="A20" s="13" t="s">
        <v>33</v>
      </c>
      <c r="B20" s="156" t="s">
        <v>34</v>
      </c>
      <c r="C20" s="211">
        <f t="shared" si="0"/>
        <v>0</v>
      </c>
      <c r="D20" s="114">
        <f t="shared" si="1"/>
        <v>0</v>
      </c>
      <c r="E20" s="239">
        <f t="shared" si="15"/>
        <v>26750</v>
      </c>
      <c r="F20" s="160">
        <f t="shared" si="16"/>
        <v>0</v>
      </c>
      <c r="G20" s="116">
        <v>0</v>
      </c>
      <c r="H20" s="116">
        <v>0</v>
      </c>
      <c r="I20" s="238">
        <v>26750</v>
      </c>
      <c r="J20" s="160">
        <f t="shared" si="3"/>
        <v>0</v>
      </c>
      <c r="K20" s="116">
        <v>0</v>
      </c>
      <c r="L20" s="116"/>
      <c r="M20" s="238">
        <v>0</v>
      </c>
      <c r="N20" s="160" t="e">
        <f t="shared" si="4"/>
        <v>#DIV/0!</v>
      </c>
      <c r="O20" s="116">
        <v>0</v>
      </c>
      <c r="P20" s="116"/>
      <c r="Q20" s="237">
        <v>0</v>
      </c>
      <c r="R20" s="151" t="e">
        <f t="shared" si="5"/>
        <v>#DIV/0!</v>
      </c>
      <c r="S20" s="162">
        <v>0</v>
      </c>
      <c r="T20" s="163"/>
      <c r="U20" s="195">
        <v>0</v>
      </c>
      <c r="V20" s="160" t="e">
        <f t="shared" si="6"/>
        <v>#DIV/0!</v>
      </c>
      <c r="W20" s="250">
        <f>SUM(MAI!D20)</f>
        <v>0</v>
      </c>
      <c r="X20" s="116"/>
      <c r="Y20" s="195">
        <v>0</v>
      </c>
      <c r="Z20" s="151" t="e">
        <f t="shared" si="7"/>
        <v>#DIV/0!</v>
      </c>
      <c r="AA20" s="162">
        <v>0</v>
      </c>
      <c r="AB20" s="163"/>
      <c r="AC20" s="236">
        <v>0</v>
      </c>
      <c r="AD20" s="160" t="e">
        <f t="shared" si="8"/>
        <v>#DIV/0!</v>
      </c>
      <c r="AE20" s="250">
        <f>SUM(IOC!K23)</f>
        <v>0</v>
      </c>
      <c r="AF20" s="163"/>
      <c r="AG20" s="236">
        <v>0</v>
      </c>
      <c r="AH20" s="160" t="e">
        <f t="shared" si="17"/>
        <v>#DIV/0!</v>
      </c>
      <c r="AI20" s="250">
        <f>SUM(HIE!L23)</f>
        <v>0</v>
      </c>
      <c r="AJ20" s="163"/>
      <c r="AK20" s="236">
        <v>0</v>
      </c>
      <c r="AL20" s="160" t="e">
        <f t="shared" si="10"/>
        <v>#DIV/0!</v>
      </c>
      <c r="AM20" s="163">
        <v>0</v>
      </c>
      <c r="AN20" s="163"/>
      <c r="AO20" s="195">
        <v>0</v>
      </c>
      <c r="AP20" s="160" t="e">
        <f t="shared" si="11"/>
        <v>#DIV/0!</v>
      </c>
      <c r="AQ20" s="116">
        <v>0</v>
      </c>
      <c r="AR20" s="116"/>
      <c r="AS20" s="195">
        <v>0</v>
      </c>
      <c r="AT20" s="160" t="e">
        <f t="shared" si="12"/>
        <v>#DIV/0!</v>
      </c>
      <c r="AU20" s="116">
        <v>0</v>
      </c>
      <c r="AV20" s="116"/>
      <c r="AW20" s="195">
        <v>0</v>
      </c>
      <c r="AX20" s="151" t="e">
        <f t="shared" si="13"/>
        <v>#DIV/0!</v>
      </c>
      <c r="AY20" s="191">
        <f>'CKR	'!C19</f>
        <v>0</v>
      </c>
      <c r="AZ20" s="116"/>
      <c r="BA20" s="166">
        <v>0</v>
      </c>
      <c r="BB20" s="160" t="e">
        <f t="shared" si="14"/>
        <v>#DIV/0!</v>
      </c>
    </row>
    <row r="21" spans="1:54" ht="15" customHeight="1" x14ac:dyDescent="0.25">
      <c r="A21" s="13" t="s">
        <v>35</v>
      </c>
      <c r="B21" s="156" t="s">
        <v>36</v>
      </c>
      <c r="C21" s="211">
        <f t="shared" si="0"/>
        <v>0</v>
      </c>
      <c r="D21" s="114">
        <f t="shared" si="1"/>
        <v>0</v>
      </c>
      <c r="E21" s="239">
        <f t="shared" si="15"/>
        <v>26750</v>
      </c>
      <c r="F21" s="160">
        <f t="shared" si="16"/>
        <v>0</v>
      </c>
      <c r="G21" s="116">
        <v>0</v>
      </c>
      <c r="H21" s="116">
        <v>0</v>
      </c>
      <c r="I21" s="238">
        <v>26750</v>
      </c>
      <c r="J21" s="160">
        <f t="shared" si="3"/>
        <v>0</v>
      </c>
      <c r="K21" s="116">
        <v>0</v>
      </c>
      <c r="L21" s="116"/>
      <c r="M21" s="238">
        <v>0</v>
      </c>
      <c r="N21" s="160" t="e">
        <f t="shared" si="4"/>
        <v>#DIV/0!</v>
      </c>
      <c r="O21" s="116">
        <v>0</v>
      </c>
      <c r="P21" s="116"/>
      <c r="Q21" s="237">
        <v>0</v>
      </c>
      <c r="R21" s="151" t="e">
        <f t="shared" si="5"/>
        <v>#DIV/0!</v>
      </c>
      <c r="S21" s="162">
        <v>0</v>
      </c>
      <c r="T21" s="163"/>
      <c r="U21" s="195">
        <v>0</v>
      </c>
      <c r="V21" s="160" t="e">
        <f t="shared" si="6"/>
        <v>#DIV/0!</v>
      </c>
      <c r="W21" s="250">
        <f>SUM(MAI!D21)</f>
        <v>0</v>
      </c>
      <c r="X21" s="116"/>
      <c r="Y21" s="195">
        <v>0</v>
      </c>
      <c r="Z21" s="151" t="e">
        <f t="shared" si="7"/>
        <v>#DIV/0!</v>
      </c>
      <c r="AA21" s="162">
        <v>0</v>
      </c>
      <c r="AB21" s="163">
        <v>0</v>
      </c>
      <c r="AC21" s="236">
        <v>0</v>
      </c>
      <c r="AD21" s="160" t="e">
        <f t="shared" si="8"/>
        <v>#DIV/0!</v>
      </c>
      <c r="AE21" s="250">
        <f>SUM(IOC!K24)</f>
        <v>0</v>
      </c>
      <c r="AF21" s="163"/>
      <c r="AG21" s="236">
        <v>0</v>
      </c>
      <c r="AH21" s="160" t="e">
        <f t="shared" si="17"/>
        <v>#DIV/0!</v>
      </c>
      <c r="AI21" s="250">
        <f>SUM(HIE!L24)</f>
        <v>0</v>
      </c>
      <c r="AJ21" s="163"/>
      <c r="AK21" s="236">
        <v>0</v>
      </c>
      <c r="AL21" s="160" t="e">
        <f t="shared" si="10"/>
        <v>#DIV/0!</v>
      </c>
      <c r="AM21" s="163">
        <v>0</v>
      </c>
      <c r="AN21" s="163"/>
      <c r="AO21" s="195">
        <v>0</v>
      </c>
      <c r="AP21" s="160" t="e">
        <f t="shared" si="11"/>
        <v>#DIV/0!</v>
      </c>
      <c r="AQ21" s="116">
        <v>0</v>
      </c>
      <c r="AR21" s="116"/>
      <c r="AS21" s="195">
        <v>0</v>
      </c>
      <c r="AT21" s="160" t="e">
        <f t="shared" si="12"/>
        <v>#DIV/0!</v>
      </c>
      <c r="AU21" s="116">
        <v>0</v>
      </c>
      <c r="AV21" s="116"/>
      <c r="AW21" s="195">
        <v>0</v>
      </c>
      <c r="AX21" s="151" t="e">
        <f t="shared" si="13"/>
        <v>#DIV/0!</v>
      </c>
      <c r="AY21" s="191">
        <f>'CKR	'!C20</f>
        <v>0</v>
      </c>
      <c r="AZ21" s="116"/>
      <c r="BA21" s="166">
        <v>0</v>
      </c>
      <c r="BB21" s="160" t="e">
        <f t="shared" si="14"/>
        <v>#DIV/0!</v>
      </c>
    </row>
    <row r="22" spans="1:54" ht="15" customHeight="1" x14ac:dyDescent="0.25">
      <c r="A22" s="13" t="s">
        <v>37</v>
      </c>
      <c r="B22" s="156" t="s">
        <v>38</v>
      </c>
      <c r="C22" s="211">
        <f t="shared" si="0"/>
        <v>6187.5</v>
      </c>
      <c r="D22" s="114">
        <f t="shared" si="1"/>
        <v>37428.57</v>
      </c>
      <c r="E22" s="239">
        <f t="shared" si="15"/>
        <v>171950.02000000002</v>
      </c>
      <c r="F22" s="160">
        <f t="shared" si="16"/>
        <v>3.5984293575540143</v>
      </c>
      <c r="G22" s="116">
        <v>0</v>
      </c>
      <c r="H22" s="116">
        <v>0</v>
      </c>
      <c r="I22" s="238">
        <v>13750</v>
      </c>
      <c r="J22" s="160">
        <f t="shared" si="3"/>
        <v>0</v>
      </c>
      <c r="K22" s="116">
        <v>0</v>
      </c>
      <c r="L22" s="116">
        <v>5000</v>
      </c>
      <c r="M22" s="238">
        <v>35137.42</v>
      </c>
      <c r="N22" s="160">
        <f t="shared" si="4"/>
        <v>0</v>
      </c>
      <c r="O22" s="116">
        <v>0</v>
      </c>
      <c r="P22" s="116">
        <v>3000</v>
      </c>
      <c r="Q22" s="237">
        <v>3462.5</v>
      </c>
      <c r="R22" s="151">
        <f t="shared" si="5"/>
        <v>0</v>
      </c>
      <c r="S22" s="162">
        <v>0</v>
      </c>
      <c r="T22" s="163">
        <v>4000</v>
      </c>
      <c r="U22" s="195">
        <v>9375</v>
      </c>
      <c r="V22" s="160">
        <f t="shared" si="6"/>
        <v>0</v>
      </c>
      <c r="W22" s="250">
        <f>SUM(MAI!D22)</f>
        <v>0</v>
      </c>
      <c r="X22" s="116">
        <v>4000</v>
      </c>
      <c r="Y22" s="195">
        <v>19375</v>
      </c>
      <c r="Z22" s="151">
        <f t="shared" si="7"/>
        <v>0</v>
      </c>
      <c r="AA22" s="162">
        <v>0</v>
      </c>
      <c r="AB22" s="163">
        <v>4428.57</v>
      </c>
      <c r="AC22" s="236">
        <v>22500</v>
      </c>
      <c r="AD22" s="160">
        <f t="shared" si="8"/>
        <v>0</v>
      </c>
      <c r="AE22" s="250">
        <f>SUM(IOC!K25)</f>
        <v>0</v>
      </c>
      <c r="AF22" s="163">
        <v>3000</v>
      </c>
      <c r="AG22" s="236">
        <v>11537.55</v>
      </c>
      <c r="AH22" s="160">
        <f t="shared" si="17"/>
        <v>0</v>
      </c>
      <c r="AI22" s="250">
        <f>SUM(HIE!L25)</f>
        <v>0</v>
      </c>
      <c r="AJ22" s="163">
        <v>3000</v>
      </c>
      <c r="AK22" s="236">
        <v>10625</v>
      </c>
      <c r="AL22" s="160">
        <f t="shared" si="10"/>
        <v>0</v>
      </c>
      <c r="AM22" s="163">
        <v>6187.5</v>
      </c>
      <c r="AN22" s="163">
        <v>2000</v>
      </c>
      <c r="AO22" s="195">
        <v>11875</v>
      </c>
      <c r="AP22" s="160">
        <f t="shared" si="11"/>
        <v>52.105263157894733</v>
      </c>
      <c r="AQ22" s="116">
        <v>0</v>
      </c>
      <c r="AR22" s="116">
        <v>3000</v>
      </c>
      <c r="AS22" s="195">
        <v>7150</v>
      </c>
      <c r="AT22" s="160">
        <f t="shared" si="12"/>
        <v>0</v>
      </c>
      <c r="AU22" s="116">
        <v>0</v>
      </c>
      <c r="AV22" s="116">
        <v>3000</v>
      </c>
      <c r="AW22" s="195">
        <v>6875</v>
      </c>
      <c r="AX22" s="151">
        <f t="shared" si="13"/>
        <v>0</v>
      </c>
      <c r="AY22" s="191">
        <f>'CKR	'!C21</f>
        <v>0</v>
      </c>
      <c r="AZ22" s="116">
        <v>3000</v>
      </c>
      <c r="BA22" s="166">
        <v>8750</v>
      </c>
      <c r="BB22" s="160">
        <f t="shared" si="14"/>
        <v>0</v>
      </c>
    </row>
    <row r="23" spans="1:54" ht="15.75" customHeight="1" x14ac:dyDescent="0.25">
      <c r="A23" s="9" t="s">
        <v>39</v>
      </c>
      <c r="B23" s="155" t="s">
        <v>40</v>
      </c>
      <c r="C23" s="148">
        <f t="shared" si="0"/>
        <v>21952.603262094621</v>
      </c>
      <c r="D23" s="112">
        <f t="shared" si="1"/>
        <v>151514.29</v>
      </c>
      <c r="E23" s="167">
        <f t="shared" si="15"/>
        <v>700689.32</v>
      </c>
      <c r="F23" s="159">
        <f t="shared" si="16"/>
        <v>3.1330009799627918</v>
      </c>
      <c r="G23" s="117">
        <v>6681.1750000000011</v>
      </c>
      <c r="H23" s="117">
        <f>SUM(H24:H32)</f>
        <v>0</v>
      </c>
      <c r="I23" s="126">
        <f>SUM(I24:I32)</f>
        <v>72511.5</v>
      </c>
      <c r="J23" s="159">
        <f t="shared" si="3"/>
        <v>9.2139522696399894</v>
      </c>
      <c r="K23" s="117">
        <v>2723.4635802764365</v>
      </c>
      <c r="L23" s="117">
        <f>SUM(L24:L32)</f>
        <v>8000</v>
      </c>
      <c r="M23" s="126">
        <f>SUM(M24:M32)</f>
        <v>149334.16999999998</v>
      </c>
      <c r="N23" s="159">
        <f t="shared" si="4"/>
        <v>1.8237377154046102</v>
      </c>
      <c r="O23" s="117">
        <v>58.099999999999994</v>
      </c>
      <c r="P23" s="117">
        <f>SUM(P24:P32)</f>
        <v>26000</v>
      </c>
      <c r="Q23" s="126">
        <f>SUM(Q24:Q32)</f>
        <v>29431.25</v>
      </c>
      <c r="R23" s="150">
        <f t="shared" si="5"/>
        <v>0.19740921639413886</v>
      </c>
      <c r="S23" s="164">
        <v>595.19468181818183</v>
      </c>
      <c r="T23" s="165">
        <f>SUM(T24:T32)</f>
        <v>8600</v>
      </c>
      <c r="U23" s="196">
        <f>SUM(U24:U32)</f>
        <v>32812.5</v>
      </c>
      <c r="V23" s="159">
        <f t="shared" si="6"/>
        <v>1.8139266493506494</v>
      </c>
      <c r="W23" s="199">
        <f>SUM(MAI!D23)</f>
        <v>4120.2875000000004</v>
      </c>
      <c r="X23" s="117">
        <f>SUM(X24:X32)</f>
        <v>8600</v>
      </c>
      <c r="Y23" s="196">
        <f>SUM(Y24:Y32)</f>
        <v>77500</v>
      </c>
      <c r="Z23" s="150">
        <f t="shared" si="7"/>
        <v>5.3165000000000004</v>
      </c>
      <c r="AA23" s="164">
        <v>816.875</v>
      </c>
      <c r="AB23" s="165">
        <f>SUM(AB24:AB32)</f>
        <v>33714.29</v>
      </c>
      <c r="AC23" s="167">
        <f>SUM(AC24:AC32)</f>
        <v>101250</v>
      </c>
      <c r="AD23" s="159">
        <f t="shared" si="8"/>
        <v>0.80679012345679013</v>
      </c>
      <c r="AE23" s="199">
        <f>SUM(IOC!K26)</f>
        <v>0</v>
      </c>
      <c r="AF23" s="165">
        <f>SUM(AF24:AF32)</f>
        <v>8600</v>
      </c>
      <c r="AG23" s="167">
        <f>SUM(AG24:AG32)</f>
        <v>34612.699999999997</v>
      </c>
      <c r="AH23" s="159">
        <f t="shared" si="17"/>
        <v>0</v>
      </c>
      <c r="AI23" s="199">
        <f>SUM(HIE!L26)</f>
        <v>0</v>
      </c>
      <c r="AJ23" s="165">
        <f>SUM(AJ24:AJ32)</f>
        <v>8600</v>
      </c>
      <c r="AK23" s="167">
        <f>SUM(AK24:AK32)</f>
        <v>74374.5</v>
      </c>
      <c r="AL23" s="159">
        <f t="shared" si="10"/>
        <v>0</v>
      </c>
      <c r="AM23" s="165">
        <v>5126.7875000000004</v>
      </c>
      <c r="AN23" s="165">
        <f>SUM(AN24:AN32)</f>
        <v>8600</v>
      </c>
      <c r="AO23" s="196">
        <f>SUM(AO24:AO32)</f>
        <v>30937.5</v>
      </c>
      <c r="AP23" s="159">
        <f t="shared" si="11"/>
        <v>16.571434343434344</v>
      </c>
      <c r="AQ23" s="117">
        <v>661.59</v>
      </c>
      <c r="AR23" s="117">
        <f>SUM(AR24:AR32)</f>
        <v>8600</v>
      </c>
      <c r="AS23" s="196">
        <f>SUM(AS24:AS32)</f>
        <v>8937.5</v>
      </c>
      <c r="AT23" s="159">
        <f t="shared" si="12"/>
        <v>7.4024055944055949</v>
      </c>
      <c r="AU23" s="117">
        <v>1169.1299999999999</v>
      </c>
      <c r="AV23" s="117">
        <f>SUM(AV24:AV32)</f>
        <v>23600</v>
      </c>
      <c r="AW23" s="196">
        <f>SUM(AW24:AW32)</f>
        <v>41250</v>
      </c>
      <c r="AX23" s="150">
        <f t="shared" si="13"/>
        <v>2.8342545454545451</v>
      </c>
      <c r="AY23" s="154">
        <f>'CKR	'!C22</f>
        <v>0</v>
      </c>
      <c r="AZ23" s="117">
        <f>SUM(AZ24:AZ32)</f>
        <v>8600</v>
      </c>
      <c r="BA23" s="167">
        <f>SUM(BA24:BA32)</f>
        <v>13125</v>
      </c>
      <c r="BB23" s="159">
        <f t="shared" si="14"/>
        <v>0</v>
      </c>
    </row>
    <row r="24" spans="1:54" ht="15" customHeight="1" x14ac:dyDescent="0.25">
      <c r="A24" s="21" t="s">
        <v>41</v>
      </c>
      <c r="B24" s="156" t="s">
        <v>42</v>
      </c>
      <c r="C24" s="211">
        <f t="shared" si="0"/>
        <v>8347.2261002439154</v>
      </c>
      <c r="D24" s="114">
        <f t="shared" si="1"/>
        <v>1000</v>
      </c>
      <c r="E24" s="239">
        <f t="shared" si="15"/>
        <v>24218.75</v>
      </c>
      <c r="F24" s="160">
        <f t="shared" si="16"/>
        <v>34.465965833265201</v>
      </c>
      <c r="G24" s="116">
        <v>933.125</v>
      </c>
      <c r="H24" s="116">
        <v>0</v>
      </c>
      <c r="I24" s="238">
        <v>0</v>
      </c>
      <c r="J24" s="160" t="e">
        <f t="shared" si="3"/>
        <v>#DIV/0!</v>
      </c>
      <c r="K24" s="116">
        <v>2403.0561002439144</v>
      </c>
      <c r="L24" s="116"/>
      <c r="M24" s="238">
        <v>0</v>
      </c>
      <c r="N24" s="160" t="e">
        <f t="shared" si="4"/>
        <v>#DIV/0!</v>
      </c>
      <c r="O24" s="116">
        <v>46.48</v>
      </c>
      <c r="P24" s="116"/>
      <c r="Q24" s="237">
        <v>0</v>
      </c>
      <c r="R24" s="151" t="e">
        <f t="shared" si="5"/>
        <v>#DIV/0!</v>
      </c>
      <c r="S24" s="162">
        <v>0</v>
      </c>
      <c r="T24" s="163"/>
      <c r="U24" s="195">
        <v>0</v>
      </c>
      <c r="V24" s="160" t="e">
        <f t="shared" si="6"/>
        <v>#DIV/0!</v>
      </c>
      <c r="W24" s="250">
        <f>SUM(MAI!D24)</f>
        <v>4120.2875000000004</v>
      </c>
      <c r="X24" s="116">
        <v>1000</v>
      </c>
      <c r="Y24" s="195">
        <v>24218.75</v>
      </c>
      <c r="Z24" s="151">
        <f t="shared" si="7"/>
        <v>17.012800000000002</v>
      </c>
      <c r="AA24" s="162">
        <v>81.6875</v>
      </c>
      <c r="AB24" s="163"/>
      <c r="AC24" s="236">
        <v>0</v>
      </c>
      <c r="AD24" s="160" t="e">
        <f t="shared" si="8"/>
        <v>#DIV/0!</v>
      </c>
      <c r="AE24" s="250">
        <f>SUM(IOC!K27)</f>
        <v>0</v>
      </c>
      <c r="AF24" s="163"/>
      <c r="AG24" s="236">
        <v>0</v>
      </c>
      <c r="AH24" s="160" t="e">
        <f t="shared" si="17"/>
        <v>#DIV/0!</v>
      </c>
      <c r="AI24" s="250">
        <f>SUM(HIE!L27)</f>
        <v>0</v>
      </c>
      <c r="AJ24" s="163"/>
      <c r="AK24" s="236">
        <v>0</v>
      </c>
      <c r="AL24" s="160" t="e">
        <f t="shared" si="10"/>
        <v>#DIV/0!</v>
      </c>
      <c r="AM24" s="163">
        <v>0</v>
      </c>
      <c r="AN24" s="163"/>
      <c r="AO24" s="195">
        <v>0</v>
      </c>
      <c r="AP24" s="160" t="e">
        <f t="shared" si="11"/>
        <v>#DIV/0!</v>
      </c>
      <c r="AQ24" s="116">
        <v>661.59</v>
      </c>
      <c r="AR24" s="116"/>
      <c r="AS24" s="195">
        <v>0</v>
      </c>
      <c r="AT24" s="160" t="e">
        <f t="shared" si="12"/>
        <v>#DIV/0!</v>
      </c>
      <c r="AU24" s="116">
        <v>101</v>
      </c>
      <c r="AV24" s="116"/>
      <c r="AW24" s="195">
        <v>0</v>
      </c>
      <c r="AX24" s="151" t="e">
        <f t="shared" si="13"/>
        <v>#DIV/0!</v>
      </c>
      <c r="AY24" s="191">
        <f>'CKR	'!C23</f>
        <v>0</v>
      </c>
      <c r="AZ24" s="116"/>
      <c r="BA24" s="166">
        <v>0</v>
      </c>
      <c r="BB24" s="160" t="e">
        <f t="shared" si="14"/>
        <v>#DIV/0!</v>
      </c>
    </row>
    <row r="25" spans="1:54" ht="15" customHeight="1" x14ac:dyDescent="0.25">
      <c r="A25" s="21" t="s">
        <v>43</v>
      </c>
      <c r="B25" s="156" t="s">
        <v>44</v>
      </c>
      <c r="C25" s="211">
        <f t="shared" si="0"/>
        <v>5371.85</v>
      </c>
      <c r="D25" s="114">
        <f t="shared" si="1"/>
        <v>44600</v>
      </c>
      <c r="E25" s="239">
        <f t="shared" si="15"/>
        <v>169499.08</v>
      </c>
      <c r="F25" s="160">
        <f t="shared" si="16"/>
        <v>3.1692502401782949</v>
      </c>
      <c r="G25" s="116">
        <v>0</v>
      </c>
      <c r="H25" s="116">
        <v>0</v>
      </c>
      <c r="I25" s="238">
        <v>12324</v>
      </c>
      <c r="J25" s="160">
        <f t="shared" si="3"/>
        <v>0</v>
      </c>
      <c r="K25" s="116">
        <v>0</v>
      </c>
      <c r="L25" s="116">
        <v>1000</v>
      </c>
      <c r="M25" s="238">
        <v>11712.46</v>
      </c>
      <c r="N25" s="160">
        <f t="shared" si="4"/>
        <v>0</v>
      </c>
      <c r="O25" s="116">
        <v>0</v>
      </c>
      <c r="P25" s="116">
        <v>5000</v>
      </c>
      <c r="Q25" s="237">
        <v>3462.5</v>
      </c>
      <c r="R25" s="151">
        <f t="shared" si="5"/>
        <v>0</v>
      </c>
      <c r="S25" s="162">
        <v>0</v>
      </c>
      <c r="T25" s="163">
        <v>2000</v>
      </c>
      <c r="U25" s="195">
        <v>4687.5</v>
      </c>
      <c r="V25" s="160">
        <f t="shared" si="6"/>
        <v>0</v>
      </c>
      <c r="W25" s="250">
        <f>SUM(MAI!D25)</f>
        <v>0</v>
      </c>
      <c r="X25" s="116">
        <v>5000</v>
      </c>
      <c r="Y25" s="195">
        <v>29062.5</v>
      </c>
      <c r="Z25" s="151">
        <f t="shared" si="7"/>
        <v>0</v>
      </c>
      <c r="AA25" s="162">
        <v>245.06249999999997</v>
      </c>
      <c r="AB25" s="163">
        <v>10000</v>
      </c>
      <c r="AC25" s="236">
        <v>39375</v>
      </c>
      <c r="AD25" s="160">
        <f t="shared" si="8"/>
        <v>0.62238095238095226</v>
      </c>
      <c r="AE25" s="250">
        <f>SUM(IOC!K28)</f>
        <v>0</v>
      </c>
      <c r="AF25" s="163">
        <v>3000</v>
      </c>
      <c r="AG25" s="236">
        <v>11537.56</v>
      </c>
      <c r="AH25" s="160">
        <f t="shared" si="17"/>
        <v>0</v>
      </c>
      <c r="AI25" s="250">
        <f>SUM(HIE!L28)</f>
        <v>0</v>
      </c>
      <c r="AJ25" s="163">
        <v>1000</v>
      </c>
      <c r="AK25" s="236">
        <v>10625</v>
      </c>
      <c r="AL25" s="160">
        <f t="shared" si="10"/>
        <v>0</v>
      </c>
      <c r="AM25" s="163">
        <v>5126.7875000000004</v>
      </c>
      <c r="AN25" s="163">
        <v>4600</v>
      </c>
      <c r="AO25" s="195">
        <v>18562.5</v>
      </c>
      <c r="AP25" s="160">
        <f t="shared" si="11"/>
        <v>27.619057239057241</v>
      </c>
      <c r="AQ25" s="116">
        <v>0</v>
      </c>
      <c r="AR25" s="116">
        <v>6000</v>
      </c>
      <c r="AS25" s="195">
        <v>5362.5</v>
      </c>
      <c r="AT25" s="160">
        <f t="shared" si="12"/>
        <v>0</v>
      </c>
      <c r="AU25" s="116">
        <v>0</v>
      </c>
      <c r="AV25" s="116">
        <v>5000</v>
      </c>
      <c r="AW25" s="195">
        <v>6875</v>
      </c>
      <c r="AX25" s="151">
        <f t="shared" si="13"/>
        <v>0</v>
      </c>
      <c r="AY25" s="191">
        <f>'CKR	'!C24</f>
        <v>0</v>
      </c>
      <c r="AZ25" s="116">
        <v>2000</v>
      </c>
      <c r="BA25" s="166">
        <v>4375</v>
      </c>
      <c r="BB25" s="160">
        <f t="shared" si="14"/>
        <v>0</v>
      </c>
    </row>
    <row r="26" spans="1:54" ht="15" customHeight="1" x14ac:dyDescent="0.25">
      <c r="A26" s="43" t="s">
        <v>45</v>
      </c>
      <c r="B26" s="157" t="s">
        <v>46</v>
      </c>
      <c r="C26" s="211">
        <f t="shared" si="0"/>
        <v>326.75</v>
      </c>
      <c r="D26" s="114">
        <f t="shared" si="1"/>
        <v>34100</v>
      </c>
      <c r="E26" s="239">
        <f t="shared" si="15"/>
        <v>113875.04999999999</v>
      </c>
      <c r="F26" s="160">
        <f t="shared" si="16"/>
        <v>0.28693730540623258</v>
      </c>
      <c r="G26" s="116">
        <v>0</v>
      </c>
      <c r="H26" s="116">
        <v>0</v>
      </c>
      <c r="I26" s="238">
        <v>6687.5</v>
      </c>
      <c r="J26" s="160">
        <f t="shared" si="3"/>
        <v>0</v>
      </c>
      <c r="K26" s="116">
        <v>0</v>
      </c>
      <c r="L26" s="116">
        <v>1000</v>
      </c>
      <c r="M26" s="238">
        <v>5856.24</v>
      </c>
      <c r="N26" s="160">
        <f t="shared" si="4"/>
        <v>0</v>
      </c>
      <c r="O26" s="116">
        <v>0</v>
      </c>
      <c r="P26" s="116">
        <v>10000</v>
      </c>
      <c r="Q26" s="237">
        <v>13850</v>
      </c>
      <c r="R26" s="151">
        <f t="shared" si="5"/>
        <v>0</v>
      </c>
      <c r="S26" s="162">
        <v>0</v>
      </c>
      <c r="T26" s="163">
        <v>2000</v>
      </c>
      <c r="U26" s="195">
        <v>2343.75</v>
      </c>
      <c r="V26" s="160">
        <f t="shared" si="6"/>
        <v>0</v>
      </c>
      <c r="W26" s="250">
        <f>SUM(MAI!D26)</f>
        <v>0</v>
      </c>
      <c r="X26" s="116">
        <v>500</v>
      </c>
      <c r="Y26" s="195">
        <v>9687.5</v>
      </c>
      <c r="Z26" s="151">
        <f t="shared" si="7"/>
        <v>0</v>
      </c>
      <c r="AA26" s="162">
        <v>326.75</v>
      </c>
      <c r="AB26" s="163">
        <v>10000</v>
      </c>
      <c r="AC26" s="236">
        <v>45000</v>
      </c>
      <c r="AD26" s="160">
        <f t="shared" si="8"/>
        <v>0.72611111111111115</v>
      </c>
      <c r="AE26" s="250">
        <f>SUM(IOC!K29)</f>
        <v>0</v>
      </c>
      <c r="AF26" s="163">
        <v>1500</v>
      </c>
      <c r="AG26" s="236">
        <v>5768.78</v>
      </c>
      <c r="AH26" s="160">
        <f>100/AG26*AE26</f>
        <v>0</v>
      </c>
      <c r="AI26" s="250">
        <f>SUM(HIE!L29)</f>
        <v>0</v>
      </c>
      <c r="AJ26" s="163">
        <v>1000</v>
      </c>
      <c r="AK26" s="236">
        <v>5312.5</v>
      </c>
      <c r="AL26" s="160">
        <f t="shared" si="10"/>
        <v>0</v>
      </c>
      <c r="AM26" s="163">
        <v>0</v>
      </c>
      <c r="AN26" s="163">
        <v>2000</v>
      </c>
      <c r="AO26" s="195">
        <v>6187.5</v>
      </c>
      <c r="AP26" s="160">
        <f t="shared" si="11"/>
        <v>0</v>
      </c>
      <c r="AQ26" s="116">
        <v>0</v>
      </c>
      <c r="AR26" s="116">
        <v>1600</v>
      </c>
      <c r="AS26" s="195">
        <v>1787.5</v>
      </c>
      <c r="AT26" s="160">
        <f t="shared" si="12"/>
        <v>0</v>
      </c>
      <c r="AU26" s="116">
        <v>0</v>
      </c>
      <c r="AV26" s="116">
        <v>2500</v>
      </c>
      <c r="AW26" s="195">
        <v>3437.5</v>
      </c>
      <c r="AX26" s="151">
        <f t="shared" si="13"/>
        <v>0</v>
      </c>
      <c r="AY26" s="191">
        <f>'CKR	'!C25</f>
        <v>0</v>
      </c>
      <c r="AZ26" s="116">
        <v>2000</v>
      </c>
      <c r="BA26" s="166">
        <v>2187.5</v>
      </c>
      <c r="BB26" s="160">
        <f t="shared" si="14"/>
        <v>0</v>
      </c>
    </row>
    <row r="27" spans="1:54" ht="15" customHeight="1" x14ac:dyDescent="0.25">
      <c r="A27" s="21" t="s">
        <v>47</v>
      </c>
      <c r="B27" s="156" t="s">
        <v>48</v>
      </c>
      <c r="C27" s="211">
        <f t="shared" si="0"/>
        <v>0</v>
      </c>
      <c r="D27" s="114">
        <f t="shared" si="1"/>
        <v>10700</v>
      </c>
      <c r="E27" s="239">
        <f t="shared" si="15"/>
        <v>70268.81</v>
      </c>
      <c r="F27" s="160">
        <f t="shared" si="16"/>
        <v>0</v>
      </c>
      <c r="G27" s="116">
        <v>0</v>
      </c>
      <c r="H27" s="116">
        <v>0</v>
      </c>
      <c r="I27" s="238">
        <v>6687.5</v>
      </c>
      <c r="J27" s="160">
        <f t="shared" si="3"/>
        <v>0</v>
      </c>
      <c r="K27" s="116">
        <v>0</v>
      </c>
      <c r="L27" s="116"/>
      <c r="M27" s="238">
        <v>0</v>
      </c>
      <c r="N27" s="160" t="e">
        <f t="shared" si="4"/>
        <v>#DIV/0!</v>
      </c>
      <c r="O27" s="116">
        <v>0</v>
      </c>
      <c r="P27" s="116"/>
      <c r="Q27" s="237">
        <v>1731.25</v>
      </c>
      <c r="R27" s="151">
        <f t="shared" si="5"/>
        <v>0</v>
      </c>
      <c r="S27" s="162">
        <v>0</v>
      </c>
      <c r="T27" s="163"/>
      <c r="U27" s="195">
        <v>2343.75</v>
      </c>
      <c r="V27" s="160">
        <f t="shared" si="6"/>
        <v>0</v>
      </c>
      <c r="W27" s="250">
        <f>SUM(MAI!D27)</f>
        <v>0</v>
      </c>
      <c r="X27" s="116">
        <v>100</v>
      </c>
      <c r="Y27" s="195">
        <v>4843.75</v>
      </c>
      <c r="Z27" s="151">
        <f t="shared" si="7"/>
        <v>0</v>
      </c>
      <c r="AA27" s="162">
        <v>0</v>
      </c>
      <c r="AB27" s="163">
        <v>4000</v>
      </c>
      <c r="AC27" s="236">
        <v>5625</v>
      </c>
      <c r="AD27" s="160">
        <f t="shared" si="8"/>
        <v>0</v>
      </c>
      <c r="AE27" s="250">
        <f>SUM(IOC!K30)</f>
        <v>0</v>
      </c>
      <c r="AF27" s="163">
        <v>1500</v>
      </c>
      <c r="AG27" s="236">
        <v>5768.78</v>
      </c>
      <c r="AH27" s="160">
        <f>100/AG27*AE27</f>
        <v>0</v>
      </c>
      <c r="AI27" s="250">
        <f>SUM(HIE!L30)</f>
        <v>0</v>
      </c>
      <c r="AJ27" s="163">
        <v>2600</v>
      </c>
      <c r="AK27" s="236">
        <v>31875</v>
      </c>
      <c r="AL27" s="160">
        <f t="shared" si="10"/>
        <v>0</v>
      </c>
      <c r="AM27" s="163">
        <v>0</v>
      </c>
      <c r="AN27" s="163"/>
      <c r="AO27" s="195">
        <v>0</v>
      </c>
      <c r="AP27" s="160" t="e">
        <f t="shared" si="11"/>
        <v>#DIV/0!</v>
      </c>
      <c r="AQ27" s="116">
        <v>0</v>
      </c>
      <c r="AR27" s="116"/>
      <c r="AS27" s="195">
        <v>0</v>
      </c>
      <c r="AT27" s="160" t="e">
        <f t="shared" si="12"/>
        <v>#DIV/0!</v>
      </c>
      <c r="AU27" s="116">
        <v>0</v>
      </c>
      <c r="AV27" s="116">
        <v>2500</v>
      </c>
      <c r="AW27" s="195">
        <v>3437.5</v>
      </c>
      <c r="AX27" s="151">
        <f t="shared" si="13"/>
        <v>0</v>
      </c>
      <c r="AY27" s="191">
        <f>'CKR	'!C26</f>
        <v>0</v>
      </c>
      <c r="AZ27" s="116"/>
      <c r="BA27" s="166">
        <v>2187.5</v>
      </c>
      <c r="BB27" s="160">
        <f t="shared" si="14"/>
        <v>0</v>
      </c>
    </row>
    <row r="28" spans="1:54" ht="15" customHeight="1" x14ac:dyDescent="0.25">
      <c r="A28" s="21" t="s">
        <v>49</v>
      </c>
      <c r="B28" s="156" t="s">
        <v>50</v>
      </c>
      <c r="C28" s="211">
        <f t="shared" si="0"/>
        <v>359.9074800325219</v>
      </c>
      <c r="D28" s="114">
        <f t="shared" si="1"/>
        <v>6000</v>
      </c>
      <c r="E28" s="239">
        <f t="shared" si="15"/>
        <v>114196.76</v>
      </c>
      <c r="F28" s="160">
        <f t="shared" si="16"/>
        <v>0.31516435320277209</v>
      </c>
      <c r="G28" s="116">
        <v>0</v>
      </c>
      <c r="H28" s="116">
        <v>0</v>
      </c>
      <c r="I28" s="238">
        <v>0</v>
      </c>
      <c r="J28" s="160" t="e">
        <f t="shared" si="3"/>
        <v>#DIV/0!</v>
      </c>
      <c r="K28" s="116">
        <v>320.4074800325219</v>
      </c>
      <c r="L28" s="116">
        <v>6000</v>
      </c>
      <c r="M28" s="238">
        <v>114196.76</v>
      </c>
      <c r="N28" s="160">
        <f t="shared" si="4"/>
        <v>0.28057493052563132</v>
      </c>
      <c r="O28" s="116">
        <v>0</v>
      </c>
      <c r="P28" s="116">
        <v>0</v>
      </c>
      <c r="Q28" s="237">
        <v>0</v>
      </c>
      <c r="R28" s="151" t="e">
        <f t="shared" si="5"/>
        <v>#DIV/0!</v>
      </c>
      <c r="S28" s="162">
        <v>0</v>
      </c>
      <c r="T28" s="163">
        <v>0</v>
      </c>
      <c r="U28" s="195">
        <v>0</v>
      </c>
      <c r="V28" s="160" t="e">
        <f t="shared" si="6"/>
        <v>#DIV/0!</v>
      </c>
      <c r="W28" s="250">
        <f>SUM(MAI!D28)</f>
        <v>0</v>
      </c>
      <c r="X28" s="116">
        <v>0</v>
      </c>
      <c r="Y28" s="195">
        <v>0</v>
      </c>
      <c r="Z28" s="151" t="e">
        <f t="shared" si="7"/>
        <v>#DIV/0!</v>
      </c>
      <c r="AA28" s="162">
        <v>0</v>
      </c>
      <c r="AB28" s="163">
        <v>0</v>
      </c>
      <c r="AC28" s="236">
        <v>0</v>
      </c>
      <c r="AD28" s="160" t="e">
        <f t="shared" si="8"/>
        <v>#DIV/0!</v>
      </c>
      <c r="AE28" s="250">
        <f>SUM(IOC!K31)</f>
        <v>0</v>
      </c>
      <c r="AF28" s="163">
        <v>0</v>
      </c>
      <c r="AG28" s="236">
        <v>0</v>
      </c>
      <c r="AH28" s="160" t="e">
        <f t="shared" si="17"/>
        <v>#DIV/0!</v>
      </c>
      <c r="AI28" s="250">
        <f>SUM(HIE!L31)</f>
        <v>0</v>
      </c>
      <c r="AJ28" s="163">
        <v>0</v>
      </c>
      <c r="AK28" s="236">
        <v>0</v>
      </c>
      <c r="AL28" s="160" t="e">
        <f t="shared" si="10"/>
        <v>#DIV/0!</v>
      </c>
      <c r="AM28" s="163">
        <v>0</v>
      </c>
      <c r="AN28" s="163">
        <v>0</v>
      </c>
      <c r="AO28" s="195">
        <v>0</v>
      </c>
      <c r="AP28" s="160" t="e">
        <f t="shared" si="11"/>
        <v>#DIV/0!</v>
      </c>
      <c r="AQ28" s="116">
        <v>0</v>
      </c>
      <c r="AR28" s="116">
        <v>0</v>
      </c>
      <c r="AS28" s="195">
        <v>0</v>
      </c>
      <c r="AT28" s="160" t="e">
        <f t="shared" si="12"/>
        <v>#DIV/0!</v>
      </c>
      <c r="AU28" s="116">
        <v>39.5</v>
      </c>
      <c r="AV28" s="116">
        <v>0</v>
      </c>
      <c r="AW28" s="195">
        <v>0</v>
      </c>
      <c r="AX28" s="151" t="e">
        <f t="shared" si="13"/>
        <v>#DIV/0!</v>
      </c>
      <c r="AY28" s="191">
        <f>'CKR	'!C27</f>
        <v>0</v>
      </c>
      <c r="AZ28" s="116">
        <v>0</v>
      </c>
      <c r="BA28" s="166">
        <v>0</v>
      </c>
      <c r="BB28" s="160" t="e">
        <f t="shared" si="14"/>
        <v>#DIV/0!</v>
      </c>
    </row>
    <row r="29" spans="1:54" ht="15" customHeight="1" x14ac:dyDescent="0.25">
      <c r="A29" s="21" t="s">
        <v>51</v>
      </c>
      <c r="B29" s="156" t="s">
        <v>52</v>
      </c>
      <c r="C29" s="211">
        <f t="shared" si="0"/>
        <v>230.55500000000001</v>
      </c>
      <c r="D29" s="114">
        <f t="shared" si="1"/>
        <v>4000</v>
      </c>
      <c r="E29" s="239">
        <f t="shared" si="15"/>
        <v>6925</v>
      </c>
      <c r="F29" s="160">
        <f t="shared" si="16"/>
        <v>3.329314079422383</v>
      </c>
      <c r="G29" s="116">
        <v>0</v>
      </c>
      <c r="H29" s="116">
        <v>0</v>
      </c>
      <c r="I29" s="238">
        <v>0</v>
      </c>
      <c r="J29" s="160" t="e">
        <f t="shared" si="3"/>
        <v>#DIV/0!</v>
      </c>
      <c r="K29" s="116">
        <v>0</v>
      </c>
      <c r="L29" s="116"/>
      <c r="M29" s="238">
        <v>0</v>
      </c>
      <c r="N29" s="160" t="e">
        <f t="shared" si="4"/>
        <v>#DIV/0!</v>
      </c>
      <c r="O29" s="116">
        <v>0</v>
      </c>
      <c r="P29" s="116">
        <v>4000</v>
      </c>
      <c r="Q29" s="237">
        <v>6925</v>
      </c>
      <c r="R29" s="151">
        <f t="shared" si="5"/>
        <v>0</v>
      </c>
      <c r="S29" s="162">
        <v>0</v>
      </c>
      <c r="T29" s="163"/>
      <c r="U29" s="195">
        <v>0</v>
      </c>
      <c r="V29" s="160" t="e">
        <f t="shared" si="6"/>
        <v>#DIV/0!</v>
      </c>
      <c r="W29" s="250">
        <f>SUM(MAI!D29)</f>
        <v>0</v>
      </c>
      <c r="X29" s="116"/>
      <c r="Y29" s="195">
        <v>0</v>
      </c>
      <c r="Z29" s="151" t="e">
        <f t="shared" si="7"/>
        <v>#DIV/0!</v>
      </c>
      <c r="AA29" s="162">
        <v>0</v>
      </c>
      <c r="AB29" s="163"/>
      <c r="AC29" s="236">
        <v>0</v>
      </c>
      <c r="AD29" s="160" t="e">
        <f t="shared" si="8"/>
        <v>#DIV/0!</v>
      </c>
      <c r="AE29" s="250">
        <f>SUM(IOC!K32)</f>
        <v>0</v>
      </c>
      <c r="AF29" s="163"/>
      <c r="AG29" s="236">
        <v>0</v>
      </c>
      <c r="AH29" s="160" t="e">
        <f t="shared" si="17"/>
        <v>#DIV/0!</v>
      </c>
      <c r="AI29" s="250">
        <f>SUM(HIE!L32)</f>
        <v>0</v>
      </c>
      <c r="AJ29" s="163"/>
      <c r="AK29" s="236">
        <v>0</v>
      </c>
      <c r="AL29" s="160" t="e">
        <f t="shared" si="10"/>
        <v>#DIV/0!</v>
      </c>
      <c r="AM29" s="163">
        <v>0</v>
      </c>
      <c r="AN29" s="163"/>
      <c r="AO29" s="195">
        <v>0</v>
      </c>
      <c r="AP29" s="160" t="e">
        <f t="shared" si="11"/>
        <v>#DIV/0!</v>
      </c>
      <c r="AQ29" s="116">
        <v>0</v>
      </c>
      <c r="AR29" s="116"/>
      <c r="AS29" s="195">
        <v>0</v>
      </c>
      <c r="AT29" s="160" t="e">
        <f t="shared" si="12"/>
        <v>#DIV/0!</v>
      </c>
      <c r="AU29" s="116">
        <v>230.55500000000001</v>
      </c>
      <c r="AV29" s="116"/>
      <c r="AW29" s="195">
        <v>0</v>
      </c>
      <c r="AX29" s="151" t="e">
        <f t="shared" si="13"/>
        <v>#DIV/0!</v>
      </c>
      <c r="AY29" s="191">
        <f>'CKR	'!C28</f>
        <v>0</v>
      </c>
      <c r="AZ29" s="116"/>
      <c r="BA29" s="166">
        <v>0</v>
      </c>
      <c r="BB29" s="160" t="e">
        <f t="shared" si="14"/>
        <v>#DIV/0!</v>
      </c>
    </row>
    <row r="30" spans="1:54" ht="15" customHeight="1" x14ac:dyDescent="0.25">
      <c r="A30" s="21" t="s">
        <v>53</v>
      </c>
      <c r="B30" s="156" t="s">
        <v>54</v>
      </c>
      <c r="C30" s="211">
        <f t="shared" si="0"/>
        <v>798.07499999999993</v>
      </c>
      <c r="D30" s="114">
        <f t="shared" si="1"/>
        <v>19800</v>
      </c>
      <c r="E30" s="239">
        <f t="shared" si="15"/>
        <v>54018.33</v>
      </c>
      <c r="F30" s="160">
        <f t="shared" si="16"/>
        <v>1.4774151662963293</v>
      </c>
      <c r="G30" s="116">
        <v>0</v>
      </c>
      <c r="H30" s="116">
        <v>0</v>
      </c>
      <c r="I30" s="238">
        <v>6687.5</v>
      </c>
      <c r="J30" s="160">
        <f t="shared" si="3"/>
        <v>0</v>
      </c>
      <c r="K30" s="116">
        <v>0</v>
      </c>
      <c r="L30" s="116"/>
      <c r="M30" s="238">
        <v>0</v>
      </c>
      <c r="N30" s="160" t="e">
        <f t="shared" si="4"/>
        <v>#DIV/0!</v>
      </c>
      <c r="O30" s="116">
        <v>0</v>
      </c>
      <c r="P30" s="116">
        <v>3000</v>
      </c>
      <c r="Q30" s="237">
        <v>1731.25</v>
      </c>
      <c r="R30" s="151">
        <f t="shared" si="5"/>
        <v>0</v>
      </c>
      <c r="S30" s="162">
        <v>0</v>
      </c>
      <c r="T30" s="163">
        <v>1000</v>
      </c>
      <c r="U30" s="195">
        <v>2343.75</v>
      </c>
      <c r="V30" s="160">
        <f t="shared" si="6"/>
        <v>0</v>
      </c>
      <c r="W30" s="250">
        <f>SUM(MAI!D30)</f>
        <v>0</v>
      </c>
      <c r="X30" s="116">
        <v>1000</v>
      </c>
      <c r="Y30" s="195">
        <v>4843.75</v>
      </c>
      <c r="Z30" s="151">
        <f t="shared" si="7"/>
        <v>0</v>
      </c>
      <c r="AA30" s="162">
        <v>0</v>
      </c>
      <c r="AB30" s="163">
        <v>4000</v>
      </c>
      <c r="AC30" s="236">
        <v>5625</v>
      </c>
      <c r="AD30" s="160">
        <f t="shared" si="8"/>
        <v>0</v>
      </c>
      <c r="AE30" s="250">
        <f>SUM(IOC!K33)</f>
        <v>0</v>
      </c>
      <c r="AF30" s="163">
        <v>1800</v>
      </c>
      <c r="AG30" s="236">
        <v>5768.79</v>
      </c>
      <c r="AH30" s="160">
        <f t="shared" si="17"/>
        <v>0</v>
      </c>
      <c r="AI30" s="250">
        <f>SUM(HIE!L33)</f>
        <v>0</v>
      </c>
      <c r="AJ30" s="163">
        <v>1000</v>
      </c>
      <c r="AK30" s="236">
        <v>5312</v>
      </c>
      <c r="AL30" s="160">
        <f t="shared" si="10"/>
        <v>0</v>
      </c>
      <c r="AM30" s="163">
        <v>0</v>
      </c>
      <c r="AN30" s="163"/>
      <c r="AO30" s="195">
        <v>0</v>
      </c>
      <c r="AP30" s="160" t="e">
        <f t="shared" si="11"/>
        <v>#DIV/0!</v>
      </c>
      <c r="AQ30" s="116">
        <v>0</v>
      </c>
      <c r="AR30" s="116"/>
      <c r="AS30" s="195">
        <v>0</v>
      </c>
      <c r="AT30" s="160" t="e">
        <f t="shared" si="12"/>
        <v>#DIV/0!</v>
      </c>
      <c r="AU30" s="116">
        <v>798.07499999999993</v>
      </c>
      <c r="AV30" s="116">
        <v>6000</v>
      </c>
      <c r="AW30" s="195">
        <v>13750</v>
      </c>
      <c r="AX30" s="151">
        <f t="shared" si="13"/>
        <v>5.8041818181818181</v>
      </c>
      <c r="AY30" s="191">
        <f>'CKR	'!C29</f>
        <v>0</v>
      </c>
      <c r="AZ30" s="116">
        <v>2000</v>
      </c>
      <c r="BA30" s="166">
        <v>2187.5</v>
      </c>
      <c r="BB30" s="160">
        <f t="shared" si="14"/>
        <v>0</v>
      </c>
    </row>
    <row r="31" spans="1:54" ht="15" customHeight="1" x14ac:dyDescent="0.25">
      <c r="A31" s="13" t="s">
        <v>55</v>
      </c>
      <c r="B31" s="156" t="s">
        <v>56</v>
      </c>
      <c r="C31" s="211">
        <f t="shared" si="0"/>
        <v>595.19468181818183</v>
      </c>
      <c r="D31" s="114">
        <f t="shared" si="1"/>
        <v>5000</v>
      </c>
      <c r="E31" s="239">
        <f t="shared" si="15"/>
        <v>53087.47</v>
      </c>
      <c r="F31" s="160">
        <f t="shared" si="16"/>
        <v>1.1211584990171537</v>
      </c>
      <c r="G31" s="116">
        <v>0</v>
      </c>
      <c r="H31" s="116">
        <v>0</v>
      </c>
      <c r="I31" s="238">
        <v>6687.5</v>
      </c>
      <c r="J31" s="160">
        <f t="shared" si="3"/>
        <v>0</v>
      </c>
      <c r="K31" s="116">
        <v>0</v>
      </c>
      <c r="L31" s="116"/>
      <c r="M31" s="238">
        <v>11712.47</v>
      </c>
      <c r="N31" s="160">
        <f t="shared" si="4"/>
        <v>0</v>
      </c>
      <c r="O31" s="116">
        <v>0</v>
      </c>
      <c r="P31" s="116"/>
      <c r="Q31" s="237">
        <v>0</v>
      </c>
      <c r="R31" s="151" t="e">
        <f t="shared" si="5"/>
        <v>#DIV/0!</v>
      </c>
      <c r="S31" s="162">
        <v>595.19468181818183</v>
      </c>
      <c r="T31" s="163">
        <v>3000</v>
      </c>
      <c r="U31" s="195">
        <v>18750</v>
      </c>
      <c r="V31" s="160">
        <f t="shared" si="6"/>
        <v>3.1743716363636363</v>
      </c>
      <c r="W31" s="250">
        <f>SUM(MAI!D31)</f>
        <v>0</v>
      </c>
      <c r="X31" s="116"/>
      <c r="Y31" s="195">
        <v>0</v>
      </c>
      <c r="Z31" s="151" t="e">
        <f t="shared" si="7"/>
        <v>#DIV/0!</v>
      </c>
      <c r="AA31" s="162">
        <v>0</v>
      </c>
      <c r="AB31" s="163"/>
      <c r="AC31" s="236">
        <v>0</v>
      </c>
      <c r="AD31" s="160" t="e">
        <f t="shared" si="8"/>
        <v>#DIV/0!</v>
      </c>
      <c r="AE31" s="250">
        <f>SUM(IOC!K34)</f>
        <v>0</v>
      </c>
      <c r="AF31" s="163"/>
      <c r="AG31" s="236">
        <v>0</v>
      </c>
      <c r="AH31" s="160" t="e">
        <f t="shared" si="17"/>
        <v>#DIV/0!</v>
      </c>
      <c r="AI31" s="250">
        <f>SUM(HIE!L34)</f>
        <v>0</v>
      </c>
      <c r="AJ31" s="163">
        <v>2000</v>
      </c>
      <c r="AK31" s="236">
        <v>15937.5</v>
      </c>
      <c r="AL31" s="160">
        <f t="shared" si="10"/>
        <v>0</v>
      </c>
      <c r="AM31" s="163">
        <v>0</v>
      </c>
      <c r="AN31" s="163"/>
      <c r="AO31" s="195">
        <v>0</v>
      </c>
      <c r="AP31" s="160" t="e">
        <f t="shared" si="11"/>
        <v>#DIV/0!</v>
      </c>
      <c r="AQ31" s="116">
        <v>0</v>
      </c>
      <c r="AR31" s="116"/>
      <c r="AS31" s="195">
        <v>0</v>
      </c>
      <c r="AT31" s="160" t="e">
        <f t="shared" si="12"/>
        <v>#DIV/0!</v>
      </c>
      <c r="AU31" s="116">
        <v>0</v>
      </c>
      <c r="AV31" s="116"/>
      <c r="AW31" s="195">
        <v>0</v>
      </c>
      <c r="AX31" s="151" t="e">
        <f t="shared" si="13"/>
        <v>#DIV/0!</v>
      </c>
      <c r="AY31" s="191">
        <f>'CKR	'!C30</f>
        <v>0</v>
      </c>
      <c r="AZ31" s="116"/>
      <c r="BA31" s="166">
        <v>0</v>
      </c>
      <c r="BB31" s="160" t="e">
        <f t="shared" si="14"/>
        <v>#DIV/0!</v>
      </c>
    </row>
    <row r="32" spans="1:54" ht="15" customHeight="1" x14ac:dyDescent="0.25">
      <c r="A32" s="13" t="s">
        <v>57</v>
      </c>
      <c r="B32" s="156" t="s">
        <v>58</v>
      </c>
      <c r="C32" s="211">
        <f t="shared" si="0"/>
        <v>5748.0500000000011</v>
      </c>
      <c r="D32" s="114">
        <f t="shared" si="1"/>
        <v>26314.29</v>
      </c>
      <c r="E32" s="239">
        <f t="shared" si="15"/>
        <v>94600.07</v>
      </c>
      <c r="F32" s="160">
        <f t="shared" si="16"/>
        <v>6.076158294597457</v>
      </c>
      <c r="G32" s="116">
        <v>5748.0500000000011</v>
      </c>
      <c r="H32" s="116">
        <v>0</v>
      </c>
      <c r="I32" s="238">
        <v>33437.5</v>
      </c>
      <c r="J32" s="160">
        <f t="shared" si="3"/>
        <v>17.190429906542057</v>
      </c>
      <c r="K32" s="116">
        <v>0</v>
      </c>
      <c r="L32" s="116"/>
      <c r="M32" s="238">
        <v>5856.24</v>
      </c>
      <c r="N32" s="160">
        <f t="shared" si="4"/>
        <v>0</v>
      </c>
      <c r="O32" s="116">
        <v>0</v>
      </c>
      <c r="P32" s="116">
        <v>4000</v>
      </c>
      <c r="Q32" s="237">
        <v>1731.25</v>
      </c>
      <c r="R32" s="151">
        <f t="shared" si="5"/>
        <v>0</v>
      </c>
      <c r="S32" s="162">
        <v>0</v>
      </c>
      <c r="T32" s="163">
        <v>600</v>
      </c>
      <c r="U32" s="195">
        <v>2343.75</v>
      </c>
      <c r="V32" s="160">
        <f t="shared" si="6"/>
        <v>0</v>
      </c>
      <c r="W32" s="250">
        <f>SUM(MAI!D32)</f>
        <v>0</v>
      </c>
      <c r="X32" s="116">
        <v>1000</v>
      </c>
      <c r="Y32" s="195">
        <v>4843.75</v>
      </c>
      <c r="Z32" s="151">
        <f t="shared" si="7"/>
        <v>0</v>
      </c>
      <c r="AA32" s="162">
        <v>0</v>
      </c>
      <c r="AB32" s="163">
        <v>5714.29</v>
      </c>
      <c r="AC32" s="236">
        <v>5625</v>
      </c>
      <c r="AD32" s="160">
        <f t="shared" si="8"/>
        <v>0</v>
      </c>
      <c r="AE32" s="250">
        <f>SUM(IOC!K35)</f>
        <v>0</v>
      </c>
      <c r="AF32" s="163">
        <v>800</v>
      </c>
      <c r="AG32" s="236">
        <v>5768.79</v>
      </c>
      <c r="AH32" s="160">
        <f t="shared" si="17"/>
        <v>0</v>
      </c>
      <c r="AI32" s="250">
        <f>SUM(HIE!L35)</f>
        <v>0</v>
      </c>
      <c r="AJ32" s="163">
        <v>1000</v>
      </c>
      <c r="AK32" s="236">
        <v>5312.5</v>
      </c>
      <c r="AL32" s="160">
        <f t="shared" si="10"/>
        <v>0</v>
      </c>
      <c r="AM32" s="163">
        <v>0</v>
      </c>
      <c r="AN32" s="163">
        <v>2000</v>
      </c>
      <c r="AO32" s="195">
        <v>6187.5</v>
      </c>
      <c r="AP32" s="160">
        <f t="shared" si="11"/>
        <v>0</v>
      </c>
      <c r="AQ32" s="116">
        <v>0</v>
      </c>
      <c r="AR32" s="116">
        <v>1000</v>
      </c>
      <c r="AS32" s="195">
        <v>1787.5</v>
      </c>
      <c r="AT32" s="160">
        <f t="shared" si="12"/>
        <v>0</v>
      </c>
      <c r="AU32" s="116">
        <v>0</v>
      </c>
      <c r="AV32" s="116">
        <v>7600</v>
      </c>
      <c r="AW32" s="195">
        <v>13750</v>
      </c>
      <c r="AX32" s="151">
        <f t="shared" si="13"/>
        <v>0</v>
      </c>
      <c r="AY32" s="191">
        <f>'CKR	'!C31</f>
        <v>0</v>
      </c>
      <c r="AZ32" s="116">
        <v>2600</v>
      </c>
      <c r="BA32" s="166">
        <v>2187.5</v>
      </c>
      <c r="BB32" s="160">
        <f t="shared" si="14"/>
        <v>0</v>
      </c>
    </row>
    <row r="33" spans="1:54" ht="15" customHeight="1" x14ac:dyDescent="0.25">
      <c r="A33" s="9" t="s">
        <v>59</v>
      </c>
      <c r="B33" s="155" t="s">
        <v>60</v>
      </c>
      <c r="C33" s="148">
        <f t="shared" si="0"/>
        <v>42546.324297708605</v>
      </c>
      <c r="D33" s="112">
        <f t="shared" si="1"/>
        <v>0</v>
      </c>
      <c r="E33" s="167">
        <f t="shared" si="15"/>
        <v>148095.22999999998</v>
      </c>
      <c r="F33" s="159">
        <f t="shared" si="16"/>
        <v>28.729030838946404</v>
      </c>
      <c r="G33" s="117">
        <v>4189.7312500000007</v>
      </c>
      <c r="H33" s="117">
        <f>SUM(H34:H36)</f>
        <v>0</v>
      </c>
      <c r="I33" s="126">
        <f>SUM(I34:I36)</f>
        <v>10331.25</v>
      </c>
      <c r="J33" s="159">
        <f t="shared" si="3"/>
        <v>40.553962492438004</v>
      </c>
      <c r="K33" s="117">
        <v>33402.479793390412</v>
      </c>
      <c r="L33" s="117">
        <f>SUM(L34:L36)</f>
        <v>0</v>
      </c>
      <c r="M33" s="126">
        <f>SUM(M34:M36)</f>
        <v>70274.73</v>
      </c>
      <c r="N33" s="159">
        <f t="shared" si="4"/>
        <v>47.531281576450617</v>
      </c>
      <c r="O33" s="117">
        <v>87.15</v>
      </c>
      <c r="P33" s="117">
        <f>SUM(P34:P36)</f>
        <v>0</v>
      </c>
      <c r="Q33" s="126">
        <f>SUM(Q34:Q36)</f>
        <v>2596.86</v>
      </c>
      <c r="R33" s="150">
        <f t="shared" si="5"/>
        <v>3.3559760633996443</v>
      </c>
      <c r="S33" s="164">
        <v>700.09010681818199</v>
      </c>
      <c r="T33" s="165">
        <f>SUM(T34:T36)</f>
        <v>0</v>
      </c>
      <c r="U33" s="196">
        <f>SUM(U34:U36)</f>
        <v>3515.6400000000003</v>
      </c>
      <c r="V33" s="159">
        <f t="shared" si="6"/>
        <v>19.913589184847766</v>
      </c>
      <c r="W33" s="199">
        <f>SUM(MAI!D33)</f>
        <v>0</v>
      </c>
      <c r="X33" s="117">
        <f>SUM(X34:X36)</f>
        <v>0</v>
      </c>
      <c r="Y33" s="196">
        <f>SUM(Y34:Y36)</f>
        <v>7265.64</v>
      </c>
      <c r="Z33" s="150">
        <f t="shared" si="7"/>
        <v>0</v>
      </c>
      <c r="AA33" s="164">
        <v>0</v>
      </c>
      <c r="AB33" s="165">
        <f>SUM(AB34:AB36)</f>
        <v>0</v>
      </c>
      <c r="AC33" s="167">
        <f>SUM(AC34:AC36)</f>
        <v>8436</v>
      </c>
      <c r="AD33" s="159">
        <f t="shared" si="8"/>
        <v>0</v>
      </c>
      <c r="AE33" s="199">
        <f>SUM(IOC!K36)</f>
        <v>359.5625</v>
      </c>
      <c r="AF33" s="165">
        <f>SUM(AF34:AF36)</f>
        <v>0</v>
      </c>
      <c r="AG33" s="167">
        <f>SUM(AG34:AG36)</f>
        <v>8653.18</v>
      </c>
      <c r="AH33" s="159">
        <f t="shared" si="17"/>
        <v>4.1552643074569113</v>
      </c>
      <c r="AI33" s="199">
        <f>SUM(HIE!L36)</f>
        <v>0</v>
      </c>
      <c r="AJ33" s="165">
        <f>SUM(AJ34:AJ36)</f>
        <v>0</v>
      </c>
      <c r="AK33" s="167">
        <f>SUM(AK34:AK36)</f>
        <v>7968.75</v>
      </c>
      <c r="AL33" s="159">
        <f t="shared" si="10"/>
        <v>0</v>
      </c>
      <c r="AM33" s="165">
        <v>0</v>
      </c>
      <c r="AN33" s="165">
        <f>SUM(AN34:AN36)</f>
        <v>0</v>
      </c>
      <c r="AO33" s="196">
        <f>SUM(AO34:AO36)</f>
        <v>9281.25</v>
      </c>
      <c r="AP33" s="159">
        <f t="shared" si="11"/>
        <v>0</v>
      </c>
      <c r="AQ33" s="117">
        <v>1742.0700000000002</v>
      </c>
      <c r="AR33" s="117">
        <f>SUM(AR34:AR36)</f>
        <v>0</v>
      </c>
      <c r="AS33" s="196">
        <f>SUM(AS34:AS36)</f>
        <v>2681.25</v>
      </c>
      <c r="AT33" s="159">
        <f t="shared" si="12"/>
        <v>64.972307692307695</v>
      </c>
      <c r="AU33" s="117">
        <v>1627</v>
      </c>
      <c r="AV33" s="117">
        <f>SUM(AV34:AV36)</f>
        <v>0</v>
      </c>
      <c r="AW33" s="196">
        <f>SUM(AW34:AW36)</f>
        <v>5156.25</v>
      </c>
      <c r="AX33" s="150">
        <f t="shared" si="13"/>
        <v>31.553939393939395</v>
      </c>
      <c r="AY33" s="154">
        <f>'CKR	'!C32</f>
        <v>438.24064750000002</v>
      </c>
      <c r="AZ33" s="117">
        <f>SUM(AZ34:AZ36)</f>
        <v>0</v>
      </c>
      <c r="BA33" s="167">
        <f>SUM(BA34:BA36)</f>
        <v>3281.25</v>
      </c>
      <c r="BB33" s="159">
        <f t="shared" si="14"/>
        <v>13.355905447619048</v>
      </c>
    </row>
    <row r="34" spans="1:54" ht="15" customHeight="1" x14ac:dyDescent="0.25">
      <c r="A34" s="13" t="s">
        <v>61</v>
      </c>
      <c r="B34" s="156" t="s">
        <v>62</v>
      </c>
      <c r="C34" s="211">
        <f t="shared" si="0"/>
        <v>40961.187400208597</v>
      </c>
      <c r="D34" s="114">
        <f t="shared" si="1"/>
        <v>0</v>
      </c>
      <c r="E34" s="239">
        <f t="shared" si="15"/>
        <v>55221.349999999991</v>
      </c>
      <c r="F34" s="160">
        <f t="shared" si="16"/>
        <v>74.176360049525414</v>
      </c>
      <c r="G34" s="116">
        <v>2874.0250000000005</v>
      </c>
      <c r="H34" s="116"/>
      <c r="I34" s="238">
        <v>3443.75</v>
      </c>
      <c r="J34" s="160">
        <f t="shared" si="3"/>
        <v>83.456261343012713</v>
      </c>
      <c r="K34" s="116">
        <v>33402.479793390412</v>
      </c>
      <c r="L34" s="116"/>
      <c r="M34" s="238">
        <v>29281.19</v>
      </c>
      <c r="N34" s="160">
        <f t="shared" si="4"/>
        <v>114.07487125144303</v>
      </c>
      <c r="O34" s="116">
        <v>69.72</v>
      </c>
      <c r="P34" s="116"/>
      <c r="Q34" s="237">
        <v>865.62</v>
      </c>
      <c r="R34" s="151">
        <f t="shared" si="5"/>
        <v>8.0543425521591452</v>
      </c>
      <c r="S34" s="162">
        <v>700.09010681818199</v>
      </c>
      <c r="T34" s="163"/>
      <c r="U34" s="195">
        <v>1171.8800000000001</v>
      </c>
      <c r="V34" s="160">
        <f t="shared" si="6"/>
        <v>59.740767554543289</v>
      </c>
      <c r="W34" s="250">
        <f>SUM(MAI!D34)</f>
        <v>0</v>
      </c>
      <c r="X34" s="116"/>
      <c r="Y34" s="195">
        <v>2421.88</v>
      </c>
      <c r="Z34" s="151">
        <f t="shared" si="7"/>
        <v>0</v>
      </c>
      <c r="AA34" s="162">
        <v>0</v>
      </c>
      <c r="AB34" s="163"/>
      <c r="AC34" s="236">
        <v>2812</v>
      </c>
      <c r="AD34" s="160">
        <f t="shared" si="8"/>
        <v>0</v>
      </c>
      <c r="AE34" s="250">
        <f>SUM(IOC!K37)</f>
        <v>359.5625</v>
      </c>
      <c r="AF34" s="163"/>
      <c r="AG34" s="236">
        <v>2884.39</v>
      </c>
      <c r="AH34" s="160">
        <f t="shared" si="17"/>
        <v>12.465807328412595</v>
      </c>
      <c r="AI34" s="250">
        <f>SUM(HIE!L37)</f>
        <v>0</v>
      </c>
      <c r="AJ34" s="163"/>
      <c r="AK34" s="236">
        <v>2656.25</v>
      </c>
      <c r="AL34" s="160">
        <f t="shared" si="10"/>
        <v>0</v>
      </c>
      <c r="AM34" s="163">
        <v>0</v>
      </c>
      <c r="AN34" s="163"/>
      <c r="AO34" s="195">
        <v>3093.75</v>
      </c>
      <c r="AP34" s="160">
        <f t="shared" si="11"/>
        <v>0</v>
      </c>
      <c r="AQ34" s="116">
        <v>1742.0700000000002</v>
      </c>
      <c r="AR34" s="116"/>
      <c r="AS34" s="195">
        <v>893.75</v>
      </c>
      <c r="AT34" s="160">
        <f t="shared" si="12"/>
        <v>194.9169230769231</v>
      </c>
      <c r="AU34" s="116">
        <v>1375</v>
      </c>
      <c r="AV34" s="116"/>
      <c r="AW34" s="195">
        <v>1718.75</v>
      </c>
      <c r="AX34" s="151">
        <f t="shared" si="13"/>
        <v>80</v>
      </c>
      <c r="AY34" s="191">
        <f>'CKR	'!C33</f>
        <v>438.24</v>
      </c>
      <c r="AZ34" s="116"/>
      <c r="BA34" s="166">
        <v>1093.75</v>
      </c>
      <c r="BB34" s="160">
        <f t="shared" si="14"/>
        <v>40.067657142857144</v>
      </c>
    </row>
    <row r="35" spans="1:54" ht="15" customHeight="1" x14ac:dyDescent="0.25">
      <c r="A35" s="13" t="s">
        <v>63</v>
      </c>
      <c r="B35" s="156" t="s">
        <v>64</v>
      </c>
      <c r="C35" s="211">
        <f t="shared" si="0"/>
        <v>771.5</v>
      </c>
      <c r="D35" s="114">
        <f t="shared" si="1"/>
        <v>0</v>
      </c>
      <c r="E35" s="239">
        <f t="shared" si="15"/>
        <v>55221.349999999991</v>
      </c>
      <c r="F35" s="160">
        <f t="shared" si="16"/>
        <v>1.3971045619131008</v>
      </c>
      <c r="G35" s="116">
        <v>746.5</v>
      </c>
      <c r="H35" s="116"/>
      <c r="I35" s="238">
        <v>3443.75</v>
      </c>
      <c r="J35" s="160">
        <f t="shared" si="3"/>
        <v>21.676950998185117</v>
      </c>
      <c r="K35" s="116">
        <v>0</v>
      </c>
      <c r="L35" s="116"/>
      <c r="M35" s="238">
        <v>29281.19</v>
      </c>
      <c r="N35" s="160">
        <f t="shared" si="4"/>
        <v>0</v>
      </c>
      <c r="O35" s="116">
        <v>0</v>
      </c>
      <c r="P35" s="116"/>
      <c r="Q35" s="237">
        <v>865.62</v>
      </c>
      <c r="R35" s="151">
        <f t="shared" si="5"/>
        <v>0</v>
      </c>
      <c r="S35" s="162">
        <v>0</v>
      </c>
      <c r="T35" s="163"/>
      <c r="U35" s="195">
        <v>1171.8800000000001</v>
      </c>
      <c r="V35" s="160">
        <f t="shared" si="6"/>
        <v>0</v>
      </c>
      <c r="W35" s="250">
        <f>SUM(MAI!D35)</f>
        <v>0</v>
      </c>
      <c r="X35" s="116"/>
      <c r="Y35" s="195">
        <v>2421.88</v>
      </c>
      <c r="Z35" s="151">
        <f t="shared" si="7"/>
        <v>0</v>
      </c>
      <c r="AA35" s="162">
        <v>0</v>
      </c>
      <c r="AB35" s="163"/>
      <c r="AC35" s="236">
        <v>2812</v>
      </c>
      <c r="AD35" s="160">
        <f t="shared" si="8"/>
        <v>0</v>
      </c>
      <c r="AE35" s="250">
        <f>SUM(IOC!K38)</f>
        <v>0</v>
      </c>
      <c r="AF35" s="163"/>
      <c r="AG35" s="236">
        <v>2884.39</v>
      </c>
      <c r="AH35" s="160">
        <f t="shared" si="17"/>
        <v>0</v>
      </c>
      <c r="AI35" s="250">
        <f>SUM(HIE!L38)</f>
        <v>0</v>
      </c>
      <c r="AJ35" s="163"/>
      <c r="AK35" s="236">
        <v>2656.25</v>
      </c>
      <c r="AL35" s="160">
        <f t="shared" si="10"/>
        <v>0</v>
      </c>
      <c r="AM35" s="163">
        <v>0</v>
      </c>
      <c r="AN35" s="163"/>
      <c r="AO35" s="195">
        <v>3093.75</v>
      </c>
      <c r="AP35" s="160">
        <f t="shared" si="11"/>
        <v>0</v>
      </c>
      <c r="AQ35" s="116">
        <v>0</v>
      </c>
      <c r="AR35" s="116"/>
      <c r="AS35" s="195">
        <v>893.75</v>
      </c>
      <c r="AT35" s="160">
        <f t="shared" si="12"/>
        <v>0</v>
      </c>
      <c r="AU35" s="116">
        <v>25</v>
      </c>
      <c r="AV35" s="116"/>
      <c r="AW35" s="195">
        <v>1718.75</v>
      </c>
      <c r="AX35" s="151">
        <f t="shared" si="13"/>
        <v>1.4545454545454546</v>
      </c>
      <c r="AY35" s="191">
        <f>'CKR	'!C34</f>
        <v>0</v>
      </c>
      <c r="AZ35" s="116"/>
      <c r="BA35" s="166">
        <v>1093.75</v>
      </c>
      <c r="BB35" s="160">
        <f t="shared" si="14"/>
        <v>0</v>
      </c>
    </row>
    <row r="36" spans="1:54" ht="15" customHeight="1" x14ac:dyDescent="0.25">
      <c r="A36" s="13" t="s">
        <v>65</v>
      </c>
      <c r="B36" s="156" t="s">
        <v>66</v>
      </c>
      <c r="C36" s="211">
        <f t="shared" si="0"/>
        <v>796.20624999999995</v>
      </c>
      <c r="D36" s="114">
        <f t="shared" si="1"/>
        <v>0</v>
      </c>
      <c r="E36" s="239">
        <f t="shared" si="15"/>
        <v>37652.530000000006</v>
      </c>
      <c r="F36" s="160">
        <f t="shared" si="16"/>
        <v>2.1146155384512006</v>
      </c>
      <c r="G36" s="116">
        <v>569.20624999999995</v>
      </c>
      <c r="H36" s="116"/>
      <c r="I36" s="238">
        <v>3443.75</v>
      </c>
      <c r="J36" s="160">
        <f t="shared" si="3"/>
        <v>16.528675136116149</v>
      </c>
      <c r="K36" s="116">
        <v>0</v>
      </c>
      <c r="L36" s="116"/>
      <c r="M36" s="238">
        <v>11712.35</v>
      </c>
      <c r="N36" s="160">
        <f t="shared" si="4"/>
        <v>0</v>
      </c>
      <c r="O36" s="116">
        <v>0</v>
      </c>
      <c r="P36" s="116"/>
      <c r="Q36" s="237">
        <v>865.62</v>
      </c>
      <c r="R36" s="151">
        <f t="shared" si="5"/>
        <v>0</v>
      </c>
      <c r="S36" s="162">
        <v>0</v>
      </c>
      <c r="T36" s="163"/>
      <c r="U36" s="195">
        <v>1171.8800000000001</v>
      </c>
      <c r="V36" s="160">
        <f t="shared" si="6"/>
        <v>0</v>
      </c>
      <c r="W36" s="250">
        <f>SUM(MAI!D36)</f>
        <v>0</v>
      </c>
      <c r="X36" s="116"/>
      <c r="Y36" s="195">
        <v>2421.88</v>
      </c>
      <c r="Z36" s="151">
        <f t="shared" si="7"/>
        <v>0</v>
      </c>
      <c r="AA36" s="162">
        <v>0</v>
      </c>
      <c r="AB36" s="163"/>
      <c r="AC36" s="236">
        <v>2812</v>
      </c>
      <c r="AD36" s="160">
        <f t="shared" si="8"/>
        <v>0</v>
      </c>
      <c r="AE36" s="250">
        <f>SUM(IOC!K39)</f>
        <v>0</v>
      </c>
      <c r="AF36" s="163"/>
      <c r="AG36" s="236">
        <v>2884.4</v>
      </c>
      <c r="AH36" s="160">
        <f t="shared" si="17"/>
        <v>0</v>
      </c>
      <c r="AI36" s="250">
        <f>SUM(HIE!L39)</f>
        <v>0</v>
      </c>
      <c r="AJ36" s="163"/>
      <c r="AK36" s="236">
        <v>2656.25</v>
      </c>
      <c r="AL36" s="160">
        <f t="shared" si="10"/>
        <v>0</v>
      </c>
      <c r="AM36" s="163">
        <v>0</v>
      </c>
      <c r="AN36" s="163"/>
      <c r="AO36" s="195">
        <v>3093.75</v>
      </c>
      <c r="AP36" s="160">
        <f t="shared" si="11"/>
        <v>0</v>
      </c>
      <c r="AQ36" s="116">
        <v>0</v>
      </c>
      <c r="AR36" s="116"/>
      <c r="AS36" s="195">
        <v>893.75</v>
      </c>
      <c r="AT36" s="160">
        <f t="shared" si="12"/>
        <v>0</v>
      </c>
      <c r="AU36" s="116">
        <v>227</v>
      </c>
      <c r="AV36" s="116"/>
      <c r="AW36" s="195">
        <v>1718.75</v>
      </c>
      <c r="AX36" s="151">
        <f t="shared" si="13"/>
        <v>13.207272727272727</v>
      </c>
      <c r="AY36" s="191">
        <f>'CKR	'!C35</f>
        <v>0</v>
      </c>
      <c r="AZ36" s="116"/>
      <c r="BA36" s="166">
        <v>1093.75</v>
      </c>
      <c r="BB36" s="160">
        <f t="shared" si="14"/>
        <v>0</v>
      </c>
    </row>
    <row r="37" spans="1:54" ht="15" customHeight="1" x14ac:dyDescent="0.25">
      <c r="A37" s="9" t="s">
        <v>67</v>
      </c>
      <c r="B37" s="155" t="s">
        <v>68</v>
      </c>
      <c r="C37" s="148">
        <f t="shared" si="0"/>
        <v>56508.949745897713</v>
      </c>
      <c r="D37" s="112">
        <f t="shared" si="1"/>
        <v>0</v>
      </c>
      <c r="E37" s="167">
        <f t="shared" si="15"/>
        <v>231218.95</v>
      </c>
      <c r="F37" s="159">
        <f t="shared" si="16"/>
        <v>24.43958410238335</v>
      </c>
      <c r="G37" s="117">
        <v>8425.1856250000001</v>
      </c>
      <c r="H37" s="117">
        <f>SUM(H38:H40)</f>
        <v>0</v>
      </c>
      <c r="I37" s="126">
        <f>SUM(I38:I40)</f>
        <v>26750</v>
      </c>
      <c r="J37" s="159">
        <f t="shared" si="3"/>
        <v>31.496021028037386</v>
      </c>
      <c r="K37" s="117">
        <v>5847.4365105935249</v>
      </c>
      <c r="L37" s="117">
        <f>SUM(L38:L40)</f>
        <v>0</v>
      </c>
      <c r="M37" s="126">
        <f>SUM(M38:M40)</f>
        <v>11712.44</v>
      </c>
      <c r="N37" s="159">
        <f t="shared" si="4"/>
        <v>49.925007176929192</v>
      </c>
      <c r="O37" s="117">
        <v>25103.862499999999</v>
      </c>
      <c r="P37" s="117">
        <f>SUM(P38:P40)</f>
        <v>0</v>
      </c>
      <c r="Q37" s="126">
        <f>SUM(Q38:Q40)</f>
        <v>25968.75</v>
      </c>
      <c r="R37" s="150">
        <f t="shared" si="5"/>
        <v>96.669506618531884</v>
      </c>
      <c r="S37" s="164">
        <v>3337.7578636363628</v>
      </c>
      <c r="T37" s="165">
        <f>SUM(T38:T40)</f>
        <v>0</v>
      </c>
      <c r="U37" s="196">
        <f>SUM(U38:U40)</f>
        <v>9375</v>
      </c>
      <c r="V37" s="159">
        <f t="shared" si="6"/>
        <v>35.602750545454533</v>
      </c>
      <c r="W37" s="199">
        <f>SUM(MAI!D37)</f>
        <v>4596</v>
      </c>
      <c r="X37" s="117">
        <f>SUM(X38:X40)</f>
        <v>0</v>
      </c>
      <c r="Y37" s="196">
        <f>SUM(Y38:Y40)</f>
        <v>29062.5</v>
      </c>
      <c r="Z37" s="150">
        <f t="shared" si="7"/>
        <v>15.814193548387097</v>
      </c>
      <c r="AA37" s="164">
        <v>510.546875</v>
      </c>
      <c r="AB37" s="165">
        <f>SUM(AB38:AB40)</f>
        <v>0</v>
      </c>
      <c r="AC37" s="167">
        <f>SUM(AC38:AC40)</f>
        <v>22500</v>
      </c>
      <c r="AD37" s="159">
        <f t="shared" si="8"/>
        <v>2.2690972222222223</v>
      </c>
      <c r="AE37" s="199">
        <f>SUM(IOC!K40)</f>
        <v>4821.40625</v>
      </c>
      <c r="AF37" s="165">
        <f>SUM(AF38:AF40)</f>
        <v>0</v>
      </c>
      <c r="AG37" s="167">
        <f>SUM(AG38:AG40)</f>
        <v>23075.13</v>
      </c>
      <c r="AH37" s="159">
        <f t="shared" si="17"/>
        <v>20.894383910296497</v>
      </c>
      <c r="AI37" s="199">
        <f>SUM(HIE!L40)</f>
        <v>2261.1825389178325</v>
      </c>
      <c r="AJ37" s="165">
        <f>SUM(AJ38:AJ40)</f>
        <v>0</v>
      </c>
      <c r="AK37" s="167">
        <f>SUM(AK38:AK40)</f>
        <v>21250</v>
      </c>
      <c r="AL37" s="159">
        <f t="shared" si="10"/>
        <v>10.640859006672152</v>
      </c>
      <c r="AM37" s="165">
        <v>0</v>
      </c>
      <c r="AN37" s="165">
        <f>SUM(AN38:AN40)</f>
        <v>0</v>
      </c>
      <c r="AO37" s="196">
        <f>SUM(AO38:AO40)</f>
        <v>12375</v>
      </c>
      <c r="AP37" s="159">
        <f t="shared" si="11"/>
        <v>0</v>
      </c>
      <c r="AQ37" s="117">
        <v>590.42999999999995</v>
      </c>
      <c r="AR37" s="117">
        <f>SUM(AR38:AR40)</f>
        <v>0</v>
      </c>
      <c r="AS37" s="196">
        <f>SUM(AS38:AS40)</f>
        <v>3575</v>
      </c>
      <c r="AT37" s="159">
        <f t="shared" si="12"/>
        <v>16.515524475524472</v>
      </c>
      <c r="AU37" s="117">
        <v>620.72499999999991</v>
      </c>
      <c r="AV37" s="117">
        <f>SUM(AV38:AV40)</f>
        <v>0</v>
      </c>
      <c r="AW37" s="196">
        <f>SUM(AW38:AW40)</f>
        <v>13750</v>
      </c>
      <c r="AX37" s="150">
        <f t="shared" si="13"/>
        <v>4.5143636363636359</v>
      </c>
      <c r="AY37" s="154">
        <f>'CKR	'!C36</f>
        <v>394.41658275000003</v>
      </c>
      <c r="AZ37" s="117">
        <f>SUM(AZ38:AZ40)</f>
        <v>0</v>
      </c>
      <c r="BA37" s="167">
        <f>SUM(BA38:BA40)</f>
        <v>8750</v>
      </c>
      <c r="BB37" s="159">
        <f t="shared" si="14"/>
        <v>4.5076180885714292</v>
      </c>
    </row>
    <row r="38" spans="1:54" ht="15" customHeight="1" x14ac:dyDescent="0.25">
      <c r="A38" s="13" t="s">
        <v>69</v>
      </c>
      <c r="B38" s="156" t="s">
        <v>70</v>
      </c>
      <c r="C38" s="211">
        <f t="shared" si="0"/>
        <v>39463.092502314139</v>
      </c>
      <c r="D38" s="114">
        <f t="shared" si="1"/>
        <v>0</v>
      </c>
      <c r="E38" s="239">
        <f t="shared" si="15"/>
        <v>55825.06</v>
      </c>
      <c r="F38" s="160">
        <f t="shared" si="16"/>
        <v>70.690640551598406</v>
      </c>
      <c r="G38" s="116">
        <v>6531.875</v>
      </c>
      <c r="H38" s="116"/>
      <c r="I38" s="238">
        <v>6687.5</v>
      </c>
      <c r="J38" s="160">
        <f t="shared" si="3"/>
        <v>97.672897196261687</v>
      </c>
      <c r="K38" s="116">
        <v>4886.2140704959593</v>
      </c>
      <c r="L38" s="116"/>
      <c r="M38" s="238">
        <v>0</v>
      </c>
      <c r="N38" s="160" t="e">
        <f t="shared" si="4"/>
        <v>#DIV/0!</v>
      </c>
      <c r="O38" s="116">
        <v>16847.5</v>
      </c>
      <c r="P38" s="116"/>
      <c r="Q38" s="237">
        <v>13850</v>
      </c>
      <c r="R38" s="151">
        <f t="shared" si="5"/>
        <v>121.64259927797835</v>
      </c>
      <c r="S38" s="162">
        <v>459.24468181818185</v>
      </c>
      <c r="T38" s="163"/>
      <c r="U38" s="195">
        <v>2343.75</v>
      </c>
      <c r="V38" s="160">
        <f t="shared" si="6"/>
        <v>19.59443975757576</v>
      </c>
      <c r="W38" s="250">
        <f>SUM(MAI!D38)</f>
        <v>4596</v>
      </c>
      <c r="X38" s="116"/>
      <c r="Y38" s="195">
        <v>4843.75</v>
      </c>
      <c r="Z38" s="151">
        <f t="shared" si="7"/>
        <v>94.885161290322586</v>
      </c>
      <c r="AA38" s="162">
        <v>408.4375</v>
      </c>
      <c r="AB38" s="163"/>
      <c r="AC38" s="236">
        <v>5625</v>
      </c>
      <c r="AD38" s="160">
        <f t="shared" si="8"/>
        <v>7.2611111111111111</v>
      </c>
      <c r="AE38" s="250">
        <f>SUM(IOC!K41)</f>
        <v>4821.40625</v>
      </c>
      <c r="AF38" s="163"/>
      <c r="AG38" s="236">
        <v>5768.78</v>
      </c>
      <c r="AH38" s="160">
        <f t="shared" si="17"/>
        <v>83.577571860948083</v>
      </c>
      <c r="AI38" s="250">
        <f>SUM(HIE!L41)</f>
        <v>0</v>
      </c>
      <c r="AJ38" s="163"/>
      <c r="AK38" s="236">
        <v>5312.5</v>
      </c>
      <c r="AL38" s="160">
        <f t="shared" si="10"/>
        <v>0</v>
      </c>
      <c r="AM38" s="163">
        <v>0</v>
      </c>
      <c r="AN38" s="163"/>
      <c r="AO38" s="195">
        <f>SUM(BAL!Q33*BAL!$S$1)</f>
        <v>0</v>
      </c>
      <c r="AP38" s="160" t="e">
        <f t="shared" si="11"/>
        <v>#DIV/0!</v>
      </c>
      <c r="AQ38" s="116">
        <v>0</v>
      </c>
      <c r="AR38" s="116"/>
      <c r="AS38" s="195">
        <v>0</v>
      </c>
      <c r="AT38" s="160" t="e">
        <f t="shared" si="12"/>
        <v>#DIV/0!</v>
      </c>
      <c r="AU38" s="116">
        <v>514.31499999999994</v>
      </c>
      <c r="AV38" s="116"/>
      <c r="AW38" s="195">
        <v>3437.5</v>
      </c>
      <c r="AX38" s="151">
        <f t="shared" si="13"/>
        <v>14.961890909090908</v>
      </c>
      <c r="AY38" s="191">
        <f>'CKR	'!C37</f>
        <v>398.1</v>
      </c>
      <c r="AZ38" s="116"/>
      <c r="BA38" s="166">
        <v>2187.5</v>
      </c>
      <c r="BB38" s="160">
        <f t="shared" si="14"/>
        <v>18.198857142857143</v>
      </c>
    </row>
    <row r="39" spans="1:54" ht="15" customHeight="1" x14ac:dyDescent="0.25">
      <c r="A39" s="13" t="s">
        <v>71</v>
      </c>
      <c r="B39" s="156" t="s">
        <v>72</v>
      </c>
      <c r="C39" s="211">
        <f t="shared" si="0"/>
        <v>10860.063160833579</v>
      </c>
      <c r="D39" s="114">
        <f t="shared" si="1"/>
        <v>0</v>
      </c>
      <c r="E39" s="239">
        <f t="shared" si="15"/>
        <v>108168.84</v>
      </c>
      <c r="F39" s="160">
        <f t="shared" si="16"/>
        <v>10.039918298868304</v>
      </c>
      <c r="G39" s="116">
        <v>933.125</v>
      </c>
      <c r="H39" s="116"/>
      <c r="I39" s="238">
        <v>13375</v>
      </c>
      <c r="J39" s="160">
        <f t="shared" si="3"/>
        <v>6.9766355140186915</v>
      </c>
      <c r="K39" s="116">
        <v>961.22244009756571</v>
      </c>
      <c r="L39" s="116"/>
      <c r="M39" s="238">
        <v>5856.22</v>
      </c>
      <c r="N39" s="160">
        <f t="shared" si="4"/>
        <v>16.413700989675348</v>
      </c>
      <c r="O39" s="116">
        <v>3235.59</v>
      </c>
      <c r="P39" s="116"/>
      <c r="Q39" s="237">
        <v>10387.5</v>
      </c>
      <c r="R39" s="151">
        <f t="shared" si="5"/>
        <v>31.148880866425994</v>
      </c>
      <c r="S39" s="162">
        <v>2878.5131818181808</v>
      </c>
      <c r="T39" s="163"/>
      <c r="U39" s="195">
        <v>4687.5</v>
      </c>
      <c r="V39" s="160">
        <f t="shared" si="6"/>
        <v>61.408281212121189</v>
      </c>
      <c r="W39" s="250">
        <f>SUM(MAI!D39)</f>
        <v>0</v>
      </c>
      <c r="X39" s="116"/>
      <c r="Y39" s="195">
        <v>9687.5</v>
      </c>
      <c r="Z39" s="151">
        <f t="shared" si="7"/>
        <v>0</v>
      </c>
      <c r="AA39" s="162">
        <v>0</v>
      </c>
      <c r="AB39" s="163"/>
      <c r="AC39" s="236">
        <v>11250</v>
      </c>
      <c r="AD39" s="160">
        <f t="shared" si="8"/>
        <v>0</v>
      </c>
      <c r="AE39" s="250">
        <f>SUM(IOC!K42)</f>
        <v>0</v>
      </c>
      <c r="AF39" s="163"/>
      <c r="AG39" s="236">
        <v>11537.56</v>
      </c>
      <c r="AH39" s="160">
        <f t="shared" si="17"/>
        <v>0</v>
      </c>
      <c r="AI39" s="250">
        <f>SUM(HIE!L42)</f>
        <v>2261.1825389178325</v>
      </c>
      <c r="AJ39" s="163"/>
      <c r="AK39" s="236">
        <v>10625</v>
      </c>
      <c r="AL39" s="160">
        <f t="shared" si="10"/>
        <v>21.281718013344303</v>
      </c>
      <c r="AM39" s="163">
        <v>0</v>
      </c>
      <c r="AN39" s="163"/>
      <c r="AO39" s="195">
        <f>SUM(BAL!Q34*BAL!$S$1)</f>
        <v>6187.5</v>
      </c>
      <c r="AP39" s="160">
        <f t="shared" si="11"/>
        <v>0</v>
      </c>
      <c r="AQ39" s="116">
        <v>590.42999999999995</v>
      </c>
      <c r="AR39" s="116"/>
      <c r="AS39" s="195">
        <v>1787.5</v>
      </c>
      <c r="AT39" s="160">
        <f t="shared" si="12"/>
        <v>33.031048951048945</v>
      </c>
      <c r="AU39" s="116">
        <v>0</v>
      </c>
      <c r="AV39" s="116"/>
      <c r="AW39" s="195">
        <v>6875</v>
      </c>
      <c r="AX39" s="151">
        <f t="shared" si="13"/>
        <v>0</v>
      </c>
      <c r="AY39" s="191">
        <f>'CKR	'!C38</f>
        <v>0</v>
      </c>
      <c r="AZ39" s="116"/>
      <c r="BA39" s="166">
        <v>4375</v>
      </c>
      <c r="BB39" s="160">
        <f t="shared" si="14"/>
        <v>0</v>
      </c>
    </row>
    <row r="40" spans="1:54" ht="15" customHeight="1" x14ac:dyDescent="0.25">
      <c r="A40" s="13" t="s">
        <v>73</v>
      </c>
      <c r="B40" s="156" t="s">
        <v>74</v>
      </c>
      <c r="C40" s="211">
        <f t="shared" si="0"/>
        <v>1066.5956250000002</v>
      </c>
      <c r="D40" s="114">
        <f t="shared" si="1"/>
        <v>0</v>
      </c>
      <c r="E40" s="239">
        <f t="shared" si="15"/>
        <v>67225.05</v>
      </c>
      <c r="F40" s="160">
        <f t="shared" si="16"/>
        <v>1.5866044354001969</v>
      </c>
      <c r="G40" s="116">
        <v>960.18562500000007</v>
      </c>
      <c r="H40" s="116"/>
      <c r="I40" s="238">
        <v>6687.5</v>
      </c>
      <c r="J40" s="160">
        <f t="shared" si="3"/>
        <v>14.357915887850469</v>
      </c>
      <c r="K40" s="116">
        <v>0</v>
      </c>
      <c r="L40" s="116"/>
      <c r="M40" s="238">
        <v>5856.22</v>
      </c>
      <c r="N40" s="160">
        <f t="shared" si="4"/>
        <v>0</v>
      </c>
      <c r="O40" s="116">
        <v>0</v>
      </c>
      <c r="P40" s="116"/>
      <c r="Q40" s="237">
        <v>1731.25</v>
      </c>
      <c r="R40" s="151">
        <f t="shared" si="5"/>
        <v>0</v>
      </c>
      <c r="S40" s="162">
        <v>0</v>
      </c>
      <c r="T40" s="163"/>
      <c r="U40" s="195">
        <v>2343.75</v>
      </c>
      <c r="V40" s="160">
        <f t="shared" si="6"/>
        <v>0</v>
      </c>
      <c r="W40" s="250">
        <f>SUM(MAI!D40)</f>
        <v>0</v>
      </c>
      <c r="X40" s="116"/>
      <c r="Y40" s="195">
        <v>14531.25</v>
      </c>
      <c r="Z40" s="151">
        <f t="shared" si="7"/>
        <v>0</v>
      </c>
      <c r="AA40" s="162">
        <v>0</v>
      </c>
      <c r="AB40" s="163"/>
      <c r="AC40" s="236">
        <v>5625</v>
      </c>
      <c r="AD40" s="160">
        <f t="shared" si="8"/>
        <v>0</v>
      </c>
      <c r="AE40" s="250">
        <f>SUM(IOC!K43)</f>
        <v>0</v>
      </c>
      <c r="AF40" s="163"/>
      <c r="AG40" s="236">
        <v>5768.79</v>
      </c>
      <c r="AH40" s="160">
        <f t="shared" si="17"/>
        <v>0</v>
      </c>
      <c r="AI40" s="250">
        <f>SUM(HIE!L43)</f>
        <v>0</v>
      </c>
      <c r="AJ40" s="163"/>
      <c r="AK40" s="236">
        <v>5312.5</v>
      </c>
      <c r="AL40" s="160">
        <f t="shared" si="10"/>
        <v>0</v>
      </c>
      <c r="AM40" s="163">
        <v>0</v>
      </c>
      <c r="AN40" s="163"/>
      <c r="AO40" s="195">
        <f>SUM(BAL!Q35*BAL!$S$1)</f>
        <v>6187.5</v>
      </c>
      <c r="AP40" s="160">
        <f t="shared" si="11"/>
        <v>0</v>
      </c>
      <c r="AQ40" s="116">
        <v>0</v>
      </c>
      <c r="AR40" s="116"/>
      <c r="AS40" s="195">
        <v>1787.5</v>
      </c>
      <c r="AT40" s="160">
        <f t="shared" si="12"/>
        <v>0</v>
      </c>
      <c r="AU40" s="116">
        <v>106.41</v>
      </c>
      <c r="AV40" s="116"/>
      <c r="AW40" s="195">
        <v>3437.5</v>
      </c>
      <c r="AX40" s="151">
        <f t="shared" si="13"/>
        <v>3.0955636363636363</v>
      </c>
      <c r="AY40" s="191">
        <f>'CKR	'!C39</f>
        <v>0</v>
      </c>
      <c r="AZ40" s="116"/>
      <c r="BA40" s="166">
        <v>2187.5</v>
      </c>
      <c r="BB40" s="160">
        <f t="shared" si="14"/>
        <v>0</v>
      </c>
    </row>
    <row r="41" spans="1:54" ht="15" customHeight="1" x14ac:dyDescent="0.25">
      <c r="A41" s="9" t="s">
        <v>75</v>
      </c>
      <c r="B41" s="155" t="s">
        <v>76</v>
      </c>
      <c r="C41" s="148">
        <f t="shared" si="0"/>
        <v>116025.33132148575</v>
      </c>
      <c r="D41" s="112">
        <f t="shared" si="1"/>
        <v>0</v>
      </c>
      <c r="E41" s="167">
        <f t="shared" si="15"/>
        <v>214000</v>
      </c>
      <c r="F41" s="159">
        <f t="shared" si="16"/>
        <v>54.21744454275035</v>
      </c>
      <c r="G41" s="117">
        <v>108068.00562500002</v>
      </c>
      <c r="H41" s="117">
        <f>SUM(H42:H44)</f>
        <v>0</v>
      </c>
      <c r="I41" s="126">
        <f>SUM(I42:I44)</f>
        <v>214000</v>
      </c>
      <c r="J41" s="159">
        <f t="shared" si="3"/>
        <v>50.499068049065428</v>
      </c>
      <c r="K41" s="117">
        <v>1682.13927017074</v>
      </c>
      <c r="L41" s="117">
        <f>SUM(L42:L44)</f>
        <v>0</v>
      </c>
      <c r="M41" s="126">
        <f>SUM(M42:M44)</f>
        <v>0</v>
      </c>
      <c r="N41" s="159" t="e">
        <f t="shared" si="4"/>
        <v>#DIV/0!</v>
      </c>
      <c r="O41" s="117">
        <v>0</v>
      </c>
      <c r="P41" s="117">
        <f>SUM(P42:P44)</f>
        <v>0</v>
      </c>
      <c r="Q41" s="126">
        <f>SUM(Q42:Q44)</f>
        <v>0</v>
      </c>
      <c r="R41" s="150" t="e">
        <f t="shared" si="5"/>
        <v>#DIV/0!</v>
      </c>
      <c r="S41" s="164">
        <v>0</v>
      </c>
      <c r="T41" s="165">
        <f>SUM(T42:T44)</f>
        <v>0</v>
      </c>
      <c r="U41" s="196">
        <f>SUM(U42:U44)</f>
        <v>0</v>
      </c>
      <c r="V41" s="159" t="e">
        <f t="shared" si="6"/>
        <v>#DIV/0!</v>
      </c>
      <c r="W41" s="199">
        <f>SUM(MAI!D41)</f>
        <v>0</v>
      </c>
      <c r="X41" s="117">
        <f>SUM(X42:X44)</f>
        <v>0</v>
      </c>
      <c r="Y41" s="196">
        <f>SUM(Y42:Y44)</f>
        <v>0</v>
      </c>
      <c r="Z41" s="150" t="e">
        <f t="shared" si="7"/>
        <v>#DIV/0!</v>
      </c>
      <c r="AA41" s="164">
        <v>459.4921875</v>
      </c>
      <c r="AB41" s="165">
        <f>SUM(AB42:AB44)</f>
        <v>0</v>
      </c>
      <c r="AC41" s="167">
        <f>SUM(AC42:AC44)</f>
        <v>0</v>
      </c>
      <c r="AD41" s="159" t="e">
        <f t="shared" si="8"/>
        <v>#DIV/0!</v>
      </c>
      <c r="AE41" s="199">
        <f>SUM(IOC!K44)</f>
        <v>0</v>
      </c>
      <c r="AF41" s="165">
        <f>SUM(AF42:AF44)</f>
        <v>0</v>
      </c>
      <c r="AG41" s="167">
        <f>SUM(AG42:AG44)</f>
        <v>0</v>
      </c>
      <c r="AH41" s="159" t="e">
        <f t="shared" si="17"/>
        <v>#DIV/0!</v>
      </c>
      <c r="AI41" s="199">
        <f>SUM(HIE!L44)</f>
        <v>5531.9342388149998</v>
      </c>
      <c r="AJ41" s="165">
        <f>SUM(AJ42:AJ44)</f>
        <v>0</v>
      </c>
      <c r="AK41" s="167">
        <f>SUM(AK42:AK44)</f>
        <v>0</v>
      </c>
      <c r="AL41" s="159" t="e">
        <f t="shared" si="10"/>
        <v>#DIV/0!</v>
      </c>
      <c r="AM41" s="165">
        <v>0</v>
      </c>
      <c r="AN41" s="165">
        <f>SUM(AN42:AN44)</f>
        <v>0</v>
      </c>
      <c r="AO41" s="196">
        <f>SUM(AO42:AO44)</f>
        <v>0</v>
      </c>
      <c r="AP41" s="159" t="e">
        <f t="shared" si="11"/>
        <v>#DIV/0!</v>
      </c>
      <c r="AQ41" s="117">
        <v>0</v>
      </c>
      <c r="AR41" s="117">
        <f>SUM(AR42:AR44)</f>
        <v>0</v>
      </c>
      <c r="AS41" s="196">
        <f>SUM(AS42:AS44)</f>
        <v>0</v>
      </c>
      <c r="AT41" s="159" t="e">
        <f t="shared" si="12"/>
        <v>#DIV/0!</v>
      </c>
      <c r="AU41" s="117">
        <v>283.76</v>
      </c>
      <c r="AV41" s="117">
        <f>SUM(AV42:AV44)</f>
        <v>0</v>
      </c>
      <c r="AW41" s="196">
        <f>SUM(AW42:AW44)</f>
        <v>0</v>
      </c>
      <c r="AX41" s="150" t="e">
        <f t="shared" si="13"/>
        <v>#DIV/0!</v>
      </c>
      <c r="AY41" s="154">
        <f>'CKR	'!C40</f>
        <v>0</v>
      </c>
      <c r="AZ41" s="117">
        <f>SUM(AZ42:AZ44)</f>
        <v>0</v>
      </c>
      <c r="BA41" s="167">
        <f>SUM(BA42:BA44)</f>
        <v>0</v>
      </c>
      <c r="BB41" s="159" t="e">
        <f t="shared" si="14"/>
        <v>#DIV/0!</v>
      </c>
    </row>
    <row r="42" spans="1:54" ht="15" customHeight="1" x14ac:dyDescent="0.25">
      <c r="A42" s="13" t="s">
        <v>77</v>
      </c>
      <c r="B42" s="156" t="s">
        <v>78</v>
      </c>
      <c r="C42" s="211">
        <f t="shared" si="0"/>
        <v>42675.263923074512</v>
      </c>
      <c r="D42" s="114">
        <f t="shared" si="1"/>
        <v>0</v>
      </c>
      <c r="E42" s="239">
        <f t="shared" si="15"/>
        <v>147125</v>
      </c>
      <c r="F42" s="160">
        <f t="shared" si="16"/>
        <v>29.006126710670866</v>
      </c>
      <c r="G42" s="116">
        <v>37674.921875000007</v>
      </c>
      <c r="H42" s="116"/>
      <c r="I42" s="238">
        <v>147125</v>
      </c>
      <c r="J42" s="160">
        <f t="shared" si="3"/>
        <v>25.60742353440952</v>
      </c>
      <c r="K42" s="116">
        <v>240.30561002439143</v>
      </c>
      <c r="L42" s="116"/>
      <c r="M42" s="238">
        <v>0</v>
      </c>
      <c r="N42" s="160" t="e">
        <f t="shared" si="4"/>
        <v>#DIV/0!</v>
      </c>
      <c r="O42" s="116">
        <v>0</v>
      </c>
      <c r="P42" s="116"/>
      <c r="Q42" s="237">
        <v>0</v>
      </c>
      <c r="R42" s="151" t="e">
        <f t="shared" si="5"/>
        <v>#DIV/0!</v>
      </c>
      <c r="S42" s="162">
        <v>0</v>
      </c>
      <c r="T42" s="163"/>
      <c r="U42" s="195">
        <v>0</v>
      </c>
      <c r="V42" s="160" t="e">
        <f t="shared" si="6"/>
        <v>#DIV/0!</v>
      </c>
      <c r="W42" s="250">
        <f>SUM(MAI!D42)</f>
        <v>0</v>
      </c>
      <c r="X42" s="116"/>
      <c r="Y42" s="195">
        <v>0</v>
      </c>
      <c r="Z42" s="151" t="e">
        <f t="shared" si="7"/>
        <v>#DIV/0!</v>
      </c>
      <c r="AA42" s="162">
        <v>0</v>
      </c>
      <c r="AB42" s="163"/>
      <c r="AC42" s="236">
        <v>0</v>
      </c>
      <c r="AD42" s="160" t="e">
        <f t="shared" si="8"/>
        <v>#DIV/0!</v>
      </c>
      <c r="AE42" s="250">
        <f>SUM(IOC!K45)</f>
        <v>0</v>
      </c>
      <c r="AF42" s="163"/>
      <c r="AG42" s="236">
        <v>0</v>
      </c>
      <c r="AH42" s="160" t="e">
        <f t="shared" si="17"/>
        <v>#DIV/0!</v>
      </c>
      <c r="AI42" s="250">
        <f>SUM(HIE!L45)</f>
        <v>4760.036438050116</v>
      </c>
      <c r="AJ42" s="163"/>
      <c r="AK42" s="236">
        <v>0</v>
      </c>
      <c r="AL42" s="160" t="e">
        <f>100/AK42*AI42</f>
        <v>#DIV/0!</v>
      </c>
      <c r="AM42" s="163">
        <v>0</v>
      </c>
      <c r="AN42" s="163"/>
      <c r="AO42" s="195">
        <v>0</v>
      </c>
      <c r="AP42" s="160" t="e">
        <f t="shared" si="11"/>
        <v>#DIV/0!</v>
      </c>
      <c r="AQ42" s="116">
        <v>0</v>
      </c>
      <c r="AR42" s="116"/>
      <c r="AS42" s="195">
        <v>0</v>
      </c>
      <c r="AT42" s="160" t="e">
        <f t="shared" si="12"/>
        <v>#DIV/0!</v>
      </c>
      <c r="AU42" s="116">
        <v>0</v>
      </c>
      <c r="AV42" s="116"/>
      <c r="AW42" s="195">
        <v>0</v>
      </c>
      <c r="AX42" s="151" t="e">
        <f t="shared" si="13"/>
        <v>#DIV/0!</v>
      </c>
      <c r="AY42" s="191">
        <f>'CKR	'!C41</f>
        <v>0</v>
      </c>
      <c r="AZ42" s="116"/>
      <c r="BA42" s="166">
        <v>0</v>
      </c>
      <c r="BB42" s="160" t="e">
        <f t="shared" si="14"/>
        <v>#DIV/0!</v>
      </c>
    </row>
    <row r="43" spans="1:54" ht="15" customHeight="1" x14ac:dyDescent="0.25">
      <c r="A43" s="13" t="s">
        <v>79</v>
      </c>
      <c r="B43" s="156" t="s">
        <v>80</v>
      </c>
      <c r="C43" s="211">
        <f t="shared" si="0"/>
        <v>50402.561505838057</v>
      </c>
      <c r="D43" s="114">
        <f t="shared" si="1"/>
        <v>0</v>
      </c>
      <c r="E43" s="239">
        <f t="shared" si="15"/>
        <v>46812.5</v>
      </c>
      <c r="F43" s="160">
        <f t="shared" si="16"/>
        <v>107.66902324344578</v>
      </c>
      <c r="G43" s="116">
        <v>48909.746874999997</v>
      </c>
      <c r="H43" s="116"/>
      <c r="I43" s="238">
        <v>46812.5</v>
      </c>
      <c r="J43" s="160">
        <f t="shared" si="3"/>
        <v>104.48010013351134</v>
      </c>
      <c r="K43" s="116">
        <v>720.91683007317431</v>
      </c>
      <c r="L43" s="116"/>
      <c r="M43" s="238">
        <v>0</v>
      </c>
      <c r="N43" s="160" t="e">
        <f t="shared" si="4"/>
        <v>#DIV/0!</v>
      </c>
      <c r="O43" s="116">
        <v>0</v>
      </c>
      <c r="P43" s="116"/>
      <c r="Q43" s="237">
        <v>0</v>
      </c>
      <c r="R43" s="151" t="e">
        <f t="shared" si="5"/>
        <v>#DIV/0!</v>
      </c>
      <c r="S43" s="162">
        <v>0</v>
      </c>
      <c r="T43" s="163"/>
      <c r="U43" s="195">
        <v>0</v>
      </c>
      <c r="V43" s="160" t="e">
        <f t="shared" si="6"/>
        <v>#DIV/0!</v>
      </c>
      <c r="W43" s="250">
        <f>SUM(MAI!D43)</f>
        <v>0</v>
      </c>
      <c r="X43" s="116"/>
      <c r="Y43" s="195">
        <v>0</v>
      </c>
      <c r="Z43" s="151" t="e">
        <f t="shared" si="7"/>
        <v>#DIV/0!</v>
      </c>
      <c r="AA43" s="162">
        <v>0</v>
      </c>
      <c r="AB43" s="163"/>
      <c r="AC43" s="236">
        <v>0</v>
      </c>
      <c r="AD43" s="160" t="e">
        <f t="shared" si="8"/>
        <v>#DIV/0!</v>
      </c>
      <c r="AE43" s="250">
        <f>SUM(IOC!K46)</f>
        <v>0</v>
      </c>
      <c r="AF43" s="163"/>
      <c r="AG43" s="236">
        <v>0</v>
      </c>
      <c r="AH43" s="160" t="e">
        <f t="shared" si="17"/>
        <v>#DIV/0!</v>
      </c>
      <c r="AI43" s="250">
        <f>SUM(HIE!L46)</f>
        <v>771.89780076488375</v>
      </c>
      <c r="AJ43" s="163"/>
      <c r="AK43" s="236">
        <v>0</v>
      </c>
      <c r="AL43" s="160" t="e">
        <f t="shared" ref="AL43:AL45" si="18">100/AK43*AI43</f>
        <v>#DIV/0!</v>
      </c>
      <c r="AM43" s="163">
        <v>0</v>
      </c>
      <c r="AN43" s="163"/>
      <c r="AO43" s="195">
        <v>0</v>
      </c>
      <c r="AP43" s="160" t="e">
        <f t="shared" si="11"/>
        <v>#DIV/0!</v>
      </c>
      <c r="AQ43" s="116">
        <v>0</v>
      </c>
      <c r="AR43" s="116"/>
      <c r="AS43" s="195">
        <v>0</v>
      </c>
      <c r="AT43" s="160" t="e">
        <f t="shared" si="12"/>
        <v>#DIV/0!</v>
      </c>
      <c r="AU43" s="116">
        <v>0</v>
      </c>
      <c r="AV43" s="116"/>
      <c r="AW43" s="195">
        <v>0</v>
      </c>
      <c r="AX43" s="151" t="e">
        <f t="shared" si="13"/>
        <v>#DIV/0!</v>
      </c>
      <c r="AY43" s="191">
        <f>'CKR	'!C42</f>
        <v>0</v>
      </c>
      <c r="AZ43" s="116"/>
      <c r="BA43" s="166">
        <v>0</v>
      </c>
      <c r="BB43" s="160" t="e">
        <f t="shared" si="14"/>
        <v>#DIV/0!</v>
      </c>
    </row>
    <row r="44" spans="1:54" ht="15" customHeight="1" thickBot="1" x14ac:dyDescent="0.3">
      <c r="A44" s="36" t="s">
        <v>81</v>
      </c>
      <c r="B44" s="158" t="s">
        <v>82</v>
      </c>
      <c r="C44" s="211">
        <f t="shared" si="0"/>
        <v>22855.607455073172</v>
      </c>
      <c r="D44" s="114">
        <f t="shared" si="1"/>
        <v>0</v>
      </c>
      <c r="E44" s="239">
        <f t="shared" si="15"/>
        <v>20062.5</v>
      </c>
      <c r="F44" s="160">
        <f t="shared" si="16"/>
        <v>113.92203092871364</v>
      </c>
      <c r="G44" s="116">
        <v>21483.336875000001</v>
      </c>
      <c r="H44" s="116"/>
      <c r="I44" s="238">
        <v>20062.5</v>
      </c>
      <c r="J44" s="160">
        <f t="shared" si="3"/>
        <v>107.08205295950157</v>
      </c>
      <c r="K44" s="116">
        <v>720.91683007317431</v>
      </c>
      <c r="L44" s="116"/>
      <c r="M44" s="238">
        <v>0</v>
      </c>
      <c r="N44" s="160" t="e">
        <f t="shared" si="4"/>
        <v>#DIV/0!</v>
      </c>
      <c r="O44" s="116">
        <v>0</v>
      </c>
      <c r="P44" s="116"/>
      <c r="Q44" s="237">
        <v>0</v>
      </c>
      <c r="R44" s="151" t="e">
        <f t="shared" si="5"/>
        <v>#DIV/0!</v>
      </c>
      <c r="S44" s="162">
        <v>0</v>
      </c>
      <c r="T44" s="163"/>
      <c r="U44" s="195">
        <v>0</v>
      </c>
      <c r="V44" s="160" t="e">
        <f t="shared" si="6"/>
        <v>#DIV/0!</v>
      </c>
      <c r="W44" s="250">
        <f>SUM(MAI!D44)</f>
        <v>0</v>
      </c>
      <c r="X44" s="116"/>
      <c r="Y44" s="195">
        <v>0</v>
      </c>
      <c r="Z44" s="151" t="e">
        <f t="shared" si="7"/>
        <v>#DIV/0!</v>
      </c>
      <c r="AA44" s="162">
        <v>367.59375</v>
      </c>
      <c r="AB44" s="163"/>
      <c r="AC44" s="236">
        <v>0</v>
      </c>
      <c r="AD44" s="160" t="e">
        <f t="shared" si="8"/>
        <v>#DIV/0!</v>
      </c>
      <c r="AE44" s="250">
        <f>SUM(IOC!K47)</f>
        <v>0</v>
      </c>
      <c r="AF44" s="163"/>
      <c r="AG44" s="236">
        <v>0</v>
      </c>
      <c r="AH44" s="160" t="e">
        <f t="shared" si="17"/>
        <v>#DIV/0!</v>
      </c>
      <c r="AI44" s="250">
        <f>SUM(HIE!L47)</f>
        <v>0</v>
      </c>
      <c r="AJ44" s="163"/>
      <c r="AK44" s="236">
        <v>0</v>
      </c>
      <c r="AL44" s="160" t="e">
        <f>100/AK44*AI44</f>
        <v>#DIV/0!</v>
      </c>
      <c r="AM44" s="163">
        <v>0</v>
      </c>
      <c r="AN44" s="163"/>
      <c r="AO44" s="195">
        <v>0</v>
      </c>
      <c r="AP44" s="160" t="e">
        <f t="shared" si="11"/>
        <v>#DIV/0!</v>
      </c>
      <c r="AQ44" s="116">
        <v>0</v>
      </c>
      <c r="AR44" s="116"/>
      <c r="AS44" s="195">
        <v>0</v>
      </c>
      <c r="AT44" s="160" t="e">
        <f t="shared" si="12"/>
        <v>#DIV/0!</v>
      </c>
      <c r="AU44" s="116">
        <v>283.76</v>
      </c>
      <c r="AV44" s="116"/>
      <c r="AW44" s="195">
        <v>0</v>
      </c>
      <c r="AX44" s="151" t="e">
        <f t="shared" si="13"/>
        <v>#DIV/0!</v>
      </c>
      <c r="AY44" s="191">
        <f>'CKR	'!C43</f>
        <v>0</v>
      </c>
      <c r="AZ44" s="116"/>
      <c r="BA44" s="166">
        <v>0</v>
      </c>
      <c r="BB44" s="160" t="e">
        <f t="shared" si="14"/>
        <v>#DIV/0!</v>
      </c>
    </row>
    <row r="45" spans="1:54" ht="15.75" thickBot="1" x14ac:dyDescent="0.3">
      <c r="A45" s="39" t="s">
        <v>83</v>
      </c>
      <c r="B45" s="206" t="s">
        <v>84</v>
      </c>
      <c r="C45" s="184">
        <f t="shared" si="0"/>
        <v>502725.6785213137</v>
      </c>
      <c r="D45" s="171">
        <f t="shared" si="1"/>
        <v>274542.86</v>
      </c>
      <c r="E45" s="185">
        <f>SUM(E6+E7+E11+E16+E23+E33+E37+E41)</f>
        <v>2452542.6</v>
      </c>
      <c r="F45" s="172">
        <f t="shared" si="16"/>
        <v>20.498142561165448</v>
      </c>
      <c r="G45" s="169">
        <v>142042.15375000003</v>
      </c>
      <c r="H45" s="169">
        <f>SUM(H7+H11+H16+H23+H33+H37+H41)</f>
        <v>31600</v>
      </c>
      <c r="I45" s="170">
        <f>SUM(I6+I7+I11+I16+I23+I33+I37+I41)</f>
        <v>484217.75</v>
      </c>
      <c r="J45" s="172">
        <f t="shared" si="3"/>
        <v>29.334354998345276</v>
      </c>
      <c r="K45" s="169">
        <v>71651.122722272732</v>
      </c>
      <c r="L45" s="169">
        <f>SUM(L7+L11+L16+L23+L33+L37+L41)</f>
        <v>16000</v>
      </c>
      <c r="M45" s="170">
        <f>SUM(M6+M7+M11+M16+M23+M33+M37+M41)</f>
        <v>322346.13</v>
      </c>
      <c r="N45" s="172">
        <f t="shared" si="4"/>
        <v>22.228007738846664</v>
      </c>
      <c r="O45" s="169">
        <v>29301.399999999998</v>
      </c>
      <c r="P45" s="169">
        <f>SUM(P7+P11+P16+P23+P33+P37+P41)</f>
        <v>34000</v>
      </c>
      <c r="Q45" s="186">
        <f>SUM(Q6+Q7+Q11+Q16+Q23+Q33+Q37+Q41)</f>
        <v>125599.97</v>
      </c>
      <c r="R45" s="173">
        <f t="shared" si="5"/>
        <v>23.329145699636708</v>
      </c>
      <c r="S45" s="168">
        <v>16130.80134318182</v>
      </c>
      <c r="T45" s="169">
        <f>SUM(T7+T11+T16+T23+T33+T37+T41)</f>
        <v>16600</v>
      </c>
      <c r="U45" s="196">
        <f>SUM(U6+U7+U11+U16+U23+U33+U37+U41)</f>
        <v>105125.03</v>
      </c>
      <c r="V45" s="172">
        <f t="shared" si="6"/>
        <v>15.344396423175166</v>
      </c>
      <c r="W45" s="199">
        <f>SUM(MAI!D45)</f>
        <v>21343.625</v>
      </c>
      <c r="X45" s="169">
        <f>SUM(X7+X11+X16+X23+X33+X37+X41)</f>
        <v>16600</v>
      </c>
      <c r="Y45" s="196">
        <f>SUM(Y6+Y7+Y11+Y16+Y23+Y33+Y37+Y41)</f>
        <v>204812.53000000003</v>
      </c>
      <c r="Z45" s="173">
        <f t="shared" si="7"/>
        <v>10.421054317331071</v>
      </c>
      <c r="AA45" s="168">
        <v>20559.9765625</v>
      </c>
      <c r="AB45" s="169">
        <f>SUM(AB7+AB11+AB16+AB23+AB33+AB37+AB41)</f>
        <v>45142.86</v>
      </c>
      <c r="AC45" s="167">
        <f>SUM(AC41+AC37+AC33+AC23+AC16+AC11+AC7+AC6)</f>
        <v>270177.5</v>
      </c>
      <c r="AD45" s="172">
        <f t="shared" si="8"/>
        <v>7.6098033931396944</v>
      </c>
      <c r="AE45" s="199">
        <f>SUM(IOC!K48)</f>
        <v>9446.6875</v>
      </c>
      <c r="AF45" s="169">
        <f>SUM(AF7+AF11+AF16+AF23+AF33+AF37+AF41)</f>
        <v>16600</v>
      </c>
      <c r="AG45" s="167">
        <f>SUM(AG6+AG7+AG11+AG16+AG23+AG33+AG37+AG41)</f>
        <v>139010.22</v>
      </c>
      <c r="AH45" s="172">
        <f t="shared" si="17"/>
        <v>6.7956784040770524</v>
      </c>
      <c r="AI45" s="199">
        <f>SUM(HIE!L48)</f>
        <v>47632.423184109124</v>
      </c>
      <c r="AJ45" s="169">
        <f>SUM(AJ7+AJ11+AJ16+AJ23+AJ33+AJ37+AJ41)</f>
        <v>16600</v>
      </c>
      <c r="AK45" s="167">
        <f>SUM(AK6+AK7+AK11+AK16+AK23+AK33+AK37+AK41)</f>
        <v>211999.5</v>
      </c>
      <c r="AL45" s="172">
        <f t="shared" si="18"/>
        <v>22.468177134431507</v>
      </c>
      <c r="AM45" s="169">
        <v>83149.350000000006</v>
      </c>
      <c r="AN45" s="169">
        <f>SUM(AN7+AN11+AN16+AN23+AN33+AN37+AN41)</f>
        <v>16600</v>
      </c>
      <c r="AO45" s="196">
        <f>SUM(AO6+AO7+AO11+AO16+AO23+AO33+AO37+AO41)</f>
        <v>181625</v>
      </c>
      <c r="AP45" s="172">
        <f t="shared" si="11"/>
        <v>45.780784583620104</v>
      </c>
      <c r="AQ45" s="169">
        <v>15221.25</v>
      </c>
      <c r="AR45" s="169">
        <f>SUM(AR7+AR11+AR16+AR23+AR33+AR37+AR41)</f>
        <v>16600</v>
      </c>
      <c r="AS45" s="196">
        <f>SUM(AS6+AS7+AS11+AS16+AS23+AS33+AS37+AS41)</f>
        <v>63650</v>
      </c>
      <c r="AT45" s="172">
        <f t="shared" si="12"/>
        <v>23.913982717989004</v>
      </c>
      <c r="AU45" s="169">
        <v>14743.662378999998</v>
      </c>
      <c r="AV45" s="169">
        <f>SUM(AV7+AV11+AV16+AV23+AV33+AV37+AV41)</f>
        <v>31600</v>
      </c>
      <c r="AW45" s="196">
        <f>SUM(AW6+AW7+AW11+AW16+AW23+AW33+AW37+AW41)</f>
        <v>130593.75</v>
      </c>
      <c r="AX45" s="173">
        <f t="shared" si="13"/>
        <v>11.289715150227325</v>
      </c>
      <c r="AY45" s="154">
        <f>'CKR	'!C44</f>
        <v>31503.226080249999</v>
      </c>
      <c r="AZ45" s="169">
        <f>SUM(AZ7+AZ11+AZ16+AZ23+AZ33+AZ37+AZ41)</f>
        <v>16600</v>
      </c>
      <c r="BA45" s="167">
        <f>SUM(BA6+BA7+BA11+BA16+BA23+BA33+BA37+BA41)</f>
        <v>95125</v>
      </c>
      <c r="BB45" s="172">
        <f t="shared" si="14"/>
        <v>33.117714670433635</v>
      </c>
    </row>
    <row r="46" spans="1:54" ht="15.75" thickTop="1" x14ac:dyDescent="0.25">
      <c r="C46" s="118"/>
      <c r="D46" s="118"/>
      <c r="E46" s="118"/>
      <c r="F46" s="119"/>
      <c r="G46" s="119"/>
      <c r="H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</row>
    <row r="47" spans="1:54" x14ac:dyDescent="0.25">
      <c r="C47" s="118"/>
      <c r="D47" s="118"/>
      <c r="E47" s="118"/>
      <c r="F47" s="119"/>
      <c r="G47" s="119"/>
      <c r="H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19"/>
      <c r="AX47" s="119"/>
      <c r="AY47" s="119"/>
      <c r="AZ47" s="119"/>
      <c r="BA47" s="119"/>
      <c r="BB47" s="119"/>
    </row>
    <row r="48" spans="1:54" x14ac:dyDescent="0.25">
      <c r="C48" s="118"/>
      <c r="D48" s="118"/>
      <c r="E48" s="118"/>
      <c r="F48" s="119"/>
      <c r="G48" s="119"/>
      <c r="H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</row>
    <row r="49" spans="1:11" x14ac:dyDescent="0.25">
      <c r="A49" t="s">
        <v>84</v>
      </c>
    </row>
    <row r="58" spans="1:11" ht="15.75" thickBot="1" x14ac:dyDescent="0.3"/>
    <row r="59" spans="1:11" ht="15.75" thickTop="1" x14ac:dyDescent="0.25">
      <c r="K59" s="187"/>
    </row>
  </sheetData>
  <mergeCells count="56">
    <mergeCell ref="AU3:AW3"/>
    <mergeCell ref="AY3:BA3"/>
    <mergeCell ref="S4:U4"/>
    <mergeCell ref="W4:Y4"/>
    <mergeCell ref="AA4:AC4"/>
    <mergeCell ref="AE4:AG4"/>
    <mergeCell ref="AI4:AK4"/>
    <mergeCell ref="AM4:AO4"/>
    <mergeCell ref="AQ4:AS4"/>
    <mergeCell ref="AU4:AW4"/>
    <mergeCell ref="AY4:BA4"/>
    <mergeCell ref="AU1:AW1"/>
    <mergeCell ref="AY1:BA1"/>
    <mergeCell ref="S2:U2"/>
    <mergeCell ref="W2:Y2"/>
    <mergeCell ref="AA2:AC2"/>
    <mergeCell ref="AE2:AG2"/>
    <mergeCell ref="AI2:AK2"/>
    <mergeCell ref="AM2:AO2"/>
    <mergeCell ref="AQ2:AS2"/>
    <mergeCell ref="AU2:AW2"/>
    <mergeCell ref="AY2:BA2"/>
    <mergeCell ref="S1:U1"/>
    <mergeCell ref="W1:Y1"/>
    <mergeCell ref="AA1:AC1"/>
    <mergeCell ref="AE1:AG1"/>
    <mergeCell ref="AI1:AK1"/>
    <mergeCell ref="AM1:AO1"/>
    <mergeCell ref="AQ1:AS1"/>
    <mergeCell ref="S3:U3"/>
    <mergeCell ref="W3:Y3"/>
    <mergeCell ref="AA3:AC3"/>
    <mergeCell ref="AE3:AG3"/>
    <mergeCell ref="AI3:AK3"/>
    <mergeCell ref="AM3:AO3"/>
    <mergeCell ref="AQ3:AS3"/>
    <mergeCell ref="C4:E4"/>
    <mergeCell ref="G4:I4"/>
    <mergeCell ref="K4:M4"/>
    <mergeCell ref="N4:O4"/>
    <mergeCell ref="Q4:R4"/>
    <mergeCell ref="C3:E3"/>
    <mergeCell ref="G3:I3"/>
    <mergeCell ref="K3:M3"/>
    <mergeCell ref="N3:O3"/>
    <mergeCell ref="Q3:R3"/>
    <mergeCell ref="C2:E2"/>
    <mergeCell ref="G2:I2"/>
    <mergeCell ref="K2:M2"/>
    <mergeCell ref="N2:O2"/>
    <mergeCell ref="Q2:R2"/>
    <mergeCell ref="C1:E1"/>
    <mergeCell ref="G1:I1"/>
    <mergeCell ref="K1:M1"/>
    <mergeCell ref="N1:O1"/>
    <mergeCell ref="Q1:R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  <pageSetUpPr fitToPage="1"/>
  </sheetPr>
  <dimension ref="A1:M53"/>
  <sheetViews>
    <sheetView zoomScale="87" zoomScaleNormal="87" workbookViewId="0">
      <selection activeCell="A6" sqref="A6"/>
    </sheetView>
  </sheetViews>
  <sheetFormatPr baseColWidth="10" defaultColWidth="9.140625" defaultRowHeight="15" x14ac:dyDescent="0.25"/>
  <cols>
    <col min="1" max="1" width="52.140625" customWidth="1"/>
    <col min="2" max="2" width="6" style="6" customWidth="1"/>
    <col min="3" max="3" width="14.140625" style="24" customWidth="1"/>
    <col min="4" max="4" width="4" style="24" customWidth="1"/>
    <col min="5" max="5" width="14.28515625" style="4" customWidth="1"/>
    <col min="6" max="6" width="11" customWidth="1"/>
    <col min="7" max="7" width="12.85546875" customWidth="1"/>
    <col min="9" max="9" width="10.28515625" bestFit="1" customWidth="1"/>
    <col min="11" max="11" width="9.140625" style="41"/>
  </cols>
  <sheetData>
    <row r="1" spans="1:13" x14ac:dyDescent="0.25">
      <c r="A1" s="2"/>
      <c r="B1" s="3"/>
      <c r="C1" s="141" t="s">
        <v>0</v>
      </c>
      <c r="D1" s="141"/>
    </row>
    <row r="2" spans="1:13" x14ac:dyDescent="0.25">
      <c r="A2" s="2"/>
      <c r="B2" s="3"/>
      <c r="C2" s="141" t="s">
        <v>1</v>
      </c>
      <c r="D2" s="141"/>
    </row>
    <row r="3" spans="1:13" x14ac:dyDescent="0.25">
      <c r="A3" s="2"/>
      <c r="B3" s="3"/>
      <c r="C3" s="141" t="s">
        <v>88</v>
      </c>
      <c r="D3" s="141"/>
    </row>
    <row r="4" spans="1:13" x14ac:dyDescent="0.25">
      <c r="A4" s="25" t="s">
        <v>91</v>
      </c>
      <c r="B4" s="3" t="s">
        <v>3</v>
      </c>
      <c r="C4" s="141" t="s">
        <v>92</v>
      </c>
      <c r="D4" s="141"/>
      <c r="E4" s="1"/>
    </row>
    <row r="5" spans="1:13" x14ac:dyDescent="0.25">
      <c r="A5" s="2"/>
      <c r="B5" s="3" t="s">
        <v>4</v>
      </c>
      <c r="C5" s="7" t="s">
        <v>84</v>
      </c>
      <c r="D5" s="8"/>
      <c r="E5" s="1"/>
    </row>
    <row r="6" spans="1:13" s="130" customFormat="1" x14ac:dyDescent="0.25">
      <c r="A6" s="240" t="s">
        <v>141</v>
      </c>
      <c r="B6" s="3"/>
      <c r="C6" s="7"/>
      <c r="D6" s="104"/>
      <c r="E6" s="1"/>
      <c r="K6" s="41"/>
    </row>
    <row r="7" spans="1:13" ht="15" customHeight="1" x14ac:dyDescent="0.25">
      <c r="A7" s="9" t="s">
        <v>7</v>
      </c>
      <c r="B7" s="10" t="s">
        <v>8</v>
      </c>
      <c r="C7" s="11">
        <f>SUM(C8:C10)</f>
        <v>8024.875</v>
      </c>
      <c r="D7" s="12"/>
      <c r="E7" s="1"/>
    </row>
    <row r="8" spans="1:13" ht="15" customHeight="1" x14ac:dyDescent="0.25">
      <c r="A8" s="13" t="s">
        <v>9</v>
      </c>
      <c r="B8" s="14" t="s">
        <v>10</v>
      </c>
      <c r="C8" s="15">
        <f>G14*1.25</f>
        <v>3265.9375</v>
      </c>
      <c r="D8" s="16"/>
      <c r="E8" s="17"/>
    </row>
    <row r="9" spans="1:13" ht="15" customHeight="1" x14ac:dyDescent="0.25">
      <c r="A9" s="13" t="s">
        <v>11</v>
      </c>
      <c r="B9" s="14" t="s">
        <v>12</v>
      </c>
      <c r="C9" s="106">
        <f>G15*1.25</f>
        <v>1399.6875</v>
      </c>
      <c r="D9" s="16"/>
      <c r="E9" s="17"/>
      <c r="F9" t="s">
        <v>85</v>
      </c>
      <c r="H9" t="s">
        <v>5</v>
      </c>
      <c r="I9" s="5"/>
      <c r="K9" s="41" t="s">
        <v>86</v>
      </c>
      <c r="M9" t="s">
        <v>87</v>
      </c>
    </row>
    <row r="10" spans="1:13" ht="15" customHeight="1" x14ac:dyDescent="0.25">
      <c r="A10" s="13" t="s">
        <v>13</v>
      </c>
      <c r="B10" s="14" t="s">
        <v>14</v>
      </c>
      <c r="C10" s="106">
        <f>G16*1.25</f>
        <v>3359.25</v>
      </c>
      <c r="D10" s="16"/>
      <c r="E10" s="17"/>
      <c r="F10" s="143" t="s">
        <v>89</v>
      </c>
      <c r="G10" s="144"/>
      <c r="H10" s="143" t="s">
        <v>89</v>
      </c>
      <c r="I10" s="144"/>
    </row>
    <row r="11" spans="1:13" ht="15" customHeight="1" x14ac:dyDescent="0.25">
      <c r="A11" s="9" t="s">
        <v>15</v>
      </c>
      <c r="B11" s="10" t="s">
        <v>16</v>
      </c>
      <c r="C11" s="42">
        <f>SUM(C12:C15)</f>
        <v>5346.8062500000005</v>
      </c>
      <c r="D11" s="19"/>
      <c r="E11" s="1"/>
      <c r="F11" s="40" t="s">
        <v>93</v>
      </c>
      <c r="G11" s="28" t="s">
        <v>94</v>
      </c>
      <c r="H11" s="40" t="s">
        <v>93</v>
      </c>
      <c r="I11" s="28" t="s">
        <v>94</v>
      </c>
    </row>
    <row r="12" spans="1:13" ht="15" customHeight="1" x14ac:dyDescent="0.25">
      <c r="A12" s="13" t="s">
        <v>17</v>
      </c>
      <c r="B12" s="14" t="s">
        <v>18</v>
      </c>
      <c r="C12" s="15">
        <f>G18*1.25</f>
        <v>1306.3750000000002</v>
      </c>
      <c r="D12" s="16"/>
      <c r="E12" s="17"/>
      <c r="F12" s="27"/>
      <c r="G12" s="30">
        <v>74.650000000000006</v>
      </c>
      <c r="H12" s="27"/>
      <c r="I12" s="30">
        <v>82</v>
      </c>
    </row>
    <row r="13" spans="1:13" ht="15" customHeight="1" x14ac:dyDescent="0.25">
      <c r="A13" s="13" t="s">
        <v>19</v>
      </c>
      <c r="B13" s="14" t="s">
        <v>20</v>
      </c>
      <c r="C13" s="106">
        <f>G19*1.25</f>
        <v>4040.4312500000005</v>
      </c>
      <c r="D13" s="16"/>
      <c r="E13" s="17"/>
      <c r="F13" s="29">
        <f>SUM(F14:F16)</f>
        <v>86</v>
      </c>
      <c r="G13" s="30">
        <f>F13*G$12*(1+I$9)</f>
        <v>6419.9000000000005</v>
      </c>
      <c r="H13" s="29">
        <f>SUM(H14:H16)</f>
        <v>0</v>
      </c>
      <c r="I13" s="30">
        <f>H13*I$12*(1+I$9)</f>
        <v>0</v>
      </c>
      <c r="J13" t="s">
        <v>95</v>
      </c>
      <c r="K13" s="41">
        <v>0.6</v>
      </c>
    </row>
    <row r="14" spans="1:13" ht="15" customHeight="1" x14ac:dyDescent="0.25">
      <c r="A14" s="13" t="s">
        <v>21</v>
      </c>
      <c r="B14" s="14" t="s">
        <v>22</v>
      </c>
      <c r="C14" s="106">
        <f>G20*1.25</f>
        <v>0</v>
      </c>
      <c r="D14" s="16"/>
      <c r="E14" s="17"/>
      <c r="F14" s="31">
        <v>35</v>
      </c>
      <c r="G14" s="30">
        <f>F14*G$12*(1+I$9)</f>
        <v>2612.75</v>
      </c>
      <c r="H14" s="31">
        <v>0</v>
      </c>
      <c r="I14" s="30">
        <f>H14*I$12*(1+I$9)</f>
        <v>0</v>
      </c>
    </row>
    <row r="15" spans="1:13" ht="15" customHeight="1" x14ac:dyDescent="0.25">
      <c r="A15" s="13" t="s">
        <v>23</v>
      </c>
      <c r="B15" s="14" t="s">
        <v>24</v>
      </c>
      <c r="C15" s="106">
        <f>G21*1.25</f>
        <v>0</v>
      </c>
      <c r="D15" s="16"/>
      <c r="E15" s="17"/>
      <c r="F15" s="31">
        <v>15</v>
      </c>
      <c r="G15" s="30">
        <f>F15*G$12*(1+I$9)</f>
        <v>1119.75</v>
      </c>
      <c r="H15" s="31">
        <v>0</v>
      </c>
      <c r="I15" s="30">
        <f>H15*I$12*(1+I$9)</f>
        <v>0</v>
      </c>
    </row>
    <row r="16" spans="1:13" ht="15" customHeight="1" x14ac:dyDescent="0.25">
      <c r="A16" s="9" t="s">
        <v>25</v>
      </c>
      <c r="B16" s="10" t="s">
        <v>26</v>
      </c>
      <c r="C16" s="42">
        <f>SUM(C17:C22)</f>
        <v>1306.375</v>
      </c>
      <c r="D16" s="19"/>
      <c r="E16" s="1"/>
      <c r="F16" s="31">
        <v>36</v>
      </c>
      <c r="G16" s="30">
        <f>F16*G$12*(1+I$9)</f>
        <v>2687.4</v>
      </c>
      <c r="H16" s="31">
        <v>0</v>
      </c>
      <c r="I16" s="30">
        <f>H16*I$12*(1+I$9)</f>
        <v>0</v>
      </c>
    </row>
    <row r="17" spans="1:11" ht="15" customHeight="1" x14ac:dyDescent="0.25">
      <c r="A17" s="13" t="s">
        <v>27</v>
      </c>
      <c r="B17" s="14" t="s">
        <v>28</v>
      </c>
      <c r="C17" s="15">
        <f>G23*1.25</f>
        <v>559.875</v>
      </c>
      <c r="D17" s="16"/>
      <c r="E17" s="17"/>
      <c r="F17" s="32">
        <f>SUM(F18:F21)</f>
        <v>57.3</v>
      </c>
      <c r="G17" s="30">
        <f>F17*G$12*(1+I$9)</f>
        <v>4277.4449999999997</v>
      </c>
      <c r="H17" s="32"/>
      <c r="I17" s="30">
        <f>H17*I$12*(1+I$9)</f>
        <v>0</v>
      </c>
      <c r="J17" t="s">
        <v>95</v>
      </c>
      <c r="K17" s="41">
        <v>0.4</v>
      </c>
    </row>
    <row r="18" spans="1:11" ht="15" customHeight="1" x14ac:dyDescent="0.25">
      <c r="A18" s="13" t="s">
        <v>29</v>
      </c>
      <c r="B18" s="14" t="s">
        <v>30</v>
      </c>
      <c r="C18" s="106">
        <f>G24*1.25</f>
        <v>466.5625</v>
      </c>
      <c r="D18" s="16"/>
      <c r="E18" s="17"/>
      <c r="F18" s="31">
        <v>14</v>
      </c>
      <c r="G18" s="30">
        <f>F18*G$12*(1+I$9)</f>
        <v>1045.1000000000001</v>
      </c>
      <c r="H18" s="31">
        <v>0</v>
      </c>
      <c r="I18" s="30">
        <f>H18*I$12*(1+I$9)</f>
        <v>0</v>
      </c>
    </row>
    <row r="19" spans="1:11" ht="15" customHeight="1" x14ac:dyDescent="0.25">
      <c r="A19" s="13" t="s">
        <v>31</v>
      </c>
      <c r="B19" s="14" t="s">
        <v>32</v>
      </c>
      <c r="C19" s="106">
        <f>G25*1.25</f>
        <v>279.9375</v>
      </c>
      <c r="D19" s="16"/>
      <c r="E19" s="17"/>
      <c r="F19" s="31">
        <v>43.3</v>
      </c>
      <c r="G19" s="30">
        <f>F19*G$12*(1+I$9)</f>
        <v>3232.3450000000003</v>
      </c>
      <c r="H19" s="31">
        <v>0</v>
      </c>
      <c r="I19" s="30">
        <f>H19*I$12*(1+I$9)</f>
        <v>0</v>
      </c>
    </row>
    <row r="20" spans="1:11" ht="15" customHeight="1" x14ac:dyDescent="0.25">
      <c r="A20" s="13" t="s">
        <v>33</v>
      </c>
      <c r="B20" s="14" t="s">
        <v>34</v>
      </c>
      <c r="C20" s="106">
        <f>G26*1.25</f>
        <v>0</v>
      </c>
      <c r="D20" s="16"/>
      <c r="E20" s="17"/>
      <c r="F20" s="31">
        <v>0</v>
      </c>
      <c r="G20" s="30">
        <f>F20*G$12*(1+I$9)</f>
        <v>0</v>
      </c>
      <c r="H20" s="31">
        <v>0</v>
      </c>
      <c r="I20" s="30">
        <f>H20*I$12*(1+I$9)</f>
        <v>0</v>
      </c>
    </row>
    <row r="21" spans="1:11" ht="15" customHeight="1" x14ac:dyDescent="0.25">
      <c r="A21" s="13" t="s">
        <v>35</v>
      </c>
      <c r="B21" s="14" t="s">
        <v>36</v>
      </c>
      <c r="C21" s="106">
        <f>G27*1.25</f>
        <v>0</v>
      </c>
      <c r="D21" s="16"/>
      <c r="E21" s="17"/>
      <c r="F21" s="31">
        <v>0</v>
      </c>
      <c r="G21" s="30">
        <f>F21*G$12*(1+I$9)</f>
        <v>0</v>
      </c>
      <c r="H21" s="31">
        <v>0</v>
      </c>
      <c r="I21" s="30">
        <f>H21*I$12*(1+I$9)</f>
        <v>0</v>
      </c>
    </row>
    <row r="22" spans="1:11" ht="15" customHeight="1" x14ac:dyDescent="0.25">
      <c r="A22" s="13" t="s">
        <v>37</v>
      </c>
      <c r="B22" s="14" t="s">
        <v>38</v>
      </c>
      <c r="C22" s="106">
        <f>G28*1.25</f>
        <v>0</v>
      </c>
      <c r="D22" s="16"/>
      <c r="E22" s="17"/>
      <c r="F22" s="32">
        <f>SUM(F23:F28)</f>
        <v>14</v>
      </c>
      <c r="G22" s="30">
        <f>F22*G$12*(1+I$9)</f>
        <v>1045.1000000000001</v>
      </c>
      <c r="H22" s="32">
        <f>SUM(H23:H28)</f>
        <v>0</v>
      </c>
      <c r="I22" s="30">
        <f>H22*I$12*(1+I$9)</f>
        <v>0</v>
      </c>
      <c r="J22" t="s">
        <v>95</v>
      </c>
      <c r="K22" s="41">
        <v>0.1</v>
      </c>
    </row>
    <row r="23" spans="1:11" ht="15" customHeight="1" x14ac:dyDescent="0.25">
      <c r="A23" s="9" t="s">
        <v>39</v>
      </c>
      <c r="B23" s="10" t="s">
        <v>40</v>
      </c>
      <c r="C23" s="42">
        <f>SUM(C24:C32)</f>
        <v>6681.1750000000011</v>
      </c>
      <c r="D23" s="20"/>
      <c r="E23" s="1"/>
      <c r="F23" s="31">
        <v>6</v>
      </c>
      <c r="G23" s="30">
        <f>F23*G$12*(1+I$9)</f>
        <v>447.90000000000003</v>
      </c>
      <c r="H23" s="31">
        <v>0</v>
      </c>
      <c r="I23" s="30">
        <f>H23*I$12*(1+I$9)</f>
        <v>0</v>
      </c>
    </row>
    <row r="24" spans="1:11" ht="15" customHeight="1" x14ac:dyDescent="0.25">
      <c r="A24" s="21" t="s">
        <v>41</v>
      </c>
      <c r="B24" s="14" t="s">
        <v>42</v>
      </c>
      <c r="C24" s="15">
        <f>G30*1.25</f>
        <v>933.125</v>
      </c>
      <c r="D24" s="16"/>
      <c r="E24" s="17"/>
      <c r="F24" s="31">
        <v>5</v>
      </c>
      <c r="G24" s="30">
        <f>F24*G$12*(1+I$9)</f>
        <v>373.25</v>
      </c>
      <c r="H24" s="31">
        <v>0</v>
      </c>
      <c r="I24" s="30">
        <f>H24*I$12*(1+I$9)</f>
        <v>0</v>
      </c>
    </row>
    <row r="25" spans="1:11" ht="15" customHeight="1" x14ac:dyDescent="0.25">
      <c r="A25" s="21" t="s">
        <v>43</v>
      </c>
      <c r="B25" s="14" t="s">
        <v>44</v>
      </c>
      <c r="C25" s="106">
        <f>G31*1.25</f>
        <v>0</v>
      </c>
      <c r="D25" s="16"/>
      <c r="E25" s="17"/>
      <c r="F25" s="31">
        <v>3</v>
      </c>
      <c r="G25" s="30">
        <f>F25*G$12*(1+I$9)</f>
        <v>223.95000000000002</v>
      </c>
      <c r="H25" s="31">
        <v>0</v>
      </c>
      <c r="I25" s="30">
        <f>H25*I$12*(1+I$9)</f>
        <v>0</v>
      </c>
    </row>
    <row r="26" spans="1:11" ht="15" customHeight="1" x14ac:dyDescent="0.25">
      <c r="A26" s="43" t="s">
        <v>45</v>
      </c>
      <c r="B26" s="44" t="s">
        <v>46</v>
      </c>
      <c r="C26" s="106">
        <f>G32*1.25</f>
        <v>0</v>
      </c>
      <c r="D26" s="16"/>
      <c r="E26" s="17"/>
      <c r="F26" s="31">
        <v>0</v>
      </c>
      <c r="G26" s="30">
        <f>F26*G$12*(1+I$9)</f>
        <v>0</v>
      </c>
      <c r="H26" s="31">
        <v>0</v>
      </c>
      <c r="I26" s="30">
        <f>H26*I$12*(1+I$9)</f>
        <v>0</v>
      </c>
    </row>
    <row r="27" spans="1:11" ht="15" customHeight="1" x14ac:dyDescent="0.25">
      <c r="A27" s="21" t="s">
        <v>47</v>
      </c>
      <c r="B27" s="14" t="s">
        <v>48</v>
      </c>
      <c r="C27" s="106">
        <f>G33*1.25</f>
        <v>0</v>
      </c>
      <c r="D27" s="16"/>
      <c r="E27" s="17"/>
      <c r="F27" s="31">
        <v>0</v>
      </c>
      <c r="G27" s="30">
        <f>F27*G$12*(1+I$9)</f>
        <v>0</v>
      </c>
      <c r="H27" s="31">
        <v>0</v>
      </c>
      <c r="I27" s="30">
        <f>H27*I$12*(1+I$9)</f>
        <v>0</v>
      </c>
    </row>
    <row r="28" spans="1:11" ht="15" customHeight="1" x14ac:dyDescent="0.25">
      <c r="A28" s="21" t="s">
        <v>49</v>
      </c>
      <c r="B28" s="14" t="s">
        <v>50</v>
      </c>
      <c r="C28" s="106">
        <f>G34*1.25</f>
        <v>0</v>
      </c>
      <c r="D28" s="16"/>
      <c r="E28" s="17"/>
      <c r="F28" s="31">
        <v>0</v>
      </c>
      <c r="G28" s="30">
        <f>F28*G$12*(1+I$9)</f>
        <v>0</v>
      </c>
      <c r="H28" s="31">
        <v>0</v>
      </c>
      <c r="I28" s="30">
        <f>H28*I$12*(1+I$9)</f>
        <v>0</v>
      </c>
    </row>
    <row r="29" spans="1:11" ht="15" customHeight="1" x14ac:dyDescent="0.25">
      <c r="A29" s="21" t="s">
        <v>51</v>
      </c>
      <c r="B29" s="14" t="s">
        <v>52</v>
      </c>
      <c r="C29" s="106">
        <f>G35*1.25</f>
        <v>0</v>
      </c>
      <c r="D29" s="16"/>
      <c r="E29" s="17"/>
      <c r="F29" s="32">
        <f>SUM(F30:F38)</f>
        <v>71.599999999999994</v>
      </c>
      <c r="G29" s="30">
        <f>F29*G$12*(1+I$9)</f>
        <v>5344.94</v>
      </c>
      <c r="H29" s="32"/>
      <c r="I29" s="30">
        <f>H29*I$12*(1+I$9)</f>
        <v>0</v>
      </c>
      <c r="J29" t="s">
        <v>95</v>
      </c>
      <c r="K29" s="41">
        <v>0.5</v>
      </c>
    </row>
    <row r="30" spans="1:11" ht="15" customHeight="1" x14ac:dyDescent="0.25">
      <c r="A30" s="21" t="s">
        <v>53</v>
      </c>
      <c r="B30" s="14" t="s">
        <v>54</v>
      </c>
      <c r="C30" s="106">
        <f>G36*1.25</f>
        <v>0</v>
      </c>
      <c r="D30" s="16"/>
      <c r="E30" s="17"/>
      <c r="F30" s="31">
        <v>10</v>
      </c>
      <c r="G30" s="30">
        <f>F30*G$12*(1+I$9)</f>
        <v>746.5</v>
      </c>
      <c r="H30" s="31">
        <v>0</v>
      </c>
      <c r="I30" s="30">
        <f>H30*I$12*(1+I$9)</f>
        <v>0</v>
      </c>
    </row>
    <row r="31" spans="1:11" ht="15" customHeight="1" x14ac:dyDescent="0.25">
      <c r="A31" s="13" t="s">
        <v>55</v>
      </c>
      <c r="B31" s="14" t="s">
        <v>56</v>
      </c>
      <c r="C31" s="106">
        <f>G37*1.25</f>
        <v>0</v>
      </c>
      <c r="D31" s="16"/>
      <c r="E31" s="17"/>
      <c r="F31" s="31">
        <v>0</v>
      </c>
      <c r="G31" s="30">
        <f>F31*G$12*(1+I$9)</f>
        <v>0</v>
      </c>
      <c r="H31" s="31">
        <v>0</v>
      </c>
      <c r="I31" s="30">
        <f>H31*I$12*(1+I$9)</f>
        <v>0</v>
      </c>
    </row>
    <row r="32" spans="1:11" ht="15" customHeight="1" x14ac:dyDescent="0.25">
      <c r="A32" s="13" t="s">
        <v>57</v>
      </c>
      <c r="B32" s="14" t="s">
        <v>58</v>
      </c>
      <c r="C32" s="106">
        <f>G38*1.25</f>
        <v>5748.0500000000011</v>
      </c>
      <c r="D32" s="16"/>
      <c r="E32" s="17"/>
      <c r="F32" s="31">
        <v>0</v>
      </c>
      <c r="G32" s="30">
        <f>F32*G$12*(1+I$9)</f>
        <v>0</v>
      </c>
      <c r="H32" s="31">
        <v>0</v>
      </c>
      <c r="I32" s="30">
        <f>H32*I$12*(1+I$9)</f>
        <v>0</v>
      </c>
    </row>
    <row r="33" spans="1:11" ht="15" customHeight="1" x14ac:dyDescent="0.25">
      <c r="A33" s="9" t="s">
        <v>59</v>
      </c>
      <c r="B33" s="10" t="s">
        <v>60</v>
      </c>
      <c r="C33" s="42">
        <f>SUM(C34:C36)</f>
        <v>4189.7312500000007</v>
      </c>
      <c r="D33" s="20"/>
      <c r="E33" s="1"/>
      <c r="F33" s="31">
        <v>0</v>
      </c>
      <c r="G33" s="30">
        <f>F33*G$12*(1+I$9)</f>
        <v>0</v>
      </c>
      <c r="H33" s="31">
        <v>0</v>
      </c>
      <c r="I33" s="30">
        <f>H33*I$12*(1+I$9)</f>
        <v>0</v>
      </c>
    </row>
    <row r="34" spans="1:11" ht="15" customHeight="1" x14ac:dyDescent="0.25">
      <c r="A34" s="13" t="s">
        <v>61</v>
      </c>
      <c r="B34" s="14" t="s">
        <v>62</v>
      </c>
      <c r="C34" s="15">
        <f>G40*1.25</f>
        <v>2874.0250000000005</v>
      </c>
      <c r="D34" s="16"/>
      <c r="E34" s="17"/>
      <c r="F34" s="31">
        <v>0</v>
      </c>
      <c r="G34" s="30">
        <f>F34*G$12*(1+I$9)</f>
        <v>0</v>
      </c>
      <c r="H34" s="31">
        <v>0</v>
      </c>
      <c r="I34" s="30">
        <f>H34*I$12*(1+I$9)</f>
        <v>0</v>
      </c>
    </row>
    <row r="35" spans="1:11" ht="15" customHeight="1" x14ac:dyDescent="0.25">
      <c r="A35" s="13" t="s">
        <v>63</v>
      </c>
      <c r="B35" s="14" t="s">
        <v>64</v>
      </c>
      <c r="C35" s="106">
        <f>G41*1.25</f>
        <v>746.5</v>
      </c>
      <c r="D35" s="16"/>
      <c r="E35" s="17"/>
      <c r="F35" s="31">
        <v>0</v>
      </c>
      <c r="G35" s="30">
        <f>F35*G$12*(1+I$9)</f>
        <v>0</v>
      </c>
      <c r="H35" s="31">
        <v>0</v>
      </c>
      <c r="I35" s="30">
        <f>H35*I$12*(1+I$9)</f>
        <v>0</v>
      </c>
    </row>
    <row r="36" spans="1:11" ht="15" customHeight="1" x14ac:dyDescent="0.25">
      <c r="A36" s="13" t="s">
        <v>65</v>
      </c>
      <c r="B36" s="14" t="s">
        <v>66</v>
      </c>
      <c r="C36" s="106">
        <f>G42*1.25</f>
        <v>569.20624999999995</v>
      </c>
      <c r="D36" s="16"/>
      <c r="E36" s="17"/>
      <c r="F36" s="31">
        <v>0</v>
      </c>
      <c r="G36" s="30">
        <f>F36*G$12*(1+I$9)</f>
        <v>0</v>
      </c>
      <c r="H36" s="31">
        <v>0</v>
      </c>
      <c r="I36" s="30">
        <f>H36*I$12*(1+I$9)</f>
        <v>0</v>
      </c>
    </row>
    <row r="37" spans="1:11" ht="15" customHeight="1" x14ac:dyDescent="0.25">
      <c r="A37" s="9" t="s">
        <v>67</v>
      </c>
      <c r="B37" s="10" t="s">
        <v>68</v>
      </c>
      <c r="C37" s="42">
        <f>SUM(C38:C40)</f>
        <v>8425.1856250000001</v>
      </c>
      <c r="D37" s="20"/>
      <c r="E37" s="1"/>
      <c r="F37" s="31">
        <v>0</v>
      </c>
      <c r="G37" s="30">
        <f>F37*G$12*(1+I$9)</f>
        <v>0</v>
      </c>
      <c r="H37" s="31">
        <v>0</v>
      </c>
      <c r="I37" s="30">
        <f>H37*I$12*(1+I$9)</f>
        <v>0</v>
      </c>
    </row>
    <row r="38" spans="1:11" ht="15" customHeight="1" x14ac:dyDescent="0.25">
      <c r="A38" s="13" t="s">
        <v>69</v>
      </c>
      <c r="B38" s="14" t="s">
        <v>70</v>
      </c>
      <c r="C38" s="15">
        <f>G44*1.25</f>
        <v>6531.875</v>
      </c>
      <c r="D38" s="16"/>
      <c r="E38" s="17"/>
      <c r="F38" s="31">
        <v>61.6</v>
      </c>
      <c r="G38" s="30">
        <f>F38*G$12*(1+I$9)</f>
        <v>4598.4400000000005</v>
      </c>
      <c r="H38" s="31">
        <v>0</v>
      </c>
      <c r="I38" s="30">
        <f>H38*I$12*(1+I$9)</f>
        <v>0</v>
      </c>
    </row>
    <row r="39" spans="1:11" ht="15" customHeight="1" x14ac:dyDescent="0.25">
      <c r="A39" s="13" t="s">
        <v>71</v>
      </c>
      <c r="B39" s="14" t="s">
        <v>72</v>
      </c>
      <c r="C39" s="106">
        <f>G45*1.25</f>
        <v>933.125</v>
      </c>
      <c r="D39" s="16"/>
      <c r="E39" s="17"/>
      <c r="F39" s="32">
        <f>SUM(F40:F42)</f>
        <v>44.9</v>
      </c>
      <c r="G39" s="30">
        <f>F39*G$12*(1+I$9)</f>
        <v>3351.7850000000003</v>
      </c>
      <c r="H39" s="32"/>
      <c r="I39" s="30">
        <f>H39*I$12*(1+I$9)</f>
        <v>0</v>
      </c>
      <c r="J39" t="s">
        <v>95</v>
      </c>
      <c r="K39" s="41">
        <v>0.31</v>
      </c>
    </row>
    <row r="40" spans="1:11" ht="15" customHeight="1" x14ac:dyDescent="0.25">
      <c r="A40" s="13" t="s">
        <v>73</v>
      </c>
      <c r="B40" s="14" t="s">
        <v>74</v>
      </c>
      <c r="C40" s="106">
        <f>G46*1.25</f>
        <v>960.18562500000007</v>
      </c>
      <c r="D40" s="16"/>
      <c r="E40" s="17"/>
      <c r="F40" s="31">
        <v>30.8</v>
      </c>
      <c r="G40" s="30">
        <f>F40*G$12*(1+I$9)</f>
        <v>2299.2200000000003</v>
      </c>
      <c r="H40" s="31">
        <v>0</v>
      </c>
      <c r="I40" s="30">
        <f>H40*I$12*(1+I$9)</f>
        <v>0</v>
      </c>
    </row>
    <row r="41" spans="1:11" ht="15" customHeight="1" x14ac:dyDescent="0.25">
      <c r="A41" s="9" t="s">
        <v>75</v>
      </c>
      <c r="B41" s="10" t="s">
        <v>76</v>
      </c>
      <c r="C41" s="42">
        <f>SUM(C42:C44)</f>
        <v>108068.00562500002</v>
      </c>
      <c r="D41" s="20"/>
      <c r="E41" s="1"/>
      <c r="F41" s="31">
        <v>8</v>
      </c>
      <c r="G41" s="30">
        <f>F41*G$12*(1+I$9)</f>
        <v>597.20000000000005</v>
      </c>
      <c r="H41" s="31">
        <v>0</v>
      </c>
      <c r="I41" s="30">
        <f>H41*I$12*(1+I$9)</f>
        <v>0</v>
      </c>
    </row>
    <row r="42" spans="1:11" ht="15" customHeight="1" x14ac:dyDescent="0.25">
      <c r="A42" s="13" t="s">
        <v>77</v>
      </c>
      <c r="B42" s="14" t="s">
        <v>78</v>
      </c>
      <c r="C42" s="15">
        <f>G48*1.25</f>
        <v>37674.921875000007</v>
      </c>
      <c r="D42" s="16"/>
      <c r="E42" s="17"/>
      <c r="F42" s="31">
        <v>6.1</v>
      </c>
      <c r="G42" s="30">
        <f>F42*G$12*(1+I$9)</f>
        <v>455.36500000000001</v>
      </c>
      <c r="H42" s="31">
        <v>0</v>
      </c>
      <c r="I42" s="30">
        <f>H42*I$12*(1+I$9)</f>
        <v>0</v>
      </c>
    </row>
    <row r="43" spans="1:11" ht="15" customHeight="1" x14ac:dyDescent="0.25">
      <c r="A43" s="13" t="s">
        <v>79</v>
      </c>
      <c r="B43" s="14" t="s">
        <v>80</v>
      </c>
      <c r="C43" s="106">
        <f>G49*1.25</f>
        <v>48909.746874999997</v>
      </c>
      <c r="D43" s="16"/>
      <c r="E43" s="17"/>
      <c r="F43" s="32">
        <f>SUM(F44:F46)</f>
        <v>90.289999999999992</v>
      </c>
      <c r="G43" s="30">
        <f>F43*G$12*(1+I$9)</f>
        <v>6740.1485000000002</v>
      </c>
      <c r="H43" s="32"/>
      <c r="I43" s="30">
        <f>H43*I$12*(1+I$9)</f>
        <v>0</v>
      </c>
      <c r="J43" t="s">
        <v>95</v>
      </c>
      <c r="K43" s="41">
        <v>0.63</v>
      </c>
    </row>
    <row r="44" spans="1:11" ht="15" customHeight="1" thickBot="1" x14ac:dyDescent="0.3">
      <c r="A44" s="36" t="s">
        <v>81</v>
      </c>
      <c r="B44" s="37" t="s">
        <v>82</v>
      </c>
      <c r="C44" s="106">
        <f>G50*1.25</f>
        <v>21483.336875000001</v>
      </c>
      <c r="D44" s="16"/>
      <c r="E44" s="17"/>
      <c r="F44" s="31">
        <v>70</v>
      </c>
      <c r="G44" s="30">
        <f>F44*G$12*(1+I$9)</f>
        <v>5225.5</v>
      </c>
      <c r="H44" s="31">
        <v>0</v>
      </c>
      <c r="I44" s="30">
        <f>H44*I$12*(1+I$9)</f>
        <v>0</v>
      </c>
    </row>
    <row r="45" spans="1:11" ht="15.75" thickBot="1" x14ac:dyDescent="0.3">
      <c r="A45" s="39" t="s">
        <v>83</v>
      </c>
      <c r="B45" s="38" t="s">
        <v>84</v>
      </c>
      <c r="C45" s="42">
        <f>SUM(C7+C11+C16+C23+C33+C37+C41)</f>
        <v>142042.15375000003</v>
      </c>
      <c r="D45" s="23"/>
      <c r="F45" s="31">
        <v>10</v>
      </c>
      <c r="G45" s="30">
        <f>F45*G$12*(1+I$9)</f>
        <v>746.5</v>
      </c>
      <c r="H45" s="31">
        <v>0</v>
      </c>
      <c r="I45" s="30">
        <f>H45*I$12*(1+I$9)</f>
        <v>0</v>
      </c>
    </row>
    <row r="46" spans="1:11" x14ac:dyDescent="0.25">
      <c r="F46" s="31">
        <v>10.29</v>
      </c>
      <c r="G46" s="30">
        <f>F46*G$12*(1+I$9)</f>
        <v>768.14850000000001</v>
      </c>
      <c r="H46" s="31">
        <v>0</v>
      </c>
      <c r="I46" s="30">
        <f>H46*I$12*(1+I$9)</f>
        <v>0</v>
      </c>
    </row>
    <row r="47" spans="1:11" x14ac:dyDescent="0.25">
      <c r="F47" s="32">
        <f>SUM(F48:F50)</f>
        <v>1158.1299999999999</v>
      </c>
      <c r="G47" s="30">
        <f>F47*G$12*(1+I$9)</f>
        <v>86454.404500000004</v>
      </c>
      <c r="H47" s="32"/>
      <c r="I47" s="30">
        <f>H47*I$12*(1+I$9)</f>
        <v>0</v>
      </c>
      <c r="J47" t="s">
        <v>95</v>
      </c>
      <c r="K47" s="41">
        <v>8.08</v>
      </c>
    </row>
    <row r="48" spans="1:11" x14ac:dyDescent="0.25">
      <c r="F48" s="31">
        <v>403.75</v>
      </c>
      <c r="G48" s="30">
        <f>F48*G$12*(1+I$9)</f>
        <v>30139.937500000004</v>
      </c>
      <c r="H48" s="31">
        <v>0</v>
      </c>
      <c r="I48" s="30">
        <f>H48*I$12*(1+I$9)</f>
        <v>0</v>
      </c>
    </row>
    <row r="49" spans="1:11" x14ac:dyDescent="0.25">
      <c r="F49" s="33">
        <v>524.15</v>
      </c>
      <c r="G49" s="30">
        <f>F49*G$12*(1+I$9)</f>
        <v>39127.797500000001</v>
      </c>
      <c r="H49" s="33">
        <v>0</v>
      </c>
      <c r="I49" s="30">
        <f>H49*I$12*(1+I$9)</f>
        <v>0</v>
      </c>
    </row>
    <row r="50" spans="1:11" ht="15.75" thickBot="1" x14ac:dyDescent="0.3">
      <c r="F50" s="33">
        <v>230.23</v>
      </c>
      <c r="G50" s="30">
        <f>F50*G$12*(1+I$9)</f>
        <v>17186.6695</v>
      </c>
      <c r="H50" s="33">
        <v>0</v>
      </c>
      <c r="I50" s="30">
        <f>H50*I$12*(1+I$9)</f>
        <v>0</v>
      </c>
    </row>
    <row r="51" spans="1:11" x14ac:dyDescent="0.25">
      <c r="F51" s="34">
        <f>F13+F17+F22+F29+F39+F43+F47</f>
        <v>1522.2199999999998</v>
      </c>
      <c r="G51" s="35">
        <f>F51*G$12*(1+I$9)</f>
        <v>113633.723</v>
      </c>
      <c r="H51" s="34">
        <f>H13+H17+H22+H29+H39+H43+H47</f>
        <v>0</v>
      </c>
      <c r="I51" s="35">
        <f>H51*I$12*(1+I$9)</f>
        <v>0</v>
      </c>
      <c r="J51" t="s">
        <v>95</v>
      </c>
      <c r="K51" s="41">
        <f>K13+K17+K22+K29+K39+K43+K47</f>
        <v>10.620000000000001</v>
      </c>
    </row>
    <row r="53" spans="1:11" x14ac:dyDescent="0.25">
      <c r="A53" t="s">
        <v>84</v>
      </c>
    </row>
  </sheetData>
  <mergeCells count="6">
    <mergeCell ref="C4:D4"/>
    <mergeCell ref="F10:G10"/>
    <mergeCell ref="H10:I10"/>
    <mergeCell ref="C1:D1"/>
    <mergeCell ref="C2:D2"/>
    <mergeCell ref="C3:D3"/>
  </mergeCells>
  <phoneticPr fontId="16" type="noConversion"/>
  <pageMargins left="0.25" right="0.25" top="0.75" bottom="0.75" header="0.3" footer="0.3"/>
  <pageSetup paperSize="9" scale="60" orientation="landscape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A868-2F1A-408A-BE57-A11B2CC34495}">
  <dimension ref="A1:I56"/>
  <sheetViews>
    <sheetView topLeftCell="A15" workbookViewId="0">
      <selection activeCell="F7" sqref="F7"/>
    </sheetView>
  </sheetViews>
  <sheetFormatPr baseColWidth="10" defaultColWidth="9.140625" defaultRowHeight="15" x14ac:dyDescent="0.25"/>
  <cols>
    <col min="2" max="2" width="62.7109375" customWidth="1"/>
    <col min="4" max="4" width="16" customWidth="1"/>
    <col min="5" max="5" width="4.140625" customWidth="1"/>
    <col min="6" max="6" width="6" style="6" customWidth="1"/>
    <col min="7" max="7" width="14.140625" style="74" customWidth="1"/>
    <col min="8" max="8" width="4" style="74" customWidth="1"/>
    <col min="9" max="9" width="11" customWidth="1"/>
  </cols>
  <sheetData>
    <row r="1" spans="1:9" x14ac:dyDescent="0.25">
      <c r="G1" s="6"/>
      <c r="H1" s="45"/>
    </row>
    <row r="2" spans="1:9" x14ac:dyDescent="0.25">
      <c r="A2" s="2"/>
      <c r="B2" s="2"/>
      <c r="C2" s="3"/>
      <c r="D2" s="46" t="s">
        <v>0</v>
      </c>
      <c r="E2" s="47"/>
      <c r="G2" s="6"/>
      <c r="H2" s="6"/>
    </row>
    <row r="3" spans="1:9" x14ac:dyDescent="0.25">
      <c r="A3" s="2"/>
      <c r="B3" s="2">
        <v>10797.74</v>
      </c>
      <c r="C3" s="3"/>
      <c r="D3" s="46" t="s">
        <v>1</v>
      </c>
      <c r="E3" s="48"/>
      <c r="G3" s="6"/>
      <c r="H3" s="6"/>
      <c r="I3" t="s">
        <v>84</v>
      </c>
    </row>
    <row r="4" spans="1:9" x14ac:dyDescent="0.25">
      <c r="A4" s="2"/>
      <c r="B4" s="2"/>
      <c r="C4" s="3"/>
      <c r="D4" s="46" t="s">
        <v>88</v>
      </c>
      <c r="E4" s="49"/>
    </row>
    <row r="5" spans="1:9" ht="18.75" x14ac:dyDescent="0.3">
      <c r="A5" s="2"/>
      <c r="B5" s="2" t="s">
        <v>96</v>
      </c>
      <c r="C5" s="50" t="s">
        <v>3</v>
      </c>
      <c r="D5" s="46" t="s">
        <v>97</v>
      </c>
      <c r="E5" s="49"/>
      <c r="I5" s="90"/>
    </row>
    <row r="6" spans="1:9" x14ac:dyDescent="0.25">
      <c r="A6" s="2"/>
      <c r="B6" s="2"/>
      <c r="C6" s="50" t="s">
        <v>4</v>
      </c>
      <c r="D6" s="46" t="s">
        <v>84</v>
      </c>
      <c r="E6" s="49"/>
    </row>
    <row r="7" spans="1:9" s="130" customFormat="1" x14ac:dyDescent="0.25">
      <c r="A7" s="2"/>
      <c r="B7" s="240" t="s">
        <v>141</v>
      </c>
      <c r="C7" s="50" t="s">
        <v>148</v>
      </c>
      <c r="D7" s="132">
        <v>0</v>
      </c>
      <c r="E7" s="49"/>
      <c r="F7" s="140"/>
      <c r="G7" s="131"/>
      <c r="H7" s="131"/>
    </row>
    <row r="8" spans="1:9" x14ac:dyDescent="0.25">
      <c r="A8" s="2"/>
      <c r="B8" s="51" t="s">
        <v>7</v>
      </c>
      <c r="C8" s="52" t="s">
        <v>8</v>
      </c>
      <c r="D8" s="53">
        <v>13497.165096369999</v>
      </c>
      <c r="E8" s="54"/>
    </row>
    <row r="9" spans="1:9" x14ac:dyDescent="0.25">
      <c r="A9" s="2"/>
      <c r="B9" s="55" t="s">
        <v>9</v>
      </c>
      <c r="C9" s="56" t="s">
        <v>10</v>
      </c>
      <c r="D9" s="57">
        <v>6648.4552106748306</v>
      </c>
      <c r="E9" s="58"/>
    </row>
    <row r="10" spans="1:9" ht="15" customHeight="1" x14ac:dyDescent="0.25">
      <c r="A10" s="2"/>
      <c r="B10" s="55" t="s">
        <v>11</v>
      </c>
      <c r="C10" s="56" t="s">
        <v>12</v>
      </c>
      <c r="D10" s="57">
        <v>3484.4313453536761</v>
      </c>
      <c r="E10" s="58"/>
      <c r="I10" s="91"/>
    </row>
    <row r="11" spans="1:9" ht="15" customHeight="1" x14ac:dyDescent="0.25">
      <c r="A11" s="2"/>
      <c r="B11" s="55" t="s">
        <v>13</v>
      </c>
      <c r="C11" s="56" t="s">
        <v>14</v>
      </c>
      <c r="D11" s="57">
        <v>3364.2785403414805</v>
      </c>
      <c r="E11" s="58"/>
    </row>
    <row r="12" spans="1:9" ht="15" customHeight="1" x14ac:dyDescent="0.25">
      <c r="A12" s="2"/>
      <c r="B12" s="51" t="s">
        <v>15</v>
      </c>
      <c r="C12" s="52" t="s">
        <v>16</v>
      </c>
      <c r="D12" s="59">
        <v>3123.9729303170884</v>
      </c>
      <c r="E12" s="60"/>
    </row>
    <row r="13" spans="1:9" ht="15" customHeight="1" x14ac:dyDescent="0.25">
      <c r="A13" s="2"/>
      <c r="B13" s="55" t="s">
        <v>17</v>
      </c>
      <c r="C13" s="56" t="s">
        <v>18</v>
      </c>
      <c r="D13" s="57">
        <v>40.050935004065238</v>
      </c>
      <c r="E13" s="58"/>
    </row>
    <row r="14" spans="1:9" ht="15" customHeight="1" x14ac:dyDescent="0.25">
      <c r="A14" s="2"/>
      <c r="B14" s="61" t="s">
        <v>19</v>
      </c>
      <c r="C14" s="62" t="s">
        <v>20</v>
      </c>
      <c r="D14" s="63">
        <v>520.66215505284811</v>
      </c>
      <c r="E14" s="64"/>
      <c r="I14" s="91"/>
    </row>
    <row r="15" spans="1:9" ht="15" customHeight="1" x14ac:dyDescent="0.25">
      <c r="A15" s="2"/>
      <c r="B15" s="61" t="s">
        <v>21</v>
      </c>
      <c r="C15" s="62" t="s">
        <v>22</v>
      </c>
      <c r="D15" s="63">
        <v>1321.6808551341528</v>
      </c>
      <c r="E15" s="64"/>
    </row>
    <row r="16" spans="1:9" ht="15" customHeight="1" x14ac:dyDescent="0.25">
      <c r="A16" s="2"/>
      <c r="B16" s="55" t="s">
        <v>23</v>
      </c>
      <c r="C16" s="56" t="s">
        <v>24</v>
      </c>
      <c r="D16" s="57">
        <v>1241.5789851260224</v>
      </c>
      <c r="E16" s="58"/>
    </row>
    <row r="17" spans="1:9" ht="15" customHeight="1" x14ac:dyDescent="0.25">
      <c r="A17" s="2"/>
      <c r="B17" s="51" t="s">
        <v>25</v>
      </c>
      <c r="C17" s="52" t="s">
        <v>26</v>
      </c>
      <c r="D17" s="59">
        <v>11374.465541154526</v>
      </c>
      <c r="E17" s="60"/>
    </row>
    <row r="18" spans="1:9" ht="15" customHeight="1" x14ac:dyDescent="0.25">
      <c r="A18" s="2"/>
      <c r="B18" s="55" t="s">
        <v>27</v>
      </c>
      <c r="C18" s="56" t="s">
        <v>28</v>
      </c>
      <c r="D18" s="57">
        <v>10613.497776077287</v>
      </c>
      <c r="E18" s="58"/>
    </row>
    <row r="19" spans="1:9" ht="15" customHeight="1" x14ac:dyDescent="0.25">
      <c r="A19" s="2"/>
      <c r="B19" s="61" t="s">
        <v>29</v>
      </c>
      <c r="C19" s="62" t="s">
        <v>30</v>
      </c>
      <c r="D19" s="63">
        <v>760.96776507723951</v>
      </c>
      <c r="E19" s="64"/>
      <c r="I19" s="91"/>
    </row>
    <row r="20" spans="1:9" ht="15" customHeight="1" x14ac:dyDescent="0.25">
      <c r="A20" s="2"/>
      <c r="B20" s="55" t="s">
        <v>31</v>
      </c>
      <c r="C20" s="56" t="s">
        <v>32</v>
      </c>
      <c r="D20" s="57">
        <v>0</v>
      </c>
      <c r="E20" s="58"/>
    </row>
    <row r="21" spans="1:9" ht="15" customHeight="1" x14ac:dyDescent="0.25">
      <c r="A21" s="2"/>
      <c r="B21" s="55" t="s">
        <v>33</v>
      </c>
      <c r="C21" s="56" t="s">
        <v>34</v>
      </c>
      <c r="D21" s="57">
        <v>0</v>
      </c>
      <c r="E21" s="58"/>
    </row>
    <row r="22" spans="1:9" ht="15" customHeight="1" x14ac:dyDescent="0.25">
      <c r="A22" s="2"/>
      <c r="B22" s="55" t="s">
        <v>35</v>
      </c>
      <c r="C22" s="56" t="s">
        <v>36</v>
      </c>
      <c r="D22" s="57">
        <v>0</v>
      </c>
      <c r="E22" s="58"/>
    </row>
    <row r="23" spans="1:9" ht="15" customHeight="1" x14ac:dyDescent="0.25">
      <c r="A23" s="2"/>
      <c r="B23" s="65" t="s">
        <v>37</v>
      </c>
      <c r="C23" s="66" t="s">
        <v>38</v>
      </c>
      <c r="D23" s="57">
        <v>0</v>
      </c>
      <c r="E23" s="58"/>
    </row>
    <row r="24" spans="1:9" ht="15" customHeight="1" x14ac:dyDescent="0.25">
      <c r="A24" s="2"/>
      <c r="B24" s="51" t="s">
        <v>39</v>
      </c>
      <c r="C24" s="52" t="s">
        <v>40</v>
      </c>
      <c r="D24" s="59">
        <v>2723.4635802764365</v>
      </c>
      <c r="E24" s="67"/>
    </row>
    <row r="25" spans="1:9" ht="15" customHeight="1" x14ac:dyDescent="0.25">
      <c r="A25" s="2"/>
      <c r="B25" s="61" t="s">
        <v>98</v>
      </c>
      <c r="C25" s="62" t="s">
        <v>42</v>
      </c>
      <c r="D25" s="63">
        <v>2403.0561002439144</v>
      </c>
      <c r="E25" s="64"/>
    </row>
    <row r="26" spans="1:9" ht="15" customHeight="1" x14ac:dyDescent="0.25">
      <c r="A26" s="2"/>
      <c r="B26" s="69" t="s">
        <v>43</v>
      </c>
      <c r="C26" s="56" t="s">
        <v>44</v>
      </c>
      <c r="D26" s="57">
        <v>0</v>
      </c>
      <c r="E26" s="58"/>
      <c r="I26" s="91"/>
    </row>
    <row r="27" spans="1:9" ht="15" customHeight="1" x14ac:dyDescent="0.25">
      <c r="A27" s="2"/>
      <c r="B27" s="69" t="s">
        <v>45</v>
      </c>
      <c r="C27" s="56" t="s">
        <v>46</v>
      </c>
      <c r="D27" s="57">
        <v>0</v>
      </c>
      <c r="E27" s="58"/>
    </row>
    <row r="28" spans="1:9" ht="15" customHeight="1" x14ac:dyDescent="0.25">
      <c r="A28" s="2"/>
      <c r="B28" s="69" t="s">
        <v>47</v>
      </c>
      <c r="C28" s="56" t="s">
        <v>48</v>
      </c>
      <c r="D28" s="57">
        <v>0</v>
      </c>
      <c r="E28" s="58"/>
    </row>
    <row r="29" spans="1:9" ht="15" customHeight="1" x14ac:dyDescent="0.25">
      <c r="A29" s="2"/>
      <c r="B29" s="70" t="s">
        <v>99</v>
      </c>
      <c r="C29" s="66" t="s">
        <v>50</v>
      </c>
      <c r="D29" s="57">
        <v>320.4074800325219</v>
      </c>
      <c r="E29" s="58"/>
    </row>
    <row r="30" spans="1:9" ht="15" customHeight="1" x14ac:dyDescent="0.25">
      <c r="A30" s="2"/>
      <c r="B30" s="69" t="s">
        <v>51</v>
      </c>
      <c r="C30" s="56" t="s">
        <v>52</v>
      </c>
      <c r="D30" s="57">
        <v>0</v>
      </c>
      <c r="E30" s="58"/>
    </row>
    <row r="31" spans="1:9" ht="15" customHeight="1" x14ac:dyDescent="0.25">
      <c r="A31" s="2"/>
      <c r="B31" s="69" t="s">
        <v>53</v>
      </c>
      <c r="C31" s="56" t="s">
        <v>54</v>
      </c>
      <c r="D31" s="57">
        <v>0</v>
      </c>
      <c r="E31" s="58"/>
    </row>
    <row r="32" spans="1:9" ht="15" customHeight="1" x14ac:dyDescent="0.25">
      <c r="A32" s="2"/>
      <c r="B32" s="55" t="s">
        <v>55</v>
      </c>
      <c r="C32" s="56" t="s">
        <v>56</v>
      </c>
      <c r="D32" s="57">
        <v>0</v>
      </c>
      <c r="E32" s="58"/>
    </row>
    <row r="33" spans="1:9" ht="15" customHeight="1" x14ac:dyDescent="0.25">
      <c r="A33" s="2"/>
      <c r="B33" s="55" t="s">
        <v>57</v>
      </c>
      <c r="C33" s="56" t="s">
        <v>58</v>
      </c>
      <c r="D33" s="57">
        <v>0</v>
      </c>
      <c r="E33" s="58"/>
      <c r="I33" t="s">
        <v>84</v>
      </c>
    </row>
    <row r="34" spans="1:9" ht="15" customHeight="1" x14ac:dyDescent="0.25">
      <c r="A34" s="2"/>
      <c r="B34" s="51" t="s">
        <v>59</v>
      </c>
      <c r="C34" s="52" t="s">
        <v>60</v>
      </c>
      <c r="D34" s="59">
        <v>33402.479793390412</v>
      </c>
      <c r="E34" s="67"/>
    </row>
    <row r="35" spans="1:9" ht="15" customHeight="1" x14ac:dyDescent="0.25">
      <c r="A35" s="2"/>
      <c r="B35" s="65" t="s">
        <v>61</v>
      </c>
      <c r="C35" s="66" t="s">
        <v>62</v>
      </c>
      <c r="D35" s="57">
        <v>33402.479793390412</v>
      </c>
      <c r="E35" s="58"/>
    </row>
    <row r="36" spans="1:9" ht="15" customHeight="1" x14ac:dyDescent="0.25">
      <c r="A36" s="2"/>
      <c r="B36" s="65" t="s">
        <v>100</v>
      </c>
      <c r="C36" s="66" t="s">
        <v>64</v>
      </c>
      <c r="D36" s="57">
        <v>0</v>
      </c>
      <c r="E36" s="58"/>
    </row>
    <row r="37" spans="1:9" ht="15" customHeight="1" x14ac:dyDescent="0.25">
      <c r="A37" s="2"/>
      <c r="B37" s="65" t="s">
        <v>65</v>
      </c>
      <c r="C37" s="66" t="s">
        <v>66</v>
      </c>
      <c r="D37" s="57">
        <v>0</v>
      </c>
      <c r="E37" s="58"/>
    </row>
    <row r="38" spans="1:9" ht="15" customHeight="1" x14ac:dyDescent="0.25">
      <c r="A38" s="2"/>
      <c r="B38" s="51" t="s">
        <v>67</v>
      </c>
      <c r="C38" s="52" t="s">
        <v>68</v>
      </c>
      <c r="D38" s="59">
        <v>5847.4365105935249</v>
      </c>
      <c r="E38" s="67"/>
    </row>
    <row r="39" spans="1:9" ht="15" customHeight="1" x14ac:dyDescent="0.25">
      <c r="A39" s="2"/>
      <c r="B39" s="61" t="s">
        <v>69</v>
      </c>
      <c r="C39" s="62" t="s">
        <v>70</v>
      </c>
      <c r="D39" s="63">
        <v>4886.2140704959593</v>
      </c>
      <c r="E39" s="64"/>
    </row>
    <row r="40" spans="1:9" ht="15" customHeight="1" x14ac:dyDescent="0.25">
      <c r="A40" s="2"/>
      <c r="B40" s="55" t="s">
        <v>71</v>
      </c>
      <c r="C40" s="56" t="s">
        <v>72</v>
      </c>
      <c r="D40" s="57">
        <v>961.22244009756571</v>
      </c>
      <c r="E40" s="58"/>
      <c r="I40" s="91"/>
    </row>
    <row r="41" spans="1:9" ht="15" customHeight="1" x14ac:dyDescent="0.25">
      <c r="A41" s="2"/>
      <c r="B41" s="55" t="s">
        <v>73</v>
      </c>
      <c r="C41" s="56" t="s">
        <v>74</v>
      </c>
      <c r="D41" s="57">
        <v>0</v>
      </c>
      <c r="E41" s="58"/>
    </row>
    <row r="42" spans="1:9" ht="15" customHeight="1" x14ac:dyDescent="0.25">
      <c r="A42" s="2"/>
      <c r="B42" s="51" t="s">
        <v>75</v>
      </c>
      <c r="C42" s="52" t="s">
        <v>76</v>
      </c>
      <c r="D42" s="59">
        <v>1682.13927017074</v>
      </c>
      <c r="E42" s="67"/>
    </row>
    <row r="43" spans="1:9" ht="15" customHeight="1" x14ac:dyDescent="0.25">
      <c r="A43" s="2"/>
      <c r="B43" s="61" t="s">
        <v>77</v>
      </c>
      <c r="C43" s="62" t="s">
        <v>78</v>
      </c>
      <c r="D43" s="63">
        <v>240.30561002439143</v>
      </c>
      <c r="E43" s="64"/>
    </row>
    <row r="44" spans="1:9" ht="15" customHeight="1" x14ac:dyDescent="0.25">
      <c r="A44" s="2"/>
      <c r="B44" s="61" t="s">
        <v>79</v>
      </c>
      <c r="C44" s="62" t="s">
        <v>80</v>
      </c>
      <c r="D44" s="64">
        <v>720.91683007317431</v>
      </c>
      <c r="E44" s="64"/>
    </row>
    <row r="45" spans="1:9" ht="15" customHeight="1" thickBot="1" x14ac:dyDescent="0.3">
      <c r="A45" s="2"/>
      <c r="B45" s="61" t="s">
        <v>81</v>
      </c>
      <c r="C45" s="62" t="s">
        <v>82</v>
      </c>
      <c r="D45" s="64">
        <v>720.91683007317431</v>
      </c>
      <c r="E45" s="64"/>
    </row>
    <row r="46" spans="1:9" ht="15" customHeight="1" thickBot="1" x14ac:dyDescent="0.3">
      <c r="A46" s="2"/>
      <c r="B46" s="71" t="s">
        <v>84</v>
      </c>
      <c r="C46" s="3" t="s">
        <v>84</v>
      </c>
      <c r="D46" s="72">
        <f>SUM(D8+D12+D17+D24+D34+D38+D42)</f>
        <v>71651.122722272732</v>
      </c>
      <c r="E46" s="73"/>
    </row>
    <row r="47" spans="1:9" ht="15" customHeight="1" x14ac:dyDescent="0.25"/>
    <row r="48" spans="1:9" x14ac:dyDescent="0.25">
      <c r="I48" s="91"/>
    </row>
    <row r="49" spans="4:5" x14ac:dyDescent="0.25">
      <c r="D49" s="2"/>
    </row>
    <row r="56" spans="4:5" x14ac:dyDescent="0.25">
      <c r="E56" t="s">
        <v>84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882F-79A5-4375-B1B5-4FE1DB72BAE3}">
  <dimension ref="A1:H56"/>
  <sheetViews>
    <sheetView workbookViewId="0">
      <selection activeCell="D7" sqref="D7"/>
    </sheetView>
  </sheetViews>
  <sheetFormatPr baseColWidth="10" defaultColWidth="9.140625" defaultRowHeight="15" x14ac:dyDescent="0.25"/>
  <cols>
    <col min="2" max="2" width="59.28515625" customWidth="1"/>
    <col min="4" max="4" width="15.85546875" customWidth="1"/>
    <col min="5" max="5" width="6.42578125" customWidth="1"/>
    <col min="6" max="6" width="14.140625" style="74" customWidth="1"/>
    <col min="7" max="7" width="4" style="74" customWidth="1"/>
    <col min="8" max="8" width="14.42578125" style="4" customWidth="1"/>
  </cols>
  <sheetData>
    <row r="1" spans="1:8" x14ac:dyDescent="0.25">
      <c r="F1" s="6"/>
      <c r="G1" s="45"/>
    </row>
    <row r="2" spans="1:8" x14ac:dyDescent="0.25">
      <c r="A2" s="2"/>
      <c r="B2" s="2"/>
      <c r="C2" s="3"/>
      <c r="D2" s="95" t="s">
        <v>0</v>
      </c>
      <c r="E2" s="47"/>
      <c r="F2" s="6"/>
      <c r="G2" s="6"/>
    </row>
    <row r="3" spans="1:8" x14ac:dyDescent="0.25">
      <c r="A3" s="2"/>
      <c r="B3" s="2"/>
      <c r="C3" s="3"/>
      <c r="D3" s="95" t="s">
        <v>146</v>
      </c>
      <c r="E3" s="48"/>
      <c r="F3" s="6"/>
      <c r="G3" s="6"/>
    </row>
    <row r="4" spans="1:8" x14ac:dyDescent="0.25">
      <c r="A4" s="2"/>
      <c r="B4" s="2"/>
      <c r="C4" s="3"/>
      <c r="D4" s="95" t="s">
        <v>88</v>
      </c>
      <c r="E4" s="49"/>
    </row>
    <row r="5" spans="1:8" x14ac:dyDescent="0.25">
      <c r="A5" s="2"/>
      <c r="B5" s="2" t="s">
        <v>101</v>
      </c>
      <c r="C5" s="50" t="s">
        <v>3</v>
      </c>
      <c r="D5" s="95" t="s">
        <v>97</v>
      </c>
      <c r="E5" s="49"/>
    </row>
    <row r="6" spans="1:8" x14ac:dyDescent="0.25">
      <c r="A6" s="2"/>
      <c r="B6" s="2"/>
      <c r="C6" s="50" t="s">
        <v>4</v>
      </c>
      <c r="D6" s="46" t="s">
        <v>84</v>
      </c>
      <c r="E6" s="49"/>
    </row>
    <row r="7" spans="1:8" s="130" customFormat="1" x14ac:dyDescent="0.25">
      <c r="A7" s="2"/>
      <c r="B7" s="240" t="s">
        <v>141</v>
      </c>
      <c r="C7" s="50" t="s">
        <v>148</v>
      </c>
      <c r="D7" s="132">
        <v>0</v>
      </c>
      <c r="E7" s="49"/>
      <c r="F7" s="131"/>
      <c r="G7" s="131"/>
      <c r="H7" s="4"/>
    </row>
    <row r="8" spans="1:8" x14ac:dyDescent="0.25">
      <c r="A8" s="2"/>
      <c r="B8" s="51" t="s">
        <v>7</v>
      </c>
      <c r="C8" s="52" t="s">
        <v>8</v>
      </c>
      <c r="D8" s="53">
        <f>SUM(D9:D11)*1.25</f>
        <v>1875.625</v>
      </c>
      <c r="E8" s="54"/>
    </row>
    <row r="9" spans="1:8" x14ac:dyDescent="0.25">
      <c r="B9" s="55" t="s">
        <v>9</v>
      </c>
      <c r="C9" s="56" t="s">
        <v>10</v>
      </c>
      <c r="D9" s="57">
        <v>780.13</v>
      </c>
      <c r="E9" s="57"/>
    </row>
    <row r="10" spans="1:8" ht="15" customHeight="1" x14ac:dyDescent="0.25">
      <c r="B10" s="55" t="s">
        <v>11</v>
      </c>
      <c r="C10" s="56" t="s">
        <v>12</v>
      </c>
      <c r="D10" s="57">
        <v>194.2</v>
      </c>
      <c r="E10" s="58"/>
    </row>
    <row r="11" spans="1:8" ht="15" customHeight="1" x14ac:dyDescent="0.25">
      <c r="B11" s="55" t="s">
        <v>13</v>
      </c>
      <c r="C11" s="56" t="s">
        <v>14</v>
      </c>
      <c r="D11" s="57">
        <v>526.16999999999996</v>
      </c>
      <c r="E11" s="58"/>
    </row>
    <row r="12" spans="1:8" ht="15" customHeight="1" x14ac:dyDescent="0.25">
      <c r="A12" s="2"/>
      <c r="B12" s="51" t="s">
        <v>15</v>
      </c>
      <c r="C12" s="52" t="s">
        <v>16</v>
      </c>
      <c r="D12" s="59">
        <f>SUM(D13:D16)*1.25</f>
        <v>174.28750000000002</v>
      </c>
      <c r="E12" s="60"/>
    </row>
    <row r="13" spans="1:8" ht="15" customHeight="1" x14ac:dyDescent="0.25">
      <c r="A13" s="2"/>
      <c r="B13" s="55" t="s">
        <v>17</v>
      </c>
      <c r="C13" s="56" t="s">
        <v>18</v>
      </c>
      <c r="D13" s="57">
        <v>0</v>
      </c>
      <c r="E13" s="58"/>
    </row>
    <row r="14" spans="1:8" ht="15" customHeight="1" x14ac:dyDescent="0.25">
      <c r="A14" s="2"/>
      <c r="B14" s="55" t="s">
        <v>19</v>
      </c>
      <c r="C14" s="56" t="s">
        <v>20</v>
      </c>
      <c r="D14" s="57">
        <v>0</v>
      </c>
      <c r="E14" s="58"/>
    </row>
    <row r="15" spans="1:8" ht="15" customHeight="1" x14ac:dyDescent="0.25">
      <c r="B15" s="55" t="s">
        <v>21</v>
      </c>
      <c r="C15" s="56" t="s">
        <v>22</v>
      </c>
      <c r="D15" s="57">
        <v>139.43</v>
      </c>
      <c r="E15" s="58"/>
    </row>
    <row r="16" spans="1:8" ht="15" customHeight="1" x14ac:dyDescent="0.25">
      <c r="A16" s="2"/>
      <c r="B16" s="55" t="s">
        <v>23</v>
      </c>
      <c r="C16" s="56" t="s">
        <v>24</v>
      </c>
      <c r="D16" s="57">
        <v>0</v>
      </c>
      <c r="E16" s="58"/>
    </row>
    <row r="17" spans="1:5" ht="15" customHeight="1" x14ac:dyDescent="0.25">
      <c r="A17" s="2"/>
      <c r="B17" s="51" t="s">
        <v>25</v>
      </c>
      <c r="C17" s="52" t="s">
        <v>26</v>
      </c>
      <c r="D17" s="59">
        <f>SUM(D18:D23)*1.25</f>
        <v>2002.375</v>
      </c>
      <c r="E17" s="60"/>
    </row>
    <row r="18" spans="1:5" ht="15" customHeight="1" x14ac:dyDescent="0.25">
      <c r="A18" s="2"/>
      <c r="B18" s="55" t="s">
        <v>27</v>
      </c>
      <c r="C18" s="56" t="s">
        <v>28</v>
      </c>
      <c r="D18" s="57">
        <v>1601.9</v>
      </c>
      <c r="E18" s="58"/>
    </row>
    <row r="19" spans="1:5" ht="15" customHeight="1" x14ac:dyDescent="0.25">
      <c r="A19" s="2"/>
      <c r="B19" s="55" t="s">
        <v>29</v>
      </c>
      <c r="C19" s="56" t="s">
        <v>30</v>
      </c>
      <c r="D19" s="57">
        <v>0</v>
      </c>
      <c r="E19" s="58"/>
    </row>
    <row r="20" spans="1:5" ht="15" customHeight="1" x14ac:dyDescent="0.25">
      <c r="A20" s="2"/>
      <c r="B20" s="55" t="s">
        <v>31</v>
      </c>
      <c r="C20" s="56" t="s">
        <v>32</v>
      </c>
      <c r="D20" s="57">
        <v>0</v>
      </c>
      <c r="E20" s="58"/>
    </row>
    <row r="21" spans="1:5" ht="15" customHeight="1" x14ac:dyDescent="0.25">
      <c r="A21" s="2"/>
      <c r="B21" s="55" t="s">
        <v>33</v>
      </c>
      <c r="C21" s="56" t="s">
        <v>34</v>
      </c>
      <c r="D21" s="57">
        <v>0</v>
      </c>
      <c r="E21" s="58"/>
    </row>
    <row r="22" spans="1:5" ht="15" customHeight="1" x14ac:dyDescent="0.25">
      <c r="A22" s="2"/>
      <c r="B22" s="55" t="s">
        <v>35</v>
      </c>
      <c r="C22" s="56" t="s">
        <v>36</v>
      </c>
      <c r="D22" s="57">
        <v>0</v>
      </c>
      <c r="E22" s="58"/>
    </row>
    <row r="23" spans="1:5" ht="15" customHeight="1" x14ac:dyDescent="0.25">
      <c r="A23" s="2"/>
      <c r="B23" s="65" t="s">
        <v>37</v>
      </c>
      <c r="C23" s="66" t="s">
        <v>38</v>
      </c>
      <c r="D23" s="57">
        <v>0</v>
      </c>
      <c r="E23" s="58"/>
    </row>
    <row r="24" spans="1:5" ht="15" customHeight="1" x14ac:dyDescent="0.25">
      <c r="A24" s="2"/>
      <c r="B24" s="51" t="s">
        <v>39</v>
      </c>
      <c r="C24" s="52" t="s">
        <v>40</v>
      </c>
      <c r="D24" s="59">
        <f>SUM(D25:D33)*1.25</f>
        <v>58.099999999999994</v>
      </c>
      <c r="E24" s="67"/>
    </row>
    <row r="25" spans="1:5" ht="15" customHeight="1" x14ac:dyDescent="0.25">
      <c r="A25" s="2"/>
      <c r="B25" s="69" t="s">
        <v>102</v>
      </c>
      <c r="C25" s="56" t="s">
        <v>42</v>
      </c>
      <c r="D25" s="57">
        <v>46.48</v>
      </c>
      <c r="E25" s="58"/>
    </row>
    <row r="26" spans="1:5" ht="15" customHeight="1" x14ac:dyDescent="0.25">
      <c r="A26" s="2"/>
      <c r="B26" s="69" t="s">
        <v>43</v>
      </c>
      <c r="C26" s="56" t="s">
        <v>44</v>
      </c>
      <c r="D26" s="57">
        <v>0</v>
      </c>
      <c r="E26" s="58"/>
    </row>
    <row r="27" spans="1:5" ht="15" customHeight="1" x14ac:dyDescent="0.25">
      <c r="A27" s="2"/>
      <c r="B27" s="69" t="s">
        <v>45</v>
      </c>
      <c r="C27" s="56" t="s">
        <v>46</v>
      </c>
      <c r="D27" s="57">
        <v>0</v>
      </c>
      <c r="E27" s="58"/>
    </row>
    <row r="28" spans="1:5" ht="15" customHeight="1" x14ac:dyDescent="0.25">
      <c r="A28" s="2"/>
      <c r="B28" s="69" t="s">
        <v>47</v>
      </c>
      <c r="C28" s="56" t="s">
        <v>48</v>
      </c>
      <c r="D28" s="57">
        <v>0</v>
      </c>
      <c r="E28" s="58"/>
    </row>
    <row r="29" spans="1:5" ht="15" customHeight="1" x14ac:dyDescent="0.25">
      <c r="A29" s="2"/>
      <c r="B29" s="70" t="s">
        <v>99</v>
      </c>
      <c r="C29" s="66" t="s">
        <v>50</v>
      </c>
      <c r="D29" s="57">
        <v>0</v>
      </c>
      <c r="E29" s="58"/>
    </row>
    <row r="30" spans="1:5" ht="15" customHeight="1" x14ac:dyDescent="0.25">
      <c r="A30" s="2"/>
      <c r="B30" s="69" t="s">
        <v>51</v>
      </c>
      <c r="C30" s="56" t="s">
        <v>52</v>
      </c>
      <c r="D30" s="57">
        <v>0</v>
      </c>
      <c r="E30" s="58"/>
    </row>
    <row r="31" spans="1:5" ht="15" customHeight="1" x14ac:dyDescent="0.25">
      <c r="A31" s="2"/>
      <c r="B31" s="69" t="s">
        <v>53</v>
      </c>
      <c r="C31" s="56" t="s">
        <v>54</v>
      </c>
      <c r="D31" s="57">
        <v>0</v>
      </c>
      <c r="E31" s="58"/>
    </row>
    <row r="32" spans="1:5" ht="15" customHeight="1" x14ac:dyDescent="0.25">
      <c r="A32" s="2"/>
      <c r="B32" s="55" t="s">
        <v>55</v>
      </c>
      <c r="C32" s="56" t="s">
        <v>56</v>
      </c>
      <c r="D32" s="57">
        <v>0</v>
      </c>
      <c r="E32" s="58"/>
    </row>
    <row r="33" spans="1:5" ht="15" customHeight="1" x14ac:dyDescent="0.25">
      <c r="A33" s="2"/>
      <c r="B33" s="55" t="s">
        <v>57</v>
      </c>
      <c r="C33" s="56" t="s">
        <v>58</v>
      </c>
      <c r="D33" s="57">
        <v>0</v>
      </c>
      <c r="E33" s="58"/>
    </row>
    <row r="34" spans="1:5" ht="15" customHeight="1" x14ac:dyDescent="0.25">
      <c r="A34" s="2"/>
      <c r="B34" s="51" t="s">
        <v>59</v>
      </c>
      <c r="C34" s="52" t="s">
        <v>60</v>
      </c>
      <c r="D34" s="59">
        <f>SUM(D35:D37)*1.25</f>
        <v>87.15</v>
      </c>
      <c r="E34" s="67"/>
    </row>
    <row r="35" spans="1:5" ht="15" customHeight="1" x14ac:dyDescent="0.25">
      <c r="A35" s="2"/>
      <c r="B35" s="65" t="s">
        <v>61</v>
      </c>
      <c r="C35" s="66" t="s">
        <v>62</v>
      </c>
      <c r="D35" s="57">
        <v>69.72</v>
      </c>
      <c r="E35" s="58"/>
    </row>
    <row r="36" spans="1:5" ht="15" customHeight="1" x14ac:dyDescent="0.25">
      <c r="A36" s="2"/>
      <c r="B36" s="65" t="s">
        <v>100</v>
      </c>
      <c r="C36" s="66" t="s">
        <v>64</v>
      </c>
      <c r="D36" s="57">
        <v>0</v>
      </c>
      <c r="E36" s="58"/>
    </row>
    <row r="37" spans="1:5" ht="15" customHeight="1" x14ac:dyDescent="0.25">
      <c r="A37" s="2"/>
      <c r="B37" s="65" t="s">
        <v>65</v>
      </c>
      <c r="C37" s="66" t="s">
        <v>66</v>
      </c>
      <c r="D37" s="57">
        <v>0</v>
      </c>
      <c r="E37" s="58"/>
    </row>
    <row r="38" spans="1:5" ht="15" customHeight="1" x14ac:dyDescent="0.25">
      <c r="A38" s="2"/>
      <c r="B38" s="51" t="s">
        <v>67</v>
      </c>
      <c r="C38" s="52" t="s">
        <v>68</v>
      </c>
      <c r="D38" s="59">
        <f>SUM(D39:D41)*1.25</f>
        <v>25103.862499999999</v>
      </c>
      <c r="E38" s="67"/>
    </row>
    <row r="39" spans="1:5" ht="15" customHeight="1" x14ac:dyDescent="0.25">
      <c r="A39" s="2"/>
      <c r="B39" s="55" t="s">
        <v>69</v>
      </c>
      <c r="C39" s="56" t="s">
        <v>70</v>
      </c>
      <c r="D39" s="57">
        <f>9569.4+7278.1</f>
        <v>16847.5</v>
      </c>
      <c r="E39" s="58"/>
    </row>
    <row r="40" spans="1:5" ht="15" customHeight="1" x14ac:dyDescent="0.25">
      <c r="A40" s="2"/>
      <c r="B40" s="55" t="s">
        <v>71</v>
      </c>
      <c r="C40" s="56" t="s">
        <v>72</v>
      </c>
      <c r="D40" s="57">
        <f>3235.59</f>
        <v>3235.59</v>
      </c>
      <c r="E40" s="58"/>
    </row>
    <row r="41" spans="1:5" ht="15" customHeight="1" x14ac:dyDescent="0.25">
      <c r="A41" s="2"/>
      <c r="B41" s="55" t="s">
        <v>73</v>
      </c>
      <c r="C41" s="56" t="s">
        <v>74</v>
      </c>
      <c r="D41" s="57">
        <v>0</v>
      </c>
      <c r="E41" s="58"/>
    </row>
    <row r="42" spans="1:5" ht="15" customHeight="1" x14ac:dyDescent="0.25">
      <c r="A42" s="2"/>
      <c r="B42" s="51" t="s">
        <v>75</v>
      </c>
      <c r="C42" s="52" t="s">
        <v>76</v>
      </c>
      <c r="D42" s="59">
        <f>SUM(D43:D45)*1.25</f>
        <v>0</v>
      </c>
      <c r="E42" s="67"/>
    </row>
    <row r="43" spans="1:5" ht="15" customHeight="1" x14ac:dyDescent="0.25">
      <c r="A43" s="2"/>
      <c r="B43" s="55" t="s">
        <v>77</v>
      </c>
      <c r="C43" s="56" t="s">
        <v>78</v>
      </c>
      <c r="D43" s="57">
        <v>0</v>
      </c>
      <c r="E43" s="58"/>
    </row>
    <row r="44" spans="1:5" ht="15" customHeight="1" x14ac:dyDescent="0.25">
      <c r="A44" s="2"/>
      <c r="B44" s="55" t="s">
        <v>79</v>
      </c>
      <c r="C44" s="56" t="s">
        <v>80</v>
      </c>
      <c r="D44" s="75">
        <v>0</v>
      </c>
      <c r="E44" s="58"/>
    </row>
    <row r="45" spans="1:5" ht="15" customHeight="1" thickBot="1" x14ac:dyDescent="0.3">
      <c r="A45" s="2"/>
      <c r="B45" s="69" t="s">
        <v>81</v>
      </c>
      <c r="C45" s="56" t="s">
        <v>82</v>
      </c>
      <c r="D45" s="75">
        <v>0</v>
      </c>
      <c r="E45" s="58"/>
    </row>
    <row r="46" spans="1:5" ht="15" customHeight="1" thickBot="1" x14ac:dyDescent="0.3">
      <c r="A46" s="2"/>
      <c r="B46" s="71" t="s">
        <v>83</v>
      </c>
      <c r="C46" s="3" t="s">
        <v>84</v>
      </c>
      <c r="D46" s="72">
        <f>D8+D12+D17+D24+D34+D38+D42</f>
        <v>29301.399999999998</v>
      </c>
      <c r="E46" s="73"/>
    </row>
    <row r="47" spans="1:5" ht="15" customHeight="1" x14ac:dyDescent="0.25"/>
    <row r="49" spans="4:6" x14ac:dyDescent="0.25">
      <c r="D49" s="2"/>
      <c r="F49" s="76"/>
    </row>
    <row r="50" spans="4:6" x14ac:dyDescent="0.25">
      <c r="F50" s="77"/>
    </row>
    <row r="56" spans="4:6" x14ac:dyDescent="0.25">
      <c r="E56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6C03-E127-4DEB-8139-F0D0EB0ADD21}">
  <dimension ref="B1:I50"/>
  <sheetViews>
    <sheetView workbookViewId="0">
      <selection activeCell="E9" sqref="E9"/>
    </sheetView>
  </sheetViews>
  <sheetFormatPr baseColWidth="10" defaultColWidth="9.140625" defaultRowHeight="15" x14ac:dyDescent="0.25"/>
  <cols>
    <col min="3" max="3" width="5.140625" customWidth="1"/>
    <col min="4" max="4" width="9.140625" hidden="1" customWidth="1"/>
    <col min="5" max="5" width="65" customWidth="1"/>
    <col min="6" max="6" width="6" style="6" customWidth="1"/>
    <col min="7" max="7" width="14.140625" style="74" customWidth="1"/>
    <col min="8" max="8" width="4" style="74" customWidth="1"/>
    <col min="9" max="9" width="14.28515625" style="4" customWidth="1"/>
  </cols>
  <sheetData>
    <row r="1" spans="3:9" x14ac:dyDescent="0.25">
      <c r="G1" s="6"/>
      <c r="H1" s="45"/>
    </row>
    <row r="2" spans="3:9" x14ac:dyDescent="0.25">
      <c r="E2" s="6"/>
      <c r="G2" s="6"/>
      <c r="H2" s="6"/>
    </row>
    <row r="3" spans="3:9" x14ac:dyDescent="0.25">
      <c r="E3" t="s">
        <v>84</v>
      </c>
      <c r="G3" s="6"/>
      <c r="H3" s="6"/>
    </row>
    <row r="4" spans="3:9" x14ac:dyDescent="0.25">
      <c r="D4" s="2"/>
      <c r="E4" s="2"/>
      <c r="F4" s="3"/>
      <c r="G4" s="95" t="s">
        <v>0</v>
      </c>
      <c r="H4" s="47"/>
      <c r="I4" s="95" t="s">
        <v>0</v>
      </c>
    </row>
    <row r="5" spans="3:9" x14ac:dyDescent="0.25">
      <c r="D5" s="2"/>
      <c r="E5" s="2"/>
      <c r="F5" s="3"/>
      <c r="G5" s="95" t="s">
        <v>130</v>
      </c>
      <c r="H5" s="48"/>
      <c r="I5" s="95" t="s">
        <v>147</v>
      </c>
    </row>
    <row r="6" spans="3:9" x14ac:dyDescent="0.25">
      <c r="D6" s="2"/>
      <c r="E6" s="2"/>
      <c r="F6" s="3"/>
      <c r="G6" s="95" t="s">
        <v>88</v>
      </c>
      <c r="H6" s="49"/>
      <c r="I6" s="95" t="s">
        <v>88</v>
      </c>
    </row>
    <row r="7" spans="3:9" x14ac:dyDescent="0.25">
      <c r="D7" s="2"/>
      <c r="E7" s="2" t="s">
        <v>103</v>
      </c>
      <c r="F7" s="50" t="s">
        <v>3</v>
      </c>
      <c r="G7" s="95" t="s">
        <v>97</v>
      </c>
      <c r="H7" s="49"/>
      <c r="I7" s="95" t="s">
        <v>97</v>
      </c>
    </row>
    <row r="8" spans="3:9" s="130" customFormat="1" x14ac:dyDescent="0.25">
      <c r="D8" s="2"/>
      <c r="E8" s="2"/>
      <c r="F8" s="50" t="s">
        <v>4</v>
      </c>
      <c r="G8" s="95"/>
      <c r="H8" s="49"/>
      <c r="I8" s="95"/>
    </row>
    <row r="9" spans="3:9" x14ac:dyDescent="0.25">
      <c r="D9" s="2"/>
      <c r="E9" s="240" t="s">
        <v>141</v>
      </c>
      <c r="F9" s="50" t="s">
        <v>148</v>
      </c>
      <c r="G9" s="132">
        <v>0</v>
      </c>
      <c r="H9" s="49"/>
      <c r="I9" s="46">
        <v>0</v>
      </c>
    </row>
    <row r="10" spans="3:9" ht="22.5" x14ac:dyDescent="0.25">
      <c r="D10" s="2"/>
      <c r="E10" s="51" t="s">
        <v>7</v>
      </c>
      <c r="F10" s="52" t="s">
        <v>8</v>
      </c>
      <c r="G10" s="53">
        <f>SUM(G11:G13)</f>
        <v>5458.7341963636372</v>
      </c>
      <c r="H10" s="54"/>
      <c r="I10" s="53">
        <f>SUM(I11:I13)</f>
        <v>6823.4177454545461</v>
      </c>
    </row>
    <row r="11" spans="3:9" ht="22.5" x14ac:dyDescent="0.25">
      <c r="D11" s="2"/>
      <c r="E11" s="55" t="s">
        <v>9</v>
      </c>
      <c r="F11" s="56" t="s">
        <v>10</v>
      </c>
      <c r="G11" s="57">
        <v>406.9445454545455</v>
      </c>
      <c r="H11" s="58"/>
      <c r="I11" s="57">
        <f>SUM(G11:H11)*1.25</f>
        <v>508.68068181818188</v>
      </c>
    </row>
    <row r="12" spans="3:9" x14ac:dyDescent="0.25">
      <c r="D12" s="2"/>
      <c r="E12" s="55" t="s">
        <v>11</v>
      </c>
      <c r="F12" s="56" t="s">
        <v>12</v>
      </c>
      <c r="G12" s="57">
        <v>2033.1410454545455</v>
      </c>
      <c r="H12" s="58"/>
      <c r="I12" s="57">
        <f>SUM(G12:H12)*1.25</f>
        <v>2541.4263068181817</v>
      </c>
    </row>
    <row r="13" spans="3:9" x14ac:dyDescent="0.25">
      <c r="D13" s="2"/>
      <c r="E13" s="55" t="s">
        <v>13</v>
      </c>
      <c r="F13" s="56" t="s">
        <v>14</v>
      </c>
      <c r="G13" s="57">
        <v>3018.6486054545458</v>
      </c>
      <c r="H13" s="58"/>
      <c r="I13" s="57">
        <f>SUM(G13:H13)*1.25</f>
        <v>3773.3107568181822</v>
      </c>
    </row>
    <row r="14" spans="3:9" ht="22.5" x14ac:dyDescent="0.25">
      <c r="C14" t="s">
        <v>84</v>
      </c>
      <c r="D14" s="2"/>
      <c r="E14" s="51" t="s">
        <v>15</v>
      </c>
      <c r="F14" s="52" t="s">
        <v>16</v>
      </c>
      <c r="G14" s="53">
        <f>SUM(G15:G17)</f>
        <v>2969.5443909090909</v>
      </c>
      <c r="H14" s="60"/>
      <c r="I14" s="53">
        <f>SUM(I15:I17)</f>
        <v>3711.9304886363634</v>
      </c>
    </row>
    <row r="15" spans="3:9" ht="22.5" x14ac:dyDescent="0.25">
      <c r="D15" s="2"/>
      <c r="E15" s="55" t="s">
        <v>17</v>
      </c>
      <c r="F15" s="56" t="s">
        <v>18</v>
      </c>
      <c r="G15" s="57">
        <v>1453.0095454545456</v>
      </c>
      <c r="H15" s="58"/>
      <c r="I15" s="57">
        <f>SUM(G15)*1.25</f>
        <v>1816.2619318181819</v>
      </c>
    </row>
    <row r="16" spans="3:9" x14ac:dyDescent="0.25">
      <c r="D16" s="2"/>
      <c r="E16" s="55" t="s">
        <v>19</v>
      </c>
      <c r="F16" s="56" t="s">
        <v>20</v>
      </c>
      <c r="G16" s="57">
        <v>0</v>
      </c>
      <c r="H16" s="58"/>
      <c r="I16" s="57">
        <f>SUM(G16)*1.25</f>
        <v>0</v>
      </c>
    </row>
    <row r="17" spans="2:9" x14ac:dyDescent="0.25">
      <c r="D17" s="2"/>
      <c r="E17" s="55" t="s">
        <v>21</v>
      </c>
      <c r="F17" s="56" t="s">
        <v>22</v>
      </c>
      <c r="G17" s="57">
        <v>1516.5348454545453</v>
      </c>
      <c r="H17" s="58"/>
      <c r="I17" s="57">
        <f>SUM(G17)*1.25</f>
        <v>1895.6685568181817</v>
      </c>
    </row>
    <row r="18" spans="2:9" x14ac:dyDescent="0.25">
      <c r="D18" s="2"/>
      <c r="E18" s="55" t="s">
        <v>23</v>
      </c>
      <c r="F18" s="56" t="s">
        <v>24</v>
      </c>
      <c r="G18" s="57">
        <v>199.31414545454547</v>
      </c>
      <c r="H18" s="58"/>
      <c r="I18" s="57">
        <f>SUM(G18)*1.25</f>
        <v>249.14268181818184</v>
      </c>
    </row>
    <row r="19" spans="2:9" x14ac:dyDescent="0.25">
      <c r="D19" s="2"/>
      <c r="E19" s="51" t="s">
        <v>25</v>
      </c>
      <c r="F19" s="52" t="s">
        <v>26</v>
      </c>
      <c r="G19" s="53">
        <f>SUM(G20:G22)</f>
        <v>769.92836545454543</v>
      </c>
      <c r="H19" s="60"/>
      <c r="I19" s="53">
        <f>SUM(I20:I22)</f>
        <v>962.41045681818173</v>
      </c>
    </row>
    <row r="20" spans="2:9" x14ac:dyDescent="0.25">
      <c r="D20" s="2"/>
      <c r="E20" s="55" t="s">
        <v>27</v>
      </c>
      <c r="F20" s="56" t="s">
        <v>28</v>
      </c>
      <c r="G20" s="57">
        <v>769.92836545454543</v>
      </c>
      <c r="H20" s="58"/>
      <c r="I20" s="57">
        <f>SUM(G20)*1.25</f>
        <v>962.41045681818173</v>
      </c>
    </row>
    <row r="21" spans="2:9" x14ac:dyDescent="0.25">
      <c r="D21" s="2"/>
      <c r="E21" s="55" t="s">
        <v>29</v>
      </c>
      <c r="F21" s="56" t="s">
        <v>30</v>
      </c>
      <c r="G21" s="57">
        <v>0</v>
      </c>
      <c r="H21" s="58"/>
      <c r="I21" s="57">
        <f>SUM(G21)*1.25</f>
        <v>0</v>
      </c>
    </row>
    <row r="22" spans="2:9" x14ac:dyDescent="0.25">
      <c r="B22" t="s">
        <v>84</v>
      </c>
      <c r="D22" s="2"/>
      <c r="E22" s="55" t="s">
        <v>31</v>
      </c>
      <c r="F22" s="56" t="s">
        <v>32</v>
      </c>
      <c r="G22" s="57">
        <v>0</v>
      </c>
      <c r="H22" s="58"/>
      <c r="I22" s="57">
        <f>SUM(G22)*1.25</f>
        <v>0</v>
      </c>
    </row>
    <row r="23" spans="2:9" x14ac:dyDescent="0.25">
      <c r="D23" s="2"/>
      <c r="E23" s="55" t="s">
        <v>33</v>
      </c>
      <c r="F23" s="56" t="s">
        <v>34</v>
      </c>
      <c r="G23" s="57">
        <v>0</v>
      </c>
      <c r="H23" s="58"/>
      <c r="I23" s="57">
        <f>SUM(G23)*1.25</f>
        <v>0</v>
      </c>
    </row>
    <row r="24" spans="2:9" x14ac:dyDescent="0.25">
      <c r="D24" s="2"/>
      <c r="E24" s="55" t="s">
        <v>35</v>
      </c>
      <c r="F24" s="56" t="s">
        <v>36</v>
      </c>
      <c r="G24" s="57">
        <v>0</v>
      </c>
      <c r="H24" s="58"/>
      <c r="I24" s="57">
        <f>SUM(G24)*1.25</f>
        <v>0</v>
      </c>
    </row>
    <row r="25" spans="2:9" x14ac:dyDescent="0.25">
      <c r="D25" s="2"/>
      <c r="E25" s="65" t="s">
        <v>37</v>
      </c>
      <c r="F25" s="66" t="s">
        <v>38</v>
      </c>
      <c r="G25" s="57">
        <v>0</v>
      </c>
      <c r="H25" s="58"/>
      <c r="I25" s="57">
        <f>SUM(G25)*1.25</f>
        <v>0</v>
      </c>
    </row>
    <row r="26" spans="2:9" x14ac:dyDescent="0.25">
      <c r="D26" s="2"/>
      <c r="E26" s="51" t="s">
        <v>39</v>
      </c>
      <c r="F26" s="52" t="s">
        <v>40</v>
      </c>
      <c r="G26" s="53">
        <f>SUM(G27:G35)</f>
        <v>476.15574545454547</v>
      </c>
      <c r="H26" s="67"/>
      <c r="I26" s="53">
        <f>SUM(I27:I35)</f>
        <v>595.19468181818183</v>
      </c>
    </row>
    <row r="27" spans="2:9" x14ac:dyDescent="0.25">
      <c r="D27" s="2"/>
      <c r="E27" s="69" t="s">
        <v>102</v>
      </c>
      <c r="F27" s="56" t="s">
        <v>42</v>
      </c>
      <c r="G27" s="57">
        <v>0</v>
      </c>
      <c r="H27" s="58"/>
      <c r="I27" s="57">
        <f>SUM(G27)*1.25</f>
        <v>0</v>
      </c>
    </row>
    <row r="28" spans="2:9" x14ac:dyDescent="0.25">
      <c r="D28" s="2"/>
      <c r="E28" s="69" t="s">
        <v>43</v>
      </c>
      <c r="F28" s="56" t="s">
        <v>44</v>
      </c>
      <c r="G28" s="57">
        <v>0</v>
      </c>
      <c r="H28" s="58"/>
      <c r="I28" s="57">
        <f>SUM(G28)*1.25</f>
        <v>0</v>
      </c>
    </row>
    <row r="29" spans="2:9" x14ac:dyDescent="0.25">
      <c r="D29" s="2"/>
      <c r="E29" s="69" t="s">
        <v>45</v>
      </c>
      <c r="F29" s="56" t="s">
        <v>46</v>
      </c>
      <c r="G29" s="57">
        <v>0</v>
      </c>
      <c r="H29" s="58"/>
      <c r="I29" s="57">
        <f>SUM(G29)*1.25</f>
        <v>0</v>
      </c>
    </row>
    <row r="30" spans="2:9" x14ac:dyDescent="0.25">
      <c r="D30" s="2"/>
      <c r="E30" s="69" t="s">
        <v>47</v>
      </c>
      <c r="F30" s="56" t="s">
        <v>48</v>
      </c>
      <c r="G30" s="57">
        <v>0</v>
      </c>
      <c r="H30" s="58"/>
      <c r="I30" s="57">
        <f>SUM(G30)*1.25</f>
        <v>0</v>
      </c>
    </row>
    <row r="31" spans="2:9" x14ac:dyDescent="0.25">
      <c r="D31" s="2"/>
      <c r="E31" s="70" t="s">
        <v>99</v>
      </c>
      <c r="F31" s="66" t="s">
        <v>50</v>
      </c>
      <c r="G31" s="57">
        <v>0</v>
      </c>
      <c r="H31" s="58"/>
      <c r="I31" s="57">
        <f>SUM(G31)*1.25</f>
        <v>0</v>
      </c>
    </row>
    <row r="32" spans="2:9" x14ac:dyDescent="0.25">
      <c r="D32" s="2"/>
      <c r="E32" s="69" t="s">
        <v>51</v>
      </c>
      <c r="F32" s="56" t="s">
        <v>52</v>
      </c>
      <c r="G32" s="57">
        <v>0</v>
      </c>
      <c r="H32" s="58"/>
      <c r="I32" s="57">
        <f>SUM(G32)*1.25</f>
        <v>0</v>
      </c>
    </row>
    <row r="33" spans="4:9" x14ac:dyDescent="0.25">
      <c r="D33" s="2"/>
      <c r="E33" s="69" t="s">
        <v>53</v>
      </c>
      <c r="F33" s="56" t="s">
        <v>54</v>
      </c>
      <c r="G33" s="57">
        <v>0</v>
      </c>
      <c r="H33" s="58"/>
      <c r="I33" s="57">
        <f>SUM(G33)*1.25</f>
        <v>0</v>
      </c>
    </row>
    <row r="34" spans="4:9" x14ac:dyDescent="0.25">
      <c r="D34" s="2"/>
      <c r="E34" s="55" t="s">
        <v>55</v>
      </c>
      <c r="F34" s="56" t="s">
        <v>56</v>
      </c>
      <c r="G34" s="57">
        <v>476.15574545454547</v>
      </c>
      <c r="H34" s="58"/>
      <c r="I34" s="57">
        <f>SUM(G34)*1.25</f>
        <v>595.19468181818183</v>
      </c>
    </row>
    <row r="35" spans="4:9" x14ac:dyDescent="0.25">
      <c r="D35" s="2"/>
      <c r="E35" s="55" t="s">
        <v>57</v>
      </c>
      <c r="F35" s="56" t="s">
        <v>58</v>
      </c>
      <c r="G35" s="57">
        <v>0</v>
      </c>
      <c r="H35" s="58"/>
      <c r="I35" s="57">
        <f>SUM(G35)*1.25</f>
        <v>0</v>
      </c>
    </row>
    <row r="36" spans="4:9" x14ac:dyDescent="0.25">
      <c r="D36" s="2"/>
      <c r="E36" s="51" t="s">
        <v>59</v>
      </c>
      <c r="F36" s="52" t="s">
        <v>60</v>
      </c>
      <c r="G36" s="53">
        <f>SUM(G37:G39)</f>
        <v>560.07208545454557</v>
      </c>
      <c r="H36" s="67"/>
      <c r="I36" s="53">
        <f>SUM(I37:I39)</f>
        <v>700.09010681818199</v>
      </c>
    </row>
    <row r="37" spans="4:9" x14ac:dyDescent="0.25">
      <c r="D37" s="2"/>
      <c r="E37" s="65" t="s">
        <v>61</v>
      </c>
      <c r="F37" s="66" t="s">
        <v>62</v>
      </c>
      <c r="G37" s="57">
        <v>560.07208545454557</v>
      </c>
      <c r="H37" s="58"/>
      <c r="I37" s="57">
        <f>SUM(G37)*1.25</f>
        <v>700.09010681818199</v>
      </c>
    </row>
    <row r="38" spans="4:9" ht="22.5" x14ac:dyDescent="0.25">
      <c r="D38" s="2"/>
      <c r="E38" s="65" t="s">
        <v>100</v>
      </c>
      <c r="F38" s="66" t="s">
        <v>64</v>
      </c>
      <c r="G38" s="57">
        <v>0</v>
      </c>
      <c r="H38" s="58"/>
      <c r="I38" s="57">
        <f>SUM(G38)*1.25</f>
        <v>0</v>
      </c>
    </row>
    <row r="39" spans="4:9" ht="22.5" x14ac:dyDescent="0.25">
      <c r="D39" s="2"/>
      <c r="E39" s="65" t="s">
        <v>65</v>
      </c>
      <c r="F39" s="66" t="s">
        <v>66</v>
      </c>
      <c r="G39" s="57">
        <v>0</v>
      </c>
      <c r="H39" s="58"/>
      <c r="I39" s="57">
        <f>SUM(G39)*1.25</f>
        <v>0</v>
      </c>
    </row>
    <row r="40" spans="4:9" x14ac:dyDescent="0.25">
      <c r="D40" s="2"/>
      <c r="E40" s="51" t="s">
        <v>67</v>
      </c>
      <c r="F40" s="52" t="s">
        <v>68</v>
      </c>
      <c r="G40" s="53">
        <f>SUM(G41:G43)</f>
        <v>2670.2062909090901</v>
      </c>
      <c r="H40" s="67"/>
      <c r="I40" s="53">
        <f>SUM(I41:I43)</f>
        <v>3337.7578636363628</v>
      </c>
    </row>
    <row r="41" spans="4:9" x14ac:dyDescent="0.25">
      <c r="D41" s="2"/>
      <c r="E41" s="55" t="s">
        <v>69</v>
      </c>
      <c r="F41" s="56" t="s">
        <v>70</v>
      </c>
      <c r="G41" s="57">
        <v>367.39574545454548</v>
      </c>
      <c r="H41" s="58"/>
      <c r="I41" s="57">
        <f>SUM(G41)*1.25</f>
        <v>459.24468181818185</v>
      </c>
    </row>
    <row r="42" spans="4:9" x14ac:dyDescent="0.25">
      <c r="D42" s="2"/>
      <c r="E42" s="55" t="s">
        <v>71</v>
      </c>
      <c r="F42" s="56" t="s">
        <v>72</v>
      </c>
      <c r="G42" s="57">
        <v>2302.8105454545448</v>
      </c>
      <c r="H42" s="58"/>
      <c r="I42" s="57">
        <f>SUM(G42)*1.25</f>
        <v>2878.5131818181808</v>
      </c>
    </row>
    <row r="43" spans="4:9" x14ac:dyDescent="0.25">
      <c r="D43" s="2"/>
      <c r="E43" s="55" t="s">
        <v>73</v>
      </c>
      <c r="F43" s="56" t="s">
        <v>74</v>
      </c>
      <c r="G43" s="57">
        <v>0</v>
      </c>
      <c r="H43" s="58"/>
      <c r="I43" s="57">
        <f>SUM(G43)*1.25</f>
        <v>0</v>
      </c>
    </row>
    <row r="44" spans="4:9" x14ac:dyDescent="0.25">
      <c r="D44" s="2"/>
      <c r="E44" s="51" t="s">
        <v>75</v>
      </c>
      <c r="F44" s="52" t="s">
        <v>76</v>
      </c>
      <c r="G44" s="53">
        <f>SUM(G45:G47)</f>
        <v>0</v>
      </c>
      <c r="H44" s="67"/>
      <c r="I44" s="53">
        <f>SUM(I45:I47)</f>
        <v>0</v>
      </c>
    </row>
    <row r="45" spans="4:9" x14ac:dyDescent="0.25">
      <c r="D45" s="2"/>
      <c r="E45" s="55" t="s">
        <v>77</v>
      </c>
      <c r="F45" s="56" t="s">
        <v>78</v>
      </c>
      <c r="G45" s="57">
        <v>0</v>
      </c>
      <c r="H45" s="58"/>
      <c r="I45" s="57">
        <f>SUM(G45)*1.25</f>
        <v>0</v>
      </c>
    </row>
    <row r="46" spans="4:9" x14ac:dyDescent="0.25">
      <c r="D46" s="2"/>
      <c r="E46" s="55" t="s">
        <v>79</v>
      </c>
      <c r="F46" s="56" t="s">
        <v>80</v>
      </c>
      <c r="G46" s="75">
        <v>0</v>
      </c>
      <c r="H46" s="58"/>
      <c r="I46" s="57">
        <f>SUM(G46)*1.25</f>
        <v>0</v>
      </c>
    </row>
    <row r="47" spans="4:9" ht="15.75" thickBot="1" x14ac:dyDescent="0.3">
      <c r="D47" s="2"/>
      <c r="E47" s="69" t="s">
        <v>81</v>
      </c>
      <c r="F47" s="56" t="s">
        <v>82</v>
      </c>
      <c r="G47" s="75">
        <v>0</v>
      </c>
      <c r="H47" s="58"/>
      <c r="I47" s="57">
        <f>SUM(G47)*1.25</f>
        <v>0</v>
      </c>
    </row>
    <row r="48" spans="4:9" ht="15.75" thickBot="1" x14ac:dyDescent="0.3">
      <c r="D48" s="2"/>
      <c r="E48" s="71" t="s">
        <v>83</v>
      </c>
      <c r="F48" s="3" t="s">
        <v>84</v>
      </c>
      <c r="G48" s="72">
        <f>SUM(G10+G14+G19+G26+G36+G40+G44)</f>
        <v>12904.641074545456</v>
      </c>
      <c r="H48" s="73"/>
      <c r="I48" s="72">
        <f>SUM(I10+I14+I19+I26+I36+I40+I44)</f>
        <v>16130.80134318182</v>
      </c>
    </row>
    <row r="49" spans="4:7" ht="15.75" thickBot="1" x14ac:dyDescent="0.3">
      <c r="D49" s="2"/>
      <c r="G49" s="72"/>
    </row>
    <row r="50" spans="4:7" x14ac:dyDescent="0.25">
      <c r="G50" s="7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7F68-75F7-4351-8530-62F5EC8380D4}">
  <dimension ref="A1:G56"/>
  <sheetViews>
    <sheetView workbookViewId="0">
      <selection activeCell="B6" sqref="B6"/>
    </sheetView>
  </sheetViews>
  <sheetFormatPr baseColWidth="10" defaultColWidth="9.140625" defaultRowHeight="15" x14ac:dyDescent="0.25"/>
  <cols>
    <col min="2" max="2" width="66.140625" customWidth="1"/>
    <col min="4" max="4" width="17.5703125" style="140" customWidth="1"/>
    <col min="5" max="5" width="52.140625" customWidth="1"/>
    <col min="6" max="6" width="6" style="6" customWidth="1"/>
    <col min="7" max="7" width="11" customWidth="1"/>
  </cols>
  <sheetData>
    <row r="1" spans="1:7" x14ac:dyDescent="0.25">
      <c r="A1" s="2"/>
      <c r="B1" s="2"/>
      <c r="C1" s="3"/>
      <c r="D1" s="95" t="s">
        <v>0</v>
      </c>
      <c r="G1" s="129"/>
    </row>
    <row r="2" spans="1:7" x14ac:dyDescent="0.25">
      <c r="A2" s="2"/>
      <c r="B2" s="2"/>
      <c r="C2" s="3"/>
      <c r="D2" s="95" t="s">
        <v>1</v>
      </c>
      <c r="E2" s="6"/>
      <c r="G2" s="129"/>
    </row>
    <row r="3" spans="1:7" x14ac:dyDescent="0.25">
      <c r="A3" s="2"/>
      <c r="B3" s="2"/>
      <c r="C3" s="3"/>
      <c r="D3" s="95" t="s">
        <v>88</v>
      </c>
      <c r="E3" t="s">
        <v>84</v>
      </c>
      <c r="G3" s="129"/>
    </row>
    <row r="4" spans="1:7" x14ac:dyDescent="0.25">
      <c r="A4" s="2"/>
      <c r="B4" s="2" t="s">
        <v>104</v>
      </c>
      <c r="C4" s="50" t="s">
        <v>3</v>
      </c>
      <c r="D4" s="95" t="s">
        <v>105</v>
      </c>
    </row>
    <row r="5" spans="1:7" ht="15.75" thickBot="1" x14ac:dyDescent="0.3">
      <c r="A5" s="2"/>
      <c r="B5" s="2"/>
      <c r="C5" s="50" t="s">
        <v>4</v>
      </c>
      <c r="D5" s="95" t="s">
        <v>84</v>
      </c>
    </row>
    <row r="6" spans="1:7" ht="16.5" thickTop="1" thickBot="1" x14ac:dyDescent="0.3">
      <c r="A6" s="2"/>
      <c r="B6" s="247" t="s">
        <v>141</v>
      </c>
      <c r="C6" s="248" t="s">
        <v>148</v>
      </c>
      <c r="D6" s="249">
        <v>0</v>
      </c>
    </row>
    <row r="7" spans="1:7" ht="15.75" thickTop="1" x14ac:dyDescent="0.25">
      <c r="A7" s="2"/>
      <c r="B7" s="245" t="s">
        <v>7</v>
      </c>
      <c r="C7" s="246" t="s">
        <v>8</v>
      </c>
      <c r="D7" s="241">
        <f>SUM(D8:D10)</f>
        <v>12627.3375</v>
      </c>
    </row>
    <row r="8" spans="1:7" ht="15" customHeight="1" x14ac:dyDescent="0.25">
      <c r="A8" s="2"/>
      <c r="B8" s="55" t="s">
        <v>9</v>
      </c>
      <c r="C8" s="56" t="s">
        <v>10</v>
      </c>
      <c r="D8" s="242">
        <v>0</v>
      </c>
    </row>
    <row r="9" spans="1:7" s="130" customFormat="1" ht="15.75" customHeight="1" x14ac:dyDescent="0.25">
      <c r="A9" s="2"/>
      <c r="B9" s="55" t="s">
        <v>11</v>
      </c>
      <c r="C9" s="56" t="s">
        <v>12</v>
      </c>
      <c r="D9" s="242">
        <v>5070.8374999999996</v>
      </c>
    </row>
    <row r="10" spans="1:7" ht="15" customHeight="1" x14ac:dyDescent="0.25">
      <c r="A10" s="2"/>
      <c r="B10" s="55" t="s">
        <v>13</v>
      </c>
      <c r="C10" s="56" t="s">
        <v>14</v>
      </c>
      <c r="D10" s="242">
        <v>7556.5</v>
      </c>
    </row>
    <row r="11" spans="1:7" ht="15" customHeight="1" x14ac:dyDescent="0.25">
      <c r="A11" s="2"/>
      <c r="B11" s="51" t="s">
        <v>15</v>
      </c>
      <c r="C11" s="52" t="s">
        <v>16</v>
      </c>
      <c r="D11" s="243">
        <f>SUM(D12:D15)</f>
        <v>0</v>
      </c>
    </row>
    <row r="12" spans="1:7" ht="15" customHeight="1" x14ac:dyDescent="0.25">
      <c r="A12" s="2"/>
      <c r="B12" s="55" t="s">
        <v>17</v>
      </c>
      <c r="C12" s="56" t="s">
        <v>18</v>
      </c>
      <c r="D12" s="242">
        <v>0</v>
      </c>
    </row>
    <row r="13" spans="1:7" ht="15" customHeight="1" x14ac:dyDescent="0.25">
      <c r="A13" s="2"/>
      <c r="B13" s="55" t="s">
        <v>19</v>
      </c>
      <c r="C13" s="56" t="s">
        <v>20</v>
      </c>
      <c r="D13" s="242">
        <v>0</v>
      </c>
    </row>
    <row r="14" spans="1:7" ht="15" customHeight="1" x14ac:dyDescent="0.25">
      <c r="A14" s="2"/>
      <c r="B14" s="55" t="s">
        <v>21</v>
      </c>
      <c r="C14" s="56" t="s">
        <v>22</v>
      </c>
      <c r="D14" s="242">
        <v>0</v>
      </c>
    </row>
    <row r="15" spans="1:7" ht="15" customHeight="1" x14ac:dyDescent="0.25">
      <c r="A15" s="2"/>
      <c r="B15" s="55" t="s">
        <v>23</v>
      </c>
      <c r="C15" s="56" t="s">
        <v>24</v>
      </c>
      <c r="D15" s="242">
        <v>0</v>
      </c>
    </row>
    <row r="16" spans="1:7" ht="15" customHeight="1" x14ac:dyDescent="0.25">
      <c r="A16" s="2"/>
      <c r="B16" s="51" t="s">
        <v>25</v>
      </c>
      <c r="C16" s="52" t="s">
        <v>26</v>
      </c>
      <c r="D16" s="243">
        <f>SUM(D17:D22)</f>
        <v>0</v>
      </c>
    </row>
    <row r="17" spans="1:4" ht="15" customHeight="1" x14ac:dyDescent="0.25">
      <c r="A17" s="2"/>
      <c r="B17" s="55" t="s">
        <v>27</v>
      </c>
      <c r="C17" s="56" t="s">
        <v>28</v>
      </c>
      <c r="D17" s="242">
        <v>0</v>
      </c>
    </row>
    <row r="18" spans="1:4" ht="15" customHeight="1" x14ac:dyDescent="0.25">
      <c r="A18" s="2"/>
      <c r="B18" s="55" t="s">
        <v>29</v>
      </c>
      <c r="C18" s="56" t="s">
        <v>30</v>
      </c>
      <c r="D18" s="242">
        <v>0</v>
      </c>
    </row>
    <row r="19" spans="1:4" ht="15" customHeight="1" x14ac:dyDescent="0.25">
      <c r="A19" s="2"/>
      <c r="B19" s="55" t="s">
        <v>31</v>
      </c>
      <c r="C19" s="56" t="s">
        <v>32</v>
      </c>
      <c r="D19" s="242">
        <v>0</v>
      </c>
    </row>
    <row r="20" spans="1:4" ht="15" customHeight="1" x14ac:dyDescent="0.25">
      <c r="A20" s="2"/>
      <c r="B20" s="55" t="s">
        <v>33</v>
      </c>
      <c r="C20" s="56" t="s">
        <v>34</v>
      </c>
      <c r="D20" s="242">
        <v>0</v>
      </c>
    </row>
    <row r="21" spans="1:4" ht="15" customHeight="1" x14ac:dyDescent="0.25">
      <c r="A21" s="2"/>
      <c r="B21" s="55" t="s">
        <v>35</v>
      </c>
      <c r="C21" s="56" t="s">
        <v>36</v>
      </c>
      <c r="D21" s="242">
        <v>0</v>
      </c>
    </row>
    <row r="22" spans="1:4" ht="15" customHeight="1" x14ac:dyDescent="0.25">
      <c r="A22" s="2"/>
      <c r="B22" s="65" t="s">
        <v>37</v>
      </c>
      <c r="C22" s="66" t="s">
        <v>38</v>
      </c>
      <c r="D22" s="242">
        <v>0</v>
      </c>
    </row>
    <row r="23" spans="1:4" ht="15" customHeight="1" x14ac:dyDescent="0.25">
      <c r="A23" s="2"/>
      <c r="B23" s="51" t="s">
        <v>39</v>
      </c>
      <c r="C23" s="52" t="s">
        <v>40</v>
      </c>
      <c r="D23" s="243">
        <f>SUM(D24:D32)</f>
        <v>4120.2875000000004</v>
      </c>
    </row>
    <row r="24" spans="1:4" ht="15" customHeight="1" x14ac:dyDescent="0.25">
      <c r="A24" s="2"/>
      <c r="B24" s="69" t="s">
        <v>102</v>
      </c>
      <c r="C24" s="56" t="s">
        <v>42</v>
      </c>
      <c r="D24" s="242">
        <v>4120.2875000000004</v>
      </c>
    </row>
    <row r="25" spans="1:4" ht="15" customHeight="1" x14ac:dyDescent="0.25">
      <c r="A25" s="2"/>
      <c r="B25" s="69" t="s">
        <v>43</v>
      </c>
      <c r="C25" s="56" t="s">
        <v>44</v>
      </c>
      <c r="D25" s="242">
        <v>0</v>
      </c>
    </row>
    <row r="26" spans="1:4" ht="15" customHeight="1" x14ac:dyDescent="0.25">
      <c r="A26" s="2"/>
      <c r="B26" s="69" t="s">
        <v>45</v>
      </c>
      <c r="C26" s="56" t="s">
        <v>46</v>
      </c>
      <c r="D26" s="242">
        <v>0</v>
      </c>
    </row>
    <row r="27" spans="1:4" ht="15" customHeight="1" x14ac:dyDescent="0.25">
      <c r="A27" s="2"/>
      <c r="B27" s="69" t="s">
        <v>47</v>
      </c>
      <c r="C27" s="56" t="s">
        <v>48</v>
      </c>
      <c r="D27" s="242">
        <v>0</v>
      </c>
    </row>
    <row r="28" spans="1:4" ht="15" customHeight="1" x14ac:dyDescent="0.25">
      <c r="A28" s="2"/>
      <c r="B28" s="70" t="s">
        <v>99</v>
      </c>
      <c r="C28" s="66" t="s">
        <v>50</v>
      </c>
      <c r="D28" s="242">
        <v>0</v>
      </c>
    </row>
    <row r="29" spans="1:4" ht="15" customHeight="1" x14ac:dyDescent="0.25">
      <c r="A29" s="2"/>
      <c r="B29" s="69" t="s">
        <v>51</v>
      </c>
      <c r="C29" s="56" t="s">
        <v>52</v>
      </c>
      <c r="D29" s="242">
        <v>0</v>
      </c>
    </row>
    <row r="30" spans="1:4" ht="15" customHeight="1" x14ac:dyDescent="0.25">
      <c r="A30" s="2"/>
      <c r="B30" s="69" t="s">
        <v>53</v>
      </c>
      <c r="C30" s="56" t="s">
        <v>54</v>
      </c>
      <c r="D30" s="242">
        <v>0</v>
      </c>
    </row>
    <row r="31" spans="1:4" ht="15" customHeight="1" x14ac:dyDescent="0.25">
      <c r="A31" s="2"/>
      <c r="B31" s="55" t="s">
        <v>55</v>
      </c>
      <c r="C31" s="56" t="s">
        <v>56</v>
      </c>
      <c r="D31" s="242">
        <v>0</v>
      </c>
    </row>
    <row r="32" spans="1:4" ht="15" customHeight="1" x14ac:dyDescent="0.25">
      <c r="A32" s="2"/>
      <c r="B32" s="55" t="s">
        <v>57</v>
      </c>
      <c r="C32" s="56" t="s">
        <v>58</v>
      </c>
      <c r="D32" s="242">
        <v>0</v>
      </c>
    </row>
    <row r="33" spans="1:4" ht="15" customHeight="1" x14ac:dyDescent="0.25">
      <c r="A33" s="2"/>
      <c r="B33" s="51" t="s">
        <v>59</v>
      </c>
      <c r="C33" s="52" t="s">
        <v>60</v>
      </c>
      <c r="D33" s="243">
        <f>SUM(D34:D36)</f>
        <v>0</v>
      </c>
    </row>
    <row r="34" spans="1:4" ht="15" customHeight="1" x14ac:dyDescent="0.25">
      <c r="A34" s="2"/>
      <c r="B34" s="65" t="s">
        <v>61</v>
      </c>
      <c r="C34" s="66" t="s">
        <v>62</v>
      </c>
      <c r="D34" s="242">
        <v>0</v>
      </c>
    </row>
    <row r="35" spans="1:4" ht="15" customHeight="1" x14ac:dyDescent="0.25">
      <c r="A35" s="2"/>
      <c r="B35" s="65" t="s">
        <v>100</v>
      </c>
      <c r="C35" s="66" t="s">
        <v>64</v>
      </c>
      <c r="D35" s="242">
        <v>0</v>
      </c>
    </row>
    <row r="36" spans="1:4" ht="15" customHeight="1" x14ac:dyDescent="0.25">
      <c r="A36" s="2"/>
      <c r="B36" s="65" t="s">
        <v>65</v>
      </c>
      <c r="C36" s="66" t="s">
        <v>66</v>
      </c>
      <c r="D36" s="242">
        <v>0</v>
      </c>
    </row>
    <row r="37" spans="1:4" ht="15" customHeight="1" x14ac:dyDescent="0.25">
      <c r="A37" s="2"/>
      <c r="B37" s="51" t="s">
        <v>67</v>
      </c>
      <c r="C37" s="52" t="s">
        <v>68</v>
      </c>
      <c r="D37" s="243">
        <f>SUM(D38:D40)</f>
        <v>4596</v>
      </c>
    </row>
    <row r="38" spans="1:4" ht="15" customHeight="1" x14ac:dyDescent="0.25">
      <c r="A38" s="2"/>
      <c r="B38" s="55" t="s">
        <v>69</v>
      </c>
      <c r="C38" s="56" t="s">
        <v>70</v>
      </c>
      <c r="D38" s="242">
        <v>4596</v>
      </c>
    </row>
    <row r="39" spans="1:4" ht="15" customHeight="1" x14ac:dyDescent="0.25">
      <c r="A39" s="2"/>
      <c r="B39" s="55" t="s">
        <v>71</v>
      </c>
      <c r="C39" s="56" t="s">
        <v>72</v>
      </c>
      <c r="D39" s="242">
        <v>0</v>
      </c>
    </row>
    <row r="40" spans="1:4" ht="15" customHeight="1" x14ac:dyDescent="0.25">
      <c r="A40" s="2"/>
      <c r="B40" s="55" t="s">
        <v>73</v>
      </c>
      <c r="C40" s="56" t="s">
        <v>74</v>
      </c>
      <c r="D40" s="242">
        <v>0</v>
      </c>
    </row>
    <row r="41" spans="1:4" ht="15" customHeight="1" x14ac:dyDescent="0.25">
      <c r="A41" s="2"/>
      <c r="B41" s="51" t="s">
        <v>75</v>
      </c>
      <c r="C41" s="52" t="s">
        <v>76</v>
      </c>
      <c r="D41" s="243">
        <f>SUM(D42:D44)</f>
        <v>0</v>
      </c>
    </row>
    <row r="42" spans="1:4" ht="15" customHeight="1" x14ac:dyDescent="0.25">
      <c r="A42" s="2"/>
      <c r="B42" s="55" t="s">
        <v>77</v>
      </c>
      <c r="C42" s="56" t="s">
        <v>78</v>
      </c>
      <c r="D42" s="242">
        <v>0</v>
      </c>
    </row>
    <row r="43" spans="1:4" ht="15" customHeight="1" x14ac:dyDescent="0.25">
      <c r="A43" s="2"/>
      <c r="B43" s="55" t="s">
        <v>79</v>
      </c>
      <c r="C43" s="56" t="s">
        <v>80</v>
      </c>
      <c r="D43" s="242">
        <v>0</v>
      </c>
    </row>
    <row r="44" spans="1:4" ht="15" customHeight="1" thickBot="1" x14ac:dyDescent="0.3">
      <c r="A44" s="2"/>
      <c r="B44" s="69" t="s">
        <v>81</v>
      </c>
      <c r="C44" s="56" t="s">
        <v>82</v>
      </c>
      <c r="D44" s="242">
        <v>0</v>
      </c>
    </row>
    <row r="45" spans="1:4" ht="15" customHeight="1" thickBot="1" x14ac:dyDescent="0.3">
      <c r="A45" s="2"/>
      <c r="B45" s="71" t="s">
        <v>83</v>
      </c>
      <c r="C45" s="3" t="s">
        <v>84</v>
      </c>
      <c r="D45" s="244">
        <v>21343.625</v>
      </c>
    </row>
    <row r="46" spans="1:4" ht="15" customHeight="1" x14ac:dyDescent="0.25"/>
    <row r="47" spans="1:4" ht="15" customHeight="1" x14ac:dyDescent="0.25"/>
    <row r="49" spans="4:7" x14ac:dyDescent="0.25">
      <c r="D49" s="3"/>
      <c r="G49" s="128"/>
    </row>
    <row r="56" spans="4:7" x14ac:dyDescent="0.25">
      <c r="E56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4B55-F02F-43F3-9FD6-0334EE06DE23}">
  <dimension ref="A2:H53"/>
  <sheetViews>
    <sheetView workbookViewId="0">
      <selection activeCell="A7" sqref="A7"/>
    </sheetView>
  </sheetViews>
  <sheetFormatPr baseColWidth="10" defaultColWidth="9.140625" defaultRowHeight="15" x14ac:dyDescent="0.25"/>
  <cols>
    <col min="1" max="1" width="64.140625" customWidth="1"/>
    <col min="2" max="2" width="6" style="6" customWidth="1"/>
    <col min="3" max="3" width="14.140625" style="24" customWidth="1"/>
    <col min="4" max="4" width="4" style="24" customWidth="1"/>
    <col min="5" max="5" width="19.5703125" customWidth="1"/>
    <col min="6" max="6" width="11.42578125" bestFit="1" customWidth="1"/>
    <col min="8" max="8" width="10.28515625" bestFit="1" customWidth="1"/>
  </cols>
  <sheetData>
    <row r="2" spans="1:8" x14ac:dyDescent="0.25">
      <c r="A2" s="2"/>
      <c r="B2" s="3"/>
      <c r="C2" s="141" t="s">
        <v>0</v>
      </c>
      <c r="D2" s="141"/>
    </row>
    <row r="3" spans="1:8" x14ac:dyDescent="0.25">
      <c r="A3" s="2"/>
      <c r="B3" s="3"/>
      <c r="C3" s="137" t="s">
        <v>1</v>
      </c>
      <c r="D3" s="137"/>
      <c r="E3" s="140" t="s">
        <v>106</v>
      </c>
      <c r="F3" s="140"/>
      <c r="G3" s="140"/>
      <c r="H3" s="5">
        <v>0.25</v>
      </c>
    </row>
    <row r="4" spans="1:8" x14ac:dyDescent="0.25">
      <c r="A4" s="2"/>
      <c r="B4" s="3"/>
      <c r="C4" s="137" t="s">
        <v>88</v>
      </c>
      <c r="D4" s="137"/>
      <c r="E4" s="138" t="s">
        <v>89</v>
      </c>
      <c r="F4" s="139"/>
      <c r="G4" s="138" t="s">
        <v>107</v>
      </c>
      <c r="H4" s="139"/>
    </row>
    <row r="5" spans="1:8" x14ac:dyDescent="0.25">
      <c r="A5" s="25" t="s">
        <v>108</v>
      </c>
      <c r="B5" s="3" t="s">
        <v>3</v>
      </c>
      <c r="C5" s="137" t="s">
        <v>97</v>
      </c>
      <c r="D5" s="137"/>
      <c r="E5" s="40" t="s">
        <v>93</v>
      </c>
      <c r="F5" s="28" t="s">
        <v>94</v>
      </c>
      <c r="G5" s="40" t="s">
        <v>93</v>
      </c>
      <c r="H5" s="28" t="s">
        <v>94</v>
      </c>
    </row>
    <row r="6" spans="1:8" ht="15" customHeight="1" x14ac:dyDescent="0.25">
      <c r="A6" s="2"/>
      <c r="B6" s="3" t="s">
        <v>4</v>
      </c>
      <c r="C6" s="7" t="s">
        <v>84</v>
      </c>
      <c r="D6" s="104"/>
      <c r="E6" s="27"/>
      <c r="F6" s="30">
        <v>65.349999999999994</v>
      </c>
      <c r="G6" s="27"/>
      <c r="H6" s="30">
        <v>50.11</v>
      </c>
    </row>
    <row r="7" spans="1:8" s="130" customFormat="1" ht="15" customHeight="1" x14ac:dyDescent="0.25">
      <c r="A7" s="2" t="s">
        <v>141</v>
      </c>
      <c r="B7" s="3" t="s">
        <v>148</v>
      </c>
      <c r="C7" s="7">
        <v>0</v>
      </c>
      <c r="D7" s="104"/>
      <c r="E7" s="27"/>
      <c r="F7" s="30"/>
      <c r="G7" s="27"/>
      <c r="H7" s="30"/>
    </row>
    <row r="8" spans="1:8" ht="15" customHeight="1" x14ac:dyDescent="0.25">
      <c r="A8" s="9" t="s">
        <v>7</v>
      </c>
      <c r="B8" s="10" t="s">
        <v>8</v>
      </c>
      <c r="C8" s="105">
        <f>SUM(F8+H8)*1.25</f>
        <v>16250.921875</v>
      </c>
      <c r="D8" s="12"/>
      <c r="E8" s="29">
        <f>SUM(E9:E11)</f>
        <v>146.5</v>
      </c>
      <c r="F8" s="30">
        <f>E8*F$6*(1+H$3)</f>
        <v>11967.21875</v>
      </c>
      <c r="G8" s="29">
        <f>SUM(G9:G11)</f>
        <v>16.5</v>
      </c>
      <c r="H8" s="30">
        <f>G8*H$6*(1+H$3)</f>
        <v>1033.51875</v>
      </c>
    </row>
    <row r="9" spans="1:8" ht="15" customHeight="1" x14ac:dyDescent="0.25">
      <c r="A9" s="13" t="s">
        <v>9</v>
      </c>
      <c r="B9" s="14" t="s">
        <v>10</v>
      </c>
      <c r="C9" s="89">
        <f>F9+H9</f>
        <v>3222.6187500000001</v>
      </c>
      <c r="D9" s="16"/>
      <c r="E9" s="31">
        <v>36</v>
      </c>
      <c r="F9" s="30">
        <f>E9*F$6*(1+H$3)</f>
        <v>2940.75</v>
      </c>
      <c r="G9" s="31">
        <v>4.5</v>
      </c>
      <c r="H9" s="30">
        <f>G9*H$6*(1+H$3)</f>
        <v>281.86874999999998</v>
      </c>
    </row>
    <row r="10" spans="1:8" ht="15" customHeight="1" x14ac:dyDescent="0.25">
      <c r="A10" s="13" t="s">
        <v>11</v>
      </c>
      <c r="B10" s="14" t="s">
        <v>12</v>
      </c>
      <c r="C10" s="89">
        <f>F10+H10</f>
        <v>7450.0249999999996</v>
      </c>
      <c r="D10" s="16"/>
      <c r="E10" s="31">
        <v>82</v>
      </c>
      <c r="F10" s="30">
        <f>E10*F$6*(1+H$3)</f>
        <v>6698.375</v>
      </c>
      <c r="G10" s="31">
        <v>12</v>
      </c>
      <c r="H10" s="30">
        <f>G10*H$6*(1+H$3)</f>
        <v>751.64999999999986</v>
      </c>
    </row>
    <row r="11" spans="1:8" ht="15" customHeight="1" x14ac:dyDescent="0.25">
      <c r="A11" s="13" t="s">
        <v>13</v>
      </c>
      <c r="B11" s="14" t="s">
        <v>14</v>
      </c>
      <c r="C11" s="89">
        <f>F11+H11</f>
        <v>2328.09375</v>
      </c>
      <c r="D11" s="16"/>
      <c r="E11" s="31">
        <v>28.5</v>
      </c>
      <c r="F11" s="30">
        <f>E11*F$6*(1+H$3)</f>
        <v>2328.09375</v>
      </c>
      <c r="G11" s="31">
        <v>0</v>
      </c>
      <c r="H11" s="30">
        <f>G11*H$6*(1+H$3)</f>
        <v>0</v>
      </c>
    </row>
    <row r="12" spans="1:8" ht="15" customHeight="1" x14ac:dyDescent="0.25">
      <c r="A12" s="9" t="s">
        <v>15</v>
      </c>
      <c r="B12" s="10" t="s">
        <v>16</v>
      </c>
      <c r="C12" s="18">
        <f>F12*1.25</f>
        <v>816.875</v>
      </c>
      <c r="D12" s="19"/>
      <c r="E12" s="32">
        <f>SUM(E13:E16)</f>
        <v>8</v>
      </c>
      <c r="F12" s="30">
        <f>E12*F$6*(1+H$3)</f>
        <v>653.5</v>
      </c>
      <c r="G12" s="32"/>
      <c r="H12" s="30">
        <f>G12*H$6*(1+H$3)</f>
        <v>0</v>
      </c>
    </row>
    <row r="13" spans="1:8" ht="15" customHeight="1" x14ac:dyDescent="0.25">
      <c r="A13" s="13" t="s">
        <v>17</v>
      </c>
      <c r="B13" s="14" t="s">
        <v>18</v>
      </c>
      <c r="C13" s="106">
        <f>F13</f>
        <v>163.375</v>
      </c>
      <c r="D13" s="16"/>
      <c r="E13" s="31">
        <v>2</v>
      </c>
      <c r="F13" s="30">
        <f>E13*F$6*(1+H$3)</f>
        <v>163.375</v>
      </c>
      <c r="G13" s="31">
        <v>0</v>
      </c>
      <c r="H13" s="30">
        <f>G13*H$6*(1+H$3)</f>
        <v>0</v>
      </c>
    </row>
    <row r="14" spans="1:8" ht="15" customHeight="1" x14ac:dyDescent="0.25">
      <c r="A14" s="13" t="s">
        <v>19</v>
      </c>
      <c r="B14" s="14" t="s">
        <v>20</v>
      </c>
      <c r="C14" s="106">
        <f t="shared" ref="C14:C16" si="0">F14</f>
        <v>0</v>
      </c>
      <c r="D14" s="16"/>
      <c r="E14" s="31">
        <v>0</v>
      </c>
      <c r="F14" s="30">
        <f>E14*F$6*(1+H$3)</f>
        <v>0</v>
      </c>
      <c r="G14" s="31">
        <v>0</v>
      </c>
      <c r="H14" s="30">
        <f>G14*H$6*(1+H$3)</f>
        <v>0</v>
      </c>
    </row>
    <row r="15" spans="1:8" ht="15" customHeight="1" x14ac:dyDescent="0.25">
      <c r="A15" s="13" t="s">
        <v>21</v>
      </c>
      <c r="B15" s="14" t="s">
        <v>22</v>
      </c>
      <c r="C15" s="106">
        <f t="shared" si="0"/>
        <v>245.06249999999997</v>
      </c>
      <c r="D15" s="16"/>
      <c r="E15" s="31">
        <v>3</v>
      </c>
      <c r="F15" s="30">
        <f>E15*F$6*(1+H$3)</f>
        <v>245.06249999999997</v>
      </c>
      <c r="G15" s="31">
        <v>0</v>
      </c>
      <c r="H15" s="30">
        <f>G15*H$6*(1+H$3)</f>
        <v>0</v>
      </c>
    </row>
    <row r="16" spans="1:8" ht="15" customHeight="1" x14ac:dyDescent="0.25">
      <c r="A16" s="13" t="s">
        <v>23</v>
      </c>
      <c r="B16" s="14" t="s">
        <v>24</v>
      </c>
      <c r="C16" s="106">
        <f t="shared" si="0"/>
        <v>245.06249999999997</v>
      </c>
      <c r="D16" s="16"/>
      <c r="E16" s="31">
        <v>3</v>
      </c>
      <c r="F16" s="30">
        <f>E16*F$6*(1+H$3)</f>
        <v>245.06249999999997</v>
      </c>
      <c r="G16" s="31">
        <v>0</v>
      </c>
      <c r="H16" s="30">
        <f>G16*H$6*(1+H$3)</f>
        <v>0</v>
      </c>
    </row>
    <row r="17" spans="1:8" ht="15" customHeight="1" x14ac:dyDescent="0.25">
      <c r="A17" s="9" t="s">
        <v>25</v>
      </c>
      <c r="B17" s="10" t="s">
        <v>26</v>
      </c>
      <c r="C17" s="18">
        <f>F17+H17*1.25</f>
        <v>1705.265625</v>
      </c>
      <c r="D17" s="19"/>
      <c r="E17" s="32">
        <f>SUM(E18:E23)</f>
        <v>18</v>
      </c>
      <c r="F17" s="30">
        <f>E17*F$6*(1+H$3)</f>
        <v>1470.375</v>
      </c>
      <c r="G17" s="32">
        <f>SUM(G18:G23)</f>
        <v>3</v>
      </c>
      <c r="H17" s="30">
        <f>G17*H$6*(1+H$3)</f>
        <v>187.91249999999997</v>
      </c>
    </row>
    <row r="18" spans="1:8" ht="15" customHeight="1" x14ac:dyDescent="0.25">
      <c r="A18" s="13" t="s">
        <v>27</v>
      </c>
      <c r="B18" s="14" t="s">
        <v>28</v>
      </c>
      <c r="C18" s="106">
        <f>SUM(F18+H18)</f>
        <v>816.875</v>
      </c>
      <c r="D18" s="16"/>
      <c r="E18" s="31">
        <v>10</v>
      </c>
      <c r="F18" s="30">
        <f>E18*F$6*(1+H$3)</f>
        <v>816.875</v>
      </c>
      <c r="G18" s="31">
        <v>0</v>
      </c>
      <c r="H18" s="30">
        <f>G18*H$6*(1+H$3)</f>
        <v>0</v>
      </c>
    </row>
    <row r="19" spans="1:8" ht="15" customHeight="1" x14ac:dyDescent="0.25">
      <c r="A19" s="13" t="s">
        <v>29</v>
      </c>
      <c r="B19" s="14" t="s">
        <v>30</v>
      </c>
      <c r="C19" s="106">
        <f t="shared" ref="C19:C23" si="1">SUM(F19+H19)</f>
        <v>841.41249999999991</v>
      </c>
      <c r="D19" s="16"/>
      <c r="E19" s="31">
        <v>8</v>
      </c>
      <c r="F19" s="30">
        <f>E19*F$6*(1+H$3)</f>
        <v>653.5</v>
      </c>
      <c r="G19" s="31">
        <v>3</v>
      </c>
      <c r="H19" s="30">
        <f>G19*H$6*(1+H$3)</f>
        <v>187.91249999999997</v>
      </c>
    </row>
    <row r="20" spans="1:8" ht="15" customHeight="1" x14ac:dyDescent="0.25">
      <c r="A20" s="13" t="s">
        <v>31</v>
      </c>
      <c r="B20" s="14" t="s">
        <v>32</v>
      </c>
      <c r="C20" s="106">
        <f t="shared" si="1"/>
        <v>0</v>
      </c>
      <c r="D20" s="16"/>
      <c r="E20" s="31">
        <v>0</v>
      </c>
      <c r="F20" s="30">
        <f>E20*F$6*(1+H$3)</f>
        <v>0</v>
      </c>
      <c r="G20" s="31">
        <v>0</v>
      </c>
      <c r="H20" s="30">
        <f>G20*H$6*(1+H$3)</f>
        <v>0</v>
      </c>
    </row>
    <row r="21" spans="1:8" ht="15" customHeight="1" x14ac:dyDescent="0.25">
      <c r="A21" s="13" t="s">
        <v>33</v>
      </c>
      <c r="B21" s="14" t="s">
        <v>34</v>
      </c>
      <c r="C21" s="106">
        <f t="shared" si="1"/>
        <v>0</v>
      </c>
      <c r="D21" s="16"/>
      <c r="E21" s="31">
        <v>0</v>
      </c>
      <c r="F21" s="30">
        <f>E21*F$6*(1+H$3)</f>
        <v>0</v>
      </c>
      <c r="G21" s="31">
        <v>0</v>
      </c>
      <c r="H21" s="30">
        <f>G21*H$6*(1+H$3)</f>
        <v>0</v>
      </c>
    </row>
    <row r="22" spans="1:8" ht="15" customHeight="1" x14ac:dyDescent="0.25">
      <c r="A22" s="13" t="s">
        <v>35</v>
      </c>
      <c r="B22" s="14" t="s">
        <v>36</v>
      </c>
      <c r="C22" s="106">
        <f t="shared" si="1"/>
        <v>0</v>
      </c>
      <c r="D22" s="16"/>
      <c r="E22" s="31">
        <v>0</v>
      </c>
      <c r="F22" s="30">
        <f>E22*F$6*(1+H$3)</f>
        <v>0</v>
      </c>
      <c r="G22" s="31">
        <v>0</v>
      </c>
      <c r="H22" s="30">
        <f>G22*H$6*(1+H$3)</f>
        <v>0</v>
      </c>
    </row>
    <row r="23" spans="1:8" ht="15" customHeight="1" x14ac:dyDescent="0.25">
      <c r="A23" s="13" t="s">
        <v>37</v>
      </c>
      <c r="B23" s="14" t="s">
        <v>38</v>
      </c>
      <c r="C23" s="106">
        <f t="shared" si="1"/>
        <v>0</v>
      </c>
      <c r="D23" s="16"/>
      <c r="E23" s="31">
        <v>0</v>
      </c>
      <c r="F23" s="30">
        <f>E23*F$6*(1+H$3)</f>
        <v>0</v>
      </c>
      <c r="G23" s="31">
        <v>0</v>
      </c>
      <c r="H23" s="30">
        <f>G23*H$6*(1+H$3)</f>
        <v>0</v>
      </c>
    </row>
    <row r="24" spans="1:8" ht="15" customHeight="1" x14ac:dyDescent="0.25">
      <c r="A24" s="9" t="s">
        <v>39</v>
      </c>
      <c r="B24" s="10" t="s">
        <v>40</v>
      </c>
      <c r="C24" s="18">
        <f>SUM(F24+H24)*1.25</f>
        <v>816.875</v>
      </c>
      <c r="D24" s="20"/>
      <c r="E24" s="32">
        <f>SUM(E25:E33)</f>
        <v>8</v>
      </c>
      <c r="F24" s="30">
        <f>E24*F$6*(1+H$3)</f>
        <v>653.5</v>
      </c>
      <c r="G24" s="32"/>
      <c r="H24" s="30">
        <f>G24*H$6*(1+H$3)</f>
        <v>0</v>
      </c>
    </row>
    <row r="25" spans="1:8" ht="15" customHeight="1" x14ac:dyDescent="0.25">
      <c r="A25" s="21" t="s">
        <v>41</v>
      </c>
      <c r="B25" s="14" t="s">
        <v>42</v>
      </c>
      <c r="C25" s="106">
        <f>SUM(F25+H25)</f>
        <v>81.6875</v>
      </c>
      <c r="D25" s="16"/>
      <c r="E25" s="31">
        <v>1</v>
      </c>
      <c r="F25" s="30">
        <f>E25*F$6*(1+H$3)</f>
        <v>81.6875</v>
      </c>
      <c r="G25" s="31">
        <v>0</v>
      </c>
      <c r="H25" s="30">
        <f>G25*H$6*(1+H$3)</f>
        <v>0</v>
      </c>
    </row>
    <row r="26" spans="1:8" ht="15" customHeight="1" x14ac:dyDescent="0.25">
      <c r="A26" s="21" t="s">
        <v>43</v>
      </c>
      <c r="B26" s="14" t="s">
        <v>44</v>
      </c>
      <c r="C26" s="106">
        <f t="shared" ref="C26:C33" si="2">SUM(F26+H26)</f>
        <v>245.06249999999997</v>
      </c>
      <c r="D26" s="16"/>
      <c r="E26" s="31">
        <v>3</v>
      </c>
      <c r="F26" s="30">
        <f>E26*F$6*(1+H$3)</f>
        <v>245.06249999999997</v>
      </c>
      <c r="G26" s="31">
        <v>0</v>
      </c>
      <c r="H26" s="30">
        <f>G26*H$6*(1+H$3)</f>
        <v>0</v>
      </c>
    </row>
    <row r="27" spans="1:8" ht="15" customHeight="1" x14ac:dyDescent="0.25">
      <c r="A27" s="22" t="s">
        <v>45</v>
      </c>
      <c r="B27" s="81" t="s">
        <v>46</v>
      </c>
      <c r="C27" s="106">
        <f t="shared" si="2"/>
        <v>326.75</v>
      </c>
      <c r="D27" s="16"/>
      <c r="E27" s="31">
        <v>4</v>
      </c>
      <c r="F27" s="30">
        <f>E27*F$6*(1+H$3)</f>
        <v>326.75</v>
      </c>
      <c r="G27" s="31">
        <v>0</v>
      </c>
      <c r="H27" s="30">
        <f>G27*H$6*(1+H$3)</f>
        <v>0</v>
      </c>
    </row>
    <row r="28" spans="1:8" ht="15" customHeight="1" x14ac:dyDescent="0.25">
      <c r="A28" s="21" t="s">
        <v>47</v>
      </c>
      <c r="B28" s="14" t="s">
        <v>48</v>
      </c>
      <c r="C28" s="106">
        <f t="shared" si="2"/>
        <v>0</v>
      </c>
      <c r="D28" s="16"/>
      <c r="E28" s="31">
        <v>0</v>
      </c>
      <c r="F28" s="30">
        <f>E28*F$6*(1+H$3)</f>
        <v>0</v>
      </c>
      <c r="G28" s="31">
        <v>0</v>
      </c>
      <c r="H28" s="30">
        <f>G28*H$6*(1+H$3)</f>
        <v>0</v>
      </c>
    </row>
    <row r="29" spans="1:8" ht="15" customHeight="1" x14ac:dyDescent="0.25">
      <c r="A29" s="21" t="s">
        <v>49</v>
      </c>
      <c r="B29" s="14" t="s">
        <v>50</v>
      </c>
      <c r="C29" s="106">
        <f t="shared" si="2"/>
        <v>0</v>
      </c>
      <c r="D29" s="16"/>
      <c r="E29" s="31">
        <v>0</v>
      </c>
      <c r="F29" s="30">
        <f>E29*F$6*(1+H$3)</f>
        <v>0</v>
      </c>
      <c r="G29" s="31">
        <v>0</v>
      </c>
      <c r="H29" s="30">
        <f>G29*H$6*(1+H$3)</f>
        <v>0</v>
      </c>
    </row>
    <row r="30" spans="1:8" ht="15" customHeight="1" x14ac:dyDescent="0.25">
      <c r="A30" s="21" t="s">
        <v>51</v>
      </c>
      <c r="B30" s="14" t="s">
        <v>52</v>
      </c>
      <c r="C30" s="106">
        <f t="shared" si="2"/>
        <v>0</v>
      </c>
      <c r="D30" s="16"/>
      <c r="E30" s="31">
        <v>0</v>
      </c>
      <c r="F30" s="30">
        <f>E30*F$6*(1+H$3)</f>
        <v>0</v>
      </c>
      <c r="G30" s="31">
        <v>0</v>
      </c>
      <c r="H30" s="30">
        <f>G30*H$6*(1+H$3)</f>
        <v>0</v>
      </c>
    </row>
    <row r="31" spans="1:8" ht="15" customHeight="1" x14ac:dyDescent="0.25">
      <c r="A31" s="21" t="s">
        <v>53</v>
      </c>
      <c r="B31" s="14" t="s">
        <v>54</v>
      </c>
      <c r="C31" s="106">
        <f t="shared" si="2"/>
        <v>0</v>
      </c>
      <c r="D31" s="16"/>
      <c r="E31" s="31">
        <v>0</v>
      </c>
      <c r="F31" s="30">
        <f>E31*F$6*(1+H$3)</f>
        <v>0</v>
      </c>
      <c r="G31" s="31">
        <v>0</v>
      </c>
      <c r="H31" s="30">
        <f>G31*H$6*(1+H$3)</f>
        <v>0</v>
      </c>
    </row>
    <row r="32" spans="1:8" ht="15" customHeight="1" x14ac:dyDescent="0.25">
      <c r="A32" s="13" t="s">
        <v>55</v>
      </c>
      <c r="B32" s="14" t="s">
        <v>56</v>
      </c>
      <c r="C32" s="106">
        <f t="shared" si="2"/>
        <v>0</v>
      </c>
      <c r="D32" s="16"/>
      <c r="E32" s="31">
        <v>0</v>
      </c>
      <c r="F32" s="30">
        <f>E32*F$6*(1+H$3)</f>
        <v>0</v>
      </c>
      <c r="G32" s="31">
        <v>0</v>
      </c>
      <c r="H32" s="30">
        <f>G32*H$6*(1+H$3)</f>
        <v>0</v>
      </c>
    </row>
    <row r="33" spans="1:8" ht="15" customHeight="1" x14ac:dyDescent="0.25">
      <c r="A33" s="13" t="s">
        <v>57</v>
      </c>
      <c r="B33" s="14" t="s">
        <v>58</v>
      </c>
      <c r="C33" s="106">
        <f t="shared" si="2"/>
        <v>0</v>
      </c>
      <c r="D33" s="16"/>
      <c r="E33" s="31">
        <v>0</v>
      </c>
      <c r="F33" s="30">
        <f>E33*F$6*(1+H$3)</f>
        <v>0</v>
      </c>
      <c r="G33" s="31">
        <v>0</v>
      </c>
      <c r="H33" s="30">
        <f>G33*H$6*(1+H$3)</f>
        <v>0</v>
      </c>
    </row>
    <row r="34" spans="1:8" ht="15" customHeight="1" x14ac:dyDescent="0.25">
      <c r="A34" s="9" t="s">
        <v>59</v>
      </c>
      <c r="B34" s="10" t="s">
        <v>60</v>
      </c>
      <c r="C34" s="18">
        <v>0</v>
      </c>
      <c r="D34" s="20"/>
      <c r="E34" s="32">
        <f>SUM(E35:E37)</f>
        <v>0</v>
      </c>
      <c r="F34" s="30">
        <f>E34*F$6*(1+H$3)</f>
        <v>0</v>
      </c>
      <c r="G34" s="32"/>
      <c r="H34" s="30">
        <f>G34*H$6*(1+H$3)</f>
        <v>0</v>
      </c>
    </row>
    <row r="35" spans="1:8" ht="15" customHeight="1" x14ac:dyDescent="0.25">
      <c r="A35" s="13" t="s">
        <v>61</v>
      </c>
      <c r="B35" s="14" t="s">
        <v>62</v>
      </c>
      <c r="C35" s="106">
        <v>0</v>
      </c>
      <c r="D35" s="16"/>
      <c r="E35" s="31">
        <v>0</v>
      </c>
      <c r="F35" s="30">
        <f>E35*F$6*(1+H$3)</f>
        <v>0</v>
      </c>
      <c r="G35" s="31">
        <v>0</v>
      </c>
      <c r="H35" s="30">
        <f>G35*H$6*(1+H$3)</f>
        <v>0</v>
      </c>
    </row>
    <row r="36" spans="1:8" ht="15" customHeight="1" x14ac:dyDescent="0.25">
      <c r="A36" s="13" t="s">
        <v>63</v>
      </c>
      <c r="B36" s="14" t="s">
        <v>64</v>
      </c>
      <c r="C36" s="106">
        <v>0</v>
      </c>
      <c r="D36" s="16"/>
      <c r="E36" s="31">
        <v>0</v>
      </c>
      <c r="F36" s="30">
        <f>E36*F$6*(1+H$3)</f>
        <v>0</v>
      </c>
      <c r="G36" s="31">
        <v>0</v>
      </c>
      <c r="H36" s="30">
        <f>G36*H$6*(1+H$3)</f>
        <v>0</v>
      </c>
    </row>
    <row r="37" spans="1:8" ht="15" customHeight="1" x14ac:dyDescent="0.25">
      <c r="A37" s="13" t="s">
        <v>65</v>
      </c>
      <c r="B37" s="14" t="s">
        <v>66</v>
      </c>
      <c r="C37" s="106">
        <v>0</v>
      </c>
      <c r="D37" s="16"/>
      <c r="E37" s="31">
        <v>0</v>
      </c>
      <c r="F37" s="30">
        <f>E37*F$6*(1+H$3)</f>
        <v>0</v>
      </c>
      <c r="G37" s="31">
        <v>0</v>
      </c>
      <c r="H37" s="30">
        <f>G37*H$6*(1+H$3)</f>
        <v>0</v>
      </c>
    </row>
    <row r="38" spans="1:8" ht="15" customHeight="1" x14ac:dyDescent="0.25">
      <c r="A38" s="9" t="s">
        <v>67</v>
      </c>
      <c r="B38" s="10" t="s">
        <v>68</v>
      </c>
      <c r="C38" s="18">
        <f>SUM(F38+H38)*1.25</f>
        <v>510.546875</v>
      </c>
      <c r="D38" s="20"/>
      <c r="E38" s="32">
        <f>SUM(E39:E41)</f>
        <v>5</v>
      </c>
      <c r="F38" s="30">
        <f>E38*F$6*(1+H$3)</f>
        <v>408.4375</v>
      </c>
      <c r="G38" s="32"/>
      <c r="H38" s="30">
        <f>G38*H$6*(1+H$3)</f>
        <v>0</v>
      </c>
    </row>
    <row r="39" spans="1:8" ht="15" customHeight="1" x14ac:dyDescent="0.25">
      <c r="A39" s="13" t="s">
        <v>69</v>
      </c>
      <c r="B39" s="14" t="s">
        <v>70</v>
      </c>
      <c r="C39" s="106">
        <f>SUM(F39+H39)</f>
        <v>408.4375</v>
      </c>
      <c r="D39" s="16"/>
      <c r="E39" s="31">
        <v>5</v>
      </c>
      <c r="F39" s="30">
        <f>E39*F$6*(1+H$3)</f>
        <v>408.4375</v>
      </c>
      <c r="G39" s="31">
        <v>0</v>
      </c>
      <c r="H39" s="30">
        <f>G39*H$6*(1+H$3)</f>
        <v>0</v>
      </c>
    </row>
    <row r="40" spans="1:8" ht="15" customHeight="1" x14ac:dyDescent="0.25">
      <c r="A40" s="13" t="s">
        <v>71</v>
      </c>
      <c r="B40" s="14" t="s">
        <v>72</v>
      </c>
      <c r="C40" s="106">
        <v>0</v>
      </c>
      <c r="D40" s="16"/>
      <c r="E40" s="31">
        <v>0</v>
      </c>
      <c r="F40" s="30">
        <f>E40*F$6*(1+H$3)</f>
        <v>0</v>
      </c>
      <c r="G40" s="31">
        <v>0</v>
      </c>
      <c r="H40" s="30">
        <f>G40*H$6*(1+H$3)</f>
        <v>0</v>
      </c>
    </row>
    <row r="41" spans="1:8" ht="15" customHeight="1" x14ac:dyDescent="0.25">
      <c r="A41" s="13" t="s">
        <v>73</v>
      </c>
      <c r="B41" s="14" t="s">
        <v>74</v>
      </c>
      <c r="C41" s="106">
        <v>0</v>
      </c>
      <c r="D41" s="16"/>
      <c r="E41" s="31">
        <v>0</v>
      </c>
      <c r="F41" s="30">
        <f>E41*F$6*(1+H$3)</f>
        <v>0</v>
      </c>
      <c r="G41" s="31">
        <v>0</v>
      </c>
      <c r="H41" s="30">
        <f>G41*H$6*(1+H$3)</f>
        <v>0</v>
      </c>
    </row>
    <row r="42" spans="1:8" ht="15" customHeight="1" x14ac:dyDescent="0.25">
      <c r="A42" s="9" t="s">
        <v>75</v>
      </c>
      <c r="B42" s="10" t="s">
        <v>76</v>
      </c>
      <c r="C42" s="18">
        <f>SUM(F42+H42)*1.25</f>
        <v>459.4921875</v>
      </c>
      <c r="D42" s="20"/>
      <c r="E42" s="32">
        <f>SUM(E43:E45)</f>
        <v>4.5</v>
      </c>
      <c r="F42" s="30">
        <f>E42*F$6*(1+H$3)</f>
        <v>367.59375</v>
      </c>
      <c r="G42" s="32"/>
      <c r="H42" s="30">
        <f>G42*H$6*(1+H$3)</f>
        <v>0</v>
      </c>
    </row>
    <row r="43" spans="1:8" ht="15" customHeight="1" x14ac:dyDescent="0.25">
      <c r="A43" s="13" t="s">
        <v>77</v>
      </c>
      <c r="B43" s="14" t="s">
        <v>78</v>
      </c>
      <c r="C43" s="106">
        <f t="shared" ref="C43:C44" si="3">SUM(F43+H43)</f>
        <v>0</v>
      </c>
      <c r="D43" s="16"/>
      <c r="E43" s="31">
        <v>0</v>
      </c>
      <c r="F43" s="30">
        <f>E43*F$6*(1+H$3)</f>
        <v>0</v>
      </c>
      <c r="G43" s="31">
        <v>0</v>
      </c>
      <c r="H43" s="30">
        <f>G43*H$6*(1+H$3)</f>
        <v>0</v>
      </c>
    </row>
    <row r="44" spans="1:8" ht="15" customHeight="1" x14ac:dyDescent="0.25">
      <c r="A44" s="13" t="s">
        <v>79</v>
      </c>
      <c r="B44" s="14" t="s">
        <v>80</v>
      </c>
      <c r="C44" s="106">
        <f t="shared" si="3"/>
        <v>0</v>
      </c>
      <c r="D44" s="16"/>
      <c r="E44" s="33">
        <v>0</v>
      </c>
      <c r="F44" s="30">
        <f>E44*F$6*(1+H$3)</f>
        <v>0</v>
      </c>
      <c r="G44" s="33">
        <v>0</v>
      </c>
      <c r="H44" s="30">
        <f>G44*H$6*(1+H$3)</f>
        <v>0</v>
      </c>
    </row>
    <row r="45" spans="1:8" ht="15.75" thickBot="1" x14ac:dyDescent="0.3">
      <c r="A45" s="36" t="s">
        <v>81</v>
      </c>
      <c r="B45" s="37" t="s">
        <v>82</v>
      </c>
      <c r="C45" s="106">
        <f>SUM(F45+H45)</f>
        <v>367.59375</v>
      </c>
      <c r="D45" s="16"/>
      <c r="E45" s="33">
        <v>4.5</v>
      </c>
      <c r="F45" s="30">
        <f>E45*F$6*(1+H$3)</f>
        <v>367.59375</v>
      </c>
      <c r="G45" s="33">
        <v>0</v>
      </c>
      <c r="H45" s="30">
        <f>G45*H$6*(1+H$3)</f>
        <v>0</v>
      </c>
    </row>
    <row r="46" spans="1:8" ht="15.75" thickBot="1" x14ac:dyDescent="0.3">
      <c r="A46" s="39" t="s">
        <v>83</v>
      </c>
      <c r="B46" s="38" t="s">
        <v>84</v>
      </c>
      <c r="C46" s="26">
        <f>SUM(C8+C12+C17+C24+C34+C38+C42)</f>
        <v>20559.9765625</v>
      </c>
      <c r="D46" s="108"/>
      <c r="E46" s="34">
        <f>E8+E12+E17+E24+E34+E38+E42</f>
        <v>190</v>
      </c>
      <c r="F46" s="35">
        <f>E46*F$6*(1+H$3)</f>
        <v>15520.624999999998</v>
      </c>
      <c r="G46" s="34">
        <f>G8+G12+G17+G24+G34+G38+G42</f>
        <v>19.5</v>
      </c>
      <c r="H46" s="35">
        <f>G46*H$6*(1+H$3)</f>
        <v>1221.4312500000001</v>
      </c>
    </row>
    <row r="53" spans="1:1" x14ac:dyDescent="0.25">
      <c r="A53" t="s">
        <v>84</v>
      </c>
    </row>
  </sheetData>
  <mergeCells count="1">
    <mergeCell ref="C2:D2"/>
  </mergeCells>
  <phoneticPr fontId="1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0AE2C-E8A9-4E04-AC5A-86016361F2E7}">
  <dimension ref="B1:K56"/>
  <sheetViews>
    <sheetView workbookViewId="0">
      <selection activeCell="K9" sqref="K9"/>
    </sheetView>
  </sheetViews>
  <sheetFormatPr baseColWidth="10" defaultColWidth="9.140625" defaultRowHeight="15" x14ac:dyDescent="0.25"/>
  <cols>
    <col min="5" max="5" width="63.85546875" customWidth="1"/>
    <col min="6" max="6" width="6" style="6" customWidth="1"/>
    <col min="7" max="7" width="14.140625" style="74" customWidth="1"/>
    <col min="8" max="8" width="4" style="74" customWidth="1"/>
    <col min="9" max="9" width="11" customWidth="1"/>
    <col min="11" max="11" width="14.140625" style="131" customWidth="1"/>
  </cols>
  <sheetData>
    <row r="1" spans="3:11" x14ac:dyDescent="0.25">
      <c r="G1" s="6"/>
      <c r="H1" s="45"/>
      <c r="K1" s="140"/>
    </row>
    <row r="2" spans="3:11" x14ac:dyDescent="0.25">
      <c r="E2" s="6"/>
      <c r="G2" s="6"/>
      <c r="H2" s="6"/>
      <c r="K2" s="140"/>
    </row>
    <row r="3" spans="3:11" x14ac:dyDescent="0.25">
      <c r="E3" t="s">
        <v>84</v>
      </c>
      <c r="G3" s="6" t="s">
        <v>109</v>
      </c>
      <c r="H3" s="6"/>
      <c r="I3" t="s">
        <v>84</v>
      </c>
      <c r="K3" s="140" t="s">
        <v>109</v>
      </c>
    </row>
    <row r="4" spans="3:11" x14ac:dyDescent="0.25">
      <c r="D4" s="2"/>
      <c r="E4" s="2"/>
      <c r="F4" s="3"/>
      <c r="G4" s="46" t="s">
        <v>0</v>
      </c>
      <c r="H4" s="47"/>
      <c r="K4" s="132" t="s">
        <v>0</v>
      </c>
    </row>
    <row r="5" spans="3:11" x14ac:dyDescent="0.25">
      <c r="D5" s="2"/>
      <c r="E5" s="2"/>
      <c r="F5" s="3"/>
      <c r="G5" s="46" t="s">
        <v>1</v>
      </c>
      <c r="H5" s="48"/>
      <c r="K5" s="132" t="s">
        <v>1</v>
      </c>
    </row>
    <row r="6" spans="3:11" x14ac:dyDescent="0.25">
      <c r="D6" s="2"/>
      <c r="E6" s="2"/>
      <c r="F6" s="3"/>
      <c r="G6" s="46" t="s">
        <v>88</v>
      </c>
      <c r="H6" s="49"/>
      <c r="K6" s="132" t="s">
        <v>88</v>
      </c>
    </row>
    <row r="7" spans="3:11" x14ac:dyDescent="0.25">
      <c r="D7" s="2"/>
      <c r="E7" s="2" t="s">
        <v>110</v>
      </c>
      <c r="F7" s="50" t="s">
        <v>3</v>
      </c>
      <c r="G7" s="46" t="s">
        <v>97</v>
      </c>
      <c r="H7" s="49"/>
      <c r="K7" s="132" t="s">
        <v>97</v>
      </c>
    </row>
    <row r="8" spans="3:11" x14ac:dyDescent="0.25">
      <c r="D8" s="2"/>
      <c r="E8" s="2"/>
      <c r="F8" s="50" t="s">
        <v>4</v>
      </c>
      <c r="G8" s="46" t="s">
        <v>84</v>
      </c>
      <c r="H8" s="49"/>
      <c r="I8" t="s">
        <v>111</v>
      </c>
      <c r="K8" s="132" t="s">
        <v>84</v>
      </c>
    </row>
    <row r="9" spans="3:11" s="130" customFormat="1" x14ac:dyDescent="0.25">
      <c r="D9" s="2"/>
      <c r="E9" s="2" t="s">
        <v>141</v>
      </c>
      <c r="F9" s="50"/>
      <c r="G9" s="132"/>
      <c r="H9" s="49"/>
      <c r="K9" s="132">
        <v>0</v>
      </c>
    </row>
    <row r="10" spans="3:11" ht="24.95" customHeight="1" x14ac:dyDescent="0.25">
      <c r="D10" s="2"/>
      <c r="E10" s="51" t="s">
        <v>7</v>
      </c>
      <c r="F10" s="52" t="s">
        <v>8</v>
      </c>
      <c r="G10" s="53">
        <f>SUM(G11:G13)*1.25</f>
        <v>2402.53125</v>
      </c>
      <c r="H10" s="54"/>
      <c r="I10" s="53">
        <f>SUM(I11:I13)</f>
        <v>36.75</v>
      </c>
      <c r="K10" s="133">
        <f>SUM(K11:K13)</f>
        <v>2402.53125</v>
      </c>
    </row>
    <row r="11" spans="3:11" ht="15" customHeight="1" x14ac:dyDescent="0.25">
      <c r="D11" s="2"/>
      <c r="E11" s="55" t="s">
        <v>9</v>
      </c>
      <c r="F11" s="56" t="s">
        <v>10</v>
      </c>
      <c r="G11" s="57">
        <f>I11*52.3</f>
        <v>248.42499999999998</v>
      </c>
      <c r="H11" s="58"/>
      <c r="I11" s="57">
        <f>4.75</f>
        <v>4.75</v>
      </c>
      <c r="K11" s="134">
        <f>SUM(G11*1.25)</f>
        <v>310.53125</v>
      </c>
    </row>
    <row r="12" spans="3:11" ht="15" customHeight="1" x14ac:dyDescent="0.25">
      <c r="D12" s="2"/>
      <c r="E12" s="55" t="s">
        <v>11</v>
      </c>
      <c r="F12" s="56" t="s">
        <v>12</v>
      </c>
      <c r="G12" s="57">
        <f>I12*52.3</f>
        <v>1176.75</v>
      </c>
      <c r="H12" s="58"/>
      <c r="I12" s="57">
        <f>16.25+6.25</f>
        <v>22.5</v>
      </c>
      <c r="K12" s="134">
        <f t="shared" ref="K12:K13" si="0">SUM(G12*1.25)</f>
        <v>1470.9375</v>
      </c>
    </row>
    <row r="13" spans="3:11" ht="15" customHeight="1" x14ac:dyDescent="0.25">
      <c r="D13" s="2"/>
      <c r="E13" s="55" t="s">
        <v>13</v>
      </c>
      <c r="F13" s="56" t="s">
        <v>14</v>
      </c>
      <c r="G13" s="57">
        <f>I13*52.3</f>
        <v>496.84999999999997</v>
      </c>
      <c r="H13" s="58"/>
      <c r="I13" s="57">
        <f>9.5</f>
        <v>9.5</v>
      </c>
      <c r="K13" s="134">
        <f t="shared" si="0"/>
        <v>621.0625</v>
      </c>
    </row>
    <row r="14" spans="3:11" ht="25.5" customHeight="1" x14ac:dyDescent="0.25">
      <c r="C14" t="s">
        <v>84</v>
      </c>
      <c r="D14" s="2"/>
      <c r="E14" s="51" t="s">
        <v>15</v>
      </c>
      <c r="F14" s="52" t="s">
        <v>16</v>
      </c>
      <c r="G14" s="59">
        <f>SUM(G15:G18)*1.25</f>
        <v>555.6875</v>
      </c>
      <c r="H14" s="60"/>
      <c r="I14" s="59">
        <f>SUM(I15:I18)</f>
        <v>8.5</v>
      </c>
      <c r="K14" s="135">
        <f>SUM(K15:K18)</f>
        <v>555.6875</v>
      </c>
    </row>
    <row r="15" spans="3:11" ht="15" customHeight="1" x14ac:dyDescent="0.25">
      <c r="D15" s="2"/>
      <c r="E15" s="55" t="s">
        <v>17</v>
      </c>
      <c r="F15" s="56" t="s">
        <v>18</v>
      </c>
      <c r="G15" s="57">
        <f>I15*52.3</f>
        <v>0</v>
      </c>
      <c r="H15" s="58"/>
      <c r="I15" s="57">
        <v>0</v>
      </c>
      <c r="K15" s="134">
        <f>SUM(G15*1.25)</f>
        <v>0</v>
      </c>
    </row>
    <row r="16" spans="3:11" ht="15" customHeight="1" x14ac:dyDescent="0.25">
      <c r="D16" s="2"/>
      <c r="E16" s="55" t="s">
        <v>19</v>
      </c>
      <c r="F16" s="56" t="s">
        <v>20</v>
      </c>
      <c r="G16" s="57">
        <f>I16*52.3</f>
        <v>0</v>
      </c>
      <c r="H16" s="58"/>
      <c r="I16" s="57">
        <v>0</v>
      </c>
      <c r="K16" s="134">
        <f t="shared" ref="K16:K18" si="1">SUM(G16*1.25)</f>
        <v>0</v>
      </c>
    </row>
    <row r="17" spans="2:11" ht="15" customHeight="1" x14ac:dyDescent="0.25">
      <c r="D17" s="2"/>
      <c r="E17" s="55" t="s">
        <v>21</v>
      </c>
      <c r="F17" s="56" t="s">
        <v>22</v>
      </c>
      <c r="G17" s="57">
        <f>I17*52.3</f>
        <v>0</v>
      </c>
      <c r="H17" s="58"/>
      <c r="I17" s="57">
        <v>0</v>
      </c>
      <c r="K17" s="134">
        <f t="shared" si="1"/>
        <v>0</v>
      </c>
    </row>
    <row r="18" spans="2:11" ht="15" customHeight="1" x14ac:dyDescent="0.25">
      <c r="D18" s="2"/>
      <c r="E18" s="55" t="s">
        <v>23</v>
      </c>
      <c r="F18" s="56" t="s">
        <v>24</v>
      </c>
      <c r="G18" s="57">
        <f>I18*52.3</f>
        <v>444.54999999999995</v>
      </c>
      <c r="H18" s="58"/>
      <c r="I18" s="57">
        <f>3.5+5</f>
        <v>8.5</v>
      </c>
      <c r="K18" s="134">
        <f t="shared" si="1"/>
        <v>555.6875</v>
      </c>
    </row>
    <row r="19" spans="2:11" ht="23.45" customHeight="1" x14ac:dyDescent="0.25">
      <c r="D19" s="2"/>
      <c r="E19" s="51" t="s">
        <v>25</v>
      </c>
      <c r="F19" s="52" t="s">
        <v>26</v>
      </c>
      <c r="G19" s="59">
        <f>SUM(G20:G25)*1.25</f>
        <v>1307.5</v>
      </c>
      <c r="H19" s="60"/>
      <c r="I19" s="59">
        <f>SUM(I20:I25)</f>
        <v>20</v>
      </c>
      <c r="K19" s="135">
        <f>SUM(K20:K25)</f>
        <v>1307.5</v>
      </c>
    </row>
    <row r="20" spans="2:11" ht="15" customHeight="1" x14ac:dyDescent="0.25">
      <c r="D20" s="2"/>
      <c r="E20" s="55" t="s">
        <v>27</v>
      </c>
      <c r="F20" s="56" t="s">
        <v>28</v>
      </c>
      <c r="G20" s="57">
        <f t="shared" ref="G20:G25" si="2">I20*52.3</f>
        <v>836.8</v>
      </c>
      <c r="H20" s="58"/>
      <c r="I20" s="57">
        <f>2.5+9.5+4</f>
        <v>16</v>
      </c>
      <c r="K20" s="134">
        <f>SUM(G20*1.25)</f>
        <v>1046</v>
      </c>
    </row>
    <row r="21" spans="2:11" ht="15" customHeight="1" x14ac:dyDescent="0.25">
      <c r="D21" s="2"/>
      <c r="E21" s="55" t="s">
        <v>29</v>
      </c>
      <c r="F21" s="56" t="s">
        <v>30</v>
      </c>
      <c r="G21" s="57">
        <f t="shared" si="2"/>
        <v>209.2</v>
      </c>
      <c r="H21" s="58"/>
      <c r="I21" s="57">
        <f>4</f>
        <v>4</v>
      </c>
      <c r="K21" s="134">
        <f t="shared" ref="K21:K25" si="3">SUM(G21*1.25)</f>
        <v>261.5</v>
      </c>
    </row>
    <row r="22" spans="2:11" ht="15" customHeight="1" x14ac:dyDescent="0.25">
      <c r="B22" t="s">
        <v>84</v>
      </c>
      <c r="D22" s="2"/>
      <c r="E22" s="55" t="s">
        <v>31</v>
      </c>
      <c r="F22" s="56" t="s">
        <v>32</v>
      </c>
      <c r="G22" s="57">
        <f t="shared" si="2"/>
        <v>0</v>
      </c>
      <c r="H22" s="58"/>
      <c r="I22" s="57">
        <v>0</v>
      </c>
      <c r="K22" s="134">
        <f t="shared" si="3"/>
        <v>0</v>
      </c>
    </row>
    <row r="23" spans="2:11" ht="15" customHeight="1" x14ac:dyDescent="0.25">
      <c r="D23" s="2"/>
      <c r="E23" s="55" t="s">
        <v>33</v>
      </c>
      <c r="F23" s="56" t="s">
        <v>34</v>
      </c>
      <c r="G23" s="57">
        <f t="shared" si="2"/>
        <v>0</v>
      </c>
      <c r="H23" s="58"/>
      <c r="I23" s="57">
        <v>0</v>
      </c>
      <c r="K23" s="134">
        <f t="shared" si="3"/>
        <v>0</v>
      </c>
    </row>
    <row r="24" spans="2:11" ht="15" customHeight="1" x14ac:dyDescent="0.25">
      <c r="D24" s="2"/>
      <c r="E24" s="55" t="s">
        <v>35</v>
      </c>
      <c r="F24" s="56" t="s">
        <v>36</v>
      </c>
      <c r="G24" s="57">
        <f t="shared" si="2"/>
        <v>0</v>
      </c>
      <c r="H24" s="58"/>
      <c r="I24" s="57">
        <v>0</v>
      </c>
      <c r="K24" s="134">
        <f t="shared" si="3"/>
        <v>0</v>
      </c>
    </row>
    <row r="25" spans="2:11" ht="15" customHeight="1" x14ac:dyDescent="0.25">
      <c r="D25" s="2"/>
      <c r="E25" s="65" t="s">
        <v>37</v>
      </c>
      <c r="F25" s="66" t="s">
        <v>38</v>
      </c>
      <c r="G25" s="57">
        <f t="shared" si="2"/>
        <v>0</v>
      </c>
      <c r="H25" s="58"/>
      <c r="I25" s="57">
        <v>0</v>
      </c>
      <c r="K25" s="134">
        <f t="shared" si="3"/>
        <v>0</v>
      </c>
    </row>
    <row r="26" spans="2:11" ht="19.5" customHeight="1" x14ac:dyDescent="0.25">
      <c r="D26" s="2"/>
      <c r="E26" s="51" t="s">
        <v>39</v>
      </c>
      <c r="F26" s="52" t="s">
        <v>40</v>
      </c>
      <c r="G26" s="59">
        <v>0</v>
      </c>
      <c r="H26" s="67"/>
      <c r="I26" s="59">
        <v>0</v>
      </c>
      <c r="K26" s="135">
        <f>SUM(K27:K35)</f>
        <v>0</v>
      </c>
    </row>
    <row r="27" spans="2:11" ht="15" customHeight="1" x14ac:dyDescent="0.25">
      <c r="D27" s="2"/>
      <c r="E27" s="69" t="s">
        <v>102</v>
      </c>
      <c r="F27" s="56" t="s">
        <v>42</v>
      </c>
      <c r="G27" s="57">
        <v>0</v>
      </c>
      <c r="H27" s="58"/>
      <c r="I27" s="57">
        <v>0</v>
      </c>
      <c r="K27" s="134">
        <f>SUM(G27*1.25)</f>
        <v>0</v>
      </c>
    </row>
    <row r="28" spans="2:11" ht="15" customHeight="1" x14ac:dyDescent="0.25">
      <c r="D28" s="2"/>
      <c r="E28" s="69" t="s">
        <v>43</v>
      </c>
      <c r="F28" s="56" t="s">
        <v>44</v>
      </c>
      <c r="G28" s="57">
        <v>0</v>
      </c>
      <c r="H28" s="58"/>
      <c r="I28" s="57">
        <v>0</v>
      </c>
      <c r="K28" s="134">
        <f t="shared" ref="K28:K35" si="4">SUM(G28*1.25)</f>
        <v>0</v>
      </c>
    </row>
    <row r="29" spans="2:11" ht="15" customHeight="1" x14ac:dyDescent="0.25">
      <c r="D29" s="2"/>
      <c r="E29" s="69" t="s">
        <v>45</v>
      </c>
      <c r="F29" s="56" t="s">
        <v>46</v>
      </c>
      <c r="G29" s="57">
        <v>0</v>
      </c>
      <c r="H29" s="58"/>
      <c r="I29" s="57">
        <v>0</v>
      </c>
      <c r="K29" s="134">
        <f t="shared" si="4"/>
        <v>0</v>
      </c>
    </row>
    <row r="30" spans="2:11" ht="15" customHeight="1" x14ac:dyDescent="0.25">
      <c r="D30" s="2"/>
      <c r="E30" s="69" t="s">
        <v>47</v>
      </c>
      <c r="F30" s="56" t="s">
        <v>48</v>
      </c>
      <c r="G30" s="57">
        <v>0</v>
      </c>
      <c r="H30" s="58"/>
      <c r="I30" s="57">
        <v>0</v>
      </c>
      <c r="K30" s="134">
        <f t="shared" si="4"/>
        <v>0</v>
      </c>
    </row>
    <row r="31" spans="2:11" ht="15" customHeight="1" x14ac:dyDescent="0.25">
      <c r="D31" s="2"/>
      <c r="E31" s="70" t="s">
        <v>99</v>
      </c>
      <c r="F31" s="66" t="s">
        <v>50</v>
      </c>
      <c r="G31" s="57">
        <v>0</v>
      </c>
      <c r="H31" s="58"/>
      <c r="I31" s="57">
        <v>0</v>
      </c>
      <c r="K31" s="134">
        <f t="shared" si="4"/>
        <v>0</v>
      </c>
    </row>
    <row r="32" spans="2:11" ht="15" customHeight="1" x14ac:dyDescent="0.25">
      <c r="D32" s="2"/>
      <c r="E32" s="69" t="s">
        <v>51</v>
      </c>
      <c r="F32" s="56" t="s">
        <v>52</v>
      </c>
      <c r="G32" s="57">
        <v>0</v>
      </c>
      <c r="H32" s="58"/>
      <c r="I32" s="57">
        <v>0</v>
      </c>
      <c r="K32" s="134">
        <f t="shared" si="4"/>
        <v>0</v>
      </c>
    </row>
    <row r="33" spans="4:11" ht="15" customHeight="1" x14ac:dyDescent="0.25">
      <c r="D33" s="2"/>
      <c r="E33" s="69" t="s">
        <v>53</v>
      </c>
      <c r="F33" s="56" t="s">
        <v>54</v>
      </c>
      <c r="G33" s="57">
        <v>0</v>
      </c>
      <c r="H33" s="58"/>
      <c r="I33" s="57">
        <v>0</v>
      </c>
      <c r="K33" s="134">
        <f t="shared" si="4"/>
        <v>0</v>
      </c>
    </row>
    <row r="34" spans="4:11" ht="15" customHeight="1" x14ac:dyDescent="0.25">
      <c r="D34" s="2"/>
      <c r="E34" s="55" t="s">
        <v>55</v>
      </c>
      <c r="F34" s="56" t="s">
        <v>56</v>
      </c>
      <c r="G34" s="57">
        <v>0</v>
      </c>
      <c r="H34" s="58"/>
      <c r="I34" s="57">
        <v>0</v>
      </c>
      <c r="K34" s="134">
        <f t="shared" si="4"/>
        <v>0</v>
      </c>
    </row>
    <row r="35" spans="4:11" ht="15" customHeight="1" x14ac:dyDescent="0.25">
      <c r="D35" s="2"/>
      <c r="E35" s="55" t="s">
        <v>57</v>
      </c>
      <c r="F35" s="56" t="s">
        <v>58</v>
      </c>
      <c r="G35" s="57">
        <v>0</v>
      </c>
      <c r="H35" s="58"/>
      <c r="I35" s="57">
        <v>0</v>
      </c>
      <c r="K35" s="134">
        <f t="shared" si="4"/>
        <v>0</v>
      </c>
    </row>
    <row r="36" spans="4:11" ht="24" customHeight="1" x14ac:dyDescent="0.25">
      <c r="D36" s="2"/>
      <c r="E36" s="51" t="s">
        <v>59</v>
      </c>
      <c r="F36" s="52" t="s">
        <v>60</v>
      </c>
      <c r="G36" s="59">
        <f>SUM(G37:G39)*1.25</f>
        <v>359.5625</v>
      </c>
      <c r="H36" s="67"/>
      <c r="I36" s="59">
        <f>SUM(I37:I39)</f>
        <v>5.5</v>
      </c>
      <c r="K36" s="135">
        <f>SUM(K37:K39)</f>
        <v>359.5625</v>
      </c>
    </row>
    <row r="37" spans="4:11" ht="15" customHeight="1" x14ac:dyDescent="0.25">
      <c r="D37" s="2"/>
      <c r="E37" s="65" t="s">
        <v>61</v>
      </c>
      <c r="F37" s="66" t="s">
        <v>62</v>
      </c>
      <c r="G37" s="57">
        <f>I37*52.3</f>
        <v>287.64999999999998</v>
      </c>
      <c r="H37" s="58"/>
      <c r="I37" s="57">
        <f>3.5+2</f>
        <v>5.5</v>
      </c>
      <c r="J37" s="41"/>
      <c r="K37" s="134">
        <f>SUM(G37*1.25)</f>
        <v>359.5625</v>
      </c>
    </row>
    <row r="38" spans="4:11" ht="15" customHeight="1" x14ac:dyDescent="0.25">
      <c r="D38" s="2"/>
      <c r="E38" s="65" t="s">
        <v>100</v>
      </c>
      <c r="F38" s="66" t="s">
        <v>64</v>
      </c>
      <c r="G38" s="57">
        <f>I38*52.3</f>
        <v>0</v>
      </c>
      <c r="H38" s="58"/>
      <c r="I38" s="57">
        <v>0</v>
      </c>
      <c r="K38" s="134">
        <f t="shared" ref="K38:K39" si="5">SUM(G38*1.25)</f>
        <v>0</v>
      </c>
    </row>
    <row r="39" spans="4:11" ht="24" customHeight="1" x14ac:dyDescent="0.25">
      <c r="D39" s="2"/>
      <c r="E39" s="65" t="s">
        <v>65</v>
      </c>
      <c r="F39" s="66" t="s">
        <v>66</v>
      </c>
      <c r="G39" s="57">
        <f>I39*52.3</f>
        <v>0</v>
      </c>
      <c r="H39" s="58"/>
      <c r="I39" s="57">
        <v>0</v>
      </c>
      <c r="K39" s="134">
        <f t="shared" si="5"/>
        <v>0</v>
      </c>
    </row>
    <row r="40" spans="4:11" ht="15" customHeight="1" x14ac:dyDescent="0.25">
      <c r="D40" s="2"/>
      <c r="E40" s="51" t="s">
        <v>67</v>
      </c>
      <c r="F40" s="52" t="s">
        <v>68</v>
      </c>
      <c r="G40" s="59">
        <f>SUM(G41:G43)*1.25</f>
        <v>4821.40625</v>
      </c>
      <c r="H40" s="67"/>
      <c r="I40" s="59">
        <f>SUM(I41:I43)</f>
        <v>73.75</v>
      </c>
      <c r="K40" s="135">
        <f>SUM(K41:K43)</f>
        <v>4821.40625</v>
      </c>
    </row>
    <row r="41" spans="4:11" ht="15" customHeight="1" x14ac:dyDescent="0.25">
      <c r="D41" s="2"/>
      <c r="E41" s="55" t="s">
        <v>69</v>
      </c>
      <c r="F41" s="56" t="s">
        <v>70</v>
      </c>
      <c r="G41" s="57">
        <f>I41*52.3</f>
        <v>3857.125</v>
      </c>
      <c r="H41" s="58"/>
      <c r="I41" s="57">
        <f>2.5+32.25+4+2.5+1+2+2.5+2+2+15+8</f>
        <v>73.75</v>
      </c>
      <c r="K41" s="134">
        <f>SUM(G41*1.25)</f>
        <v>4821.40625</v>
      </c>
    </row>
    <row r="42" spans="4:11" ht="15" customHeight="1" x14ac:dyDescent="0.25">
      <c r="D42" s="2"/>
      <c r="E42" s="55" t="s">
        <v>71</v>
      </c>
      <c r="F42" s="56" t="s">
        <v>72</v>
      </c>
      <c r="G42" s="57">
        <f>I42*52.3</f>
        <v>0</v>
      </c>
      <c r="H42" s="58"/>
      <c r="I42" s="57">
        <v>0</v>
      </c>
      <c r="K42" s="134">
        <f t="shared" ref="K42:K43" si="6">SUM(G42*1.25)</f>
        <v>0</v>
      </c>
    </row>
    <row r="43" spans="4:11" ht="15" customHeight="1" x14ac:dyDescent="0.25">
      <c r="D43" s="2"/>
      <c r="E43" s="55" t="s">
        <v>73</v>
      </c>
      <c r="F43" s="56" t="s">
        <v>74</v>
      </c>
      <c r="G43" s="57">
        <f>I43*52.3</f>
        <v>0</v>
      </c>
      <c r="H43" s="58"/>
      <c r="I43" s="57">
        <v>0</v>
      </c>
      <c r="K43" s="134">
        <f t="shared" si="6"/>
        <v>0</v>
      </c>
    </row>
    <row r="44" spans="4:11" ht="15" customHeight="1" x14ac:dyDescent="0.25">
      <c r="D44" s="2"/>
      <c r="E44" s="51" t="s">
        <v>75</v>
      </c>
      <c r="F44" s="52" t="s">
        <v>76</v>
      </c>
      <c r="G44" s="59">
        <v>0</v>
      </c>
      <c r="H44" s="67"/>
      <c r="I44" s="59">
        <v>0</v>
      </c>
      <c r="K44" s="135">
        <f>SUM(K45:K47)</f>
        <v>0</v>
      </c>
    </row>
    <row r="45" spans="4:11" ht="15" customHeight="1" x14ac:dyDescent="0.25">
      <c r="D45" s="2"/>
      <c r="E45" s="55" t="s">
        <v>77</v>
      </c>
      <c r="F45" s="56" t="s">
        <v>78</v>
      </c>
      <c r="G45" s="57">
        <v>0</v>
      </c>
      <c r="H45" s="58"/>
      <c r="I45" s="57">
        <v>0</v>
      </c>
      <c r="K45" s="134">
        <f>SUM(G45*1.25)</f>
        <v>0</v>
      </c>
    </row>
    <row r="46" spans="4:11" ht="15" customHeight="1" x14ac:dyDescent="0.25">
      <c r="D46" s="2"/>
      <c r="E46" s="55" t="s">
        <v>79</v>
      </c>
      <c r="F46" s="56" t="s">
        <v>80</v>
      </c>
      <c r="G46" s="75">
        <v>0</v>
      </c>
      <c r="H46" s="58"/>
      <c r="I46" s="75">
        <v>0</v>
      </c>
      <c r="K46" s="134">
        <f t="shared" ref="K46:K47" si="7">SUM(G46*1.25)</f>
        <v>0</v>
      </c>
    </row>
    <row r="47" spans="4:11" ht="15" customHeight="1" thickBot="1" x14ac:dyDescent="0.3">
      <c r="D47" s="2"/>
      <c r="E47" s="69" t="s">
        <v>81</v>
      </c>
      <c r="F47" s="56" t="s">
        <v>82</v>
      </c>
      <c r="G47" s="75">
        <v>0</v>
      </c>
      <c r="H47" s="58"/>
      <c r="I47" s="75">
        <v>0</v>
      </c>
      <c r="K47" s="134">
        <f t="shared" si="7"/>
        <v>0</v>
      </c>
    </row>
    <row r="48" spans="4:11" ht="15.75" thickBot="1" x14ac:dyDescent="0.3">
      <c r="D48" s="2"/>
      <c r="E48" s="71" t="s">
        <v>83</v>
      </c>
      <c r="F48" s="3" t="s">
        <v>84</v>
      </c>
      <c r="G48" s="72">
        <f>SUM(G10+G14+G19+G26+G36+G40+G44)</f>
        <v>9446.6875</v>
      </c>
      <c r="H48" s="73"/>
      <c r="I48" s="82">
        <f>I10+I14+I19+I26+I36+I40+I44</f>
        <v>144.5</v>
      </c>
      <c r="K48" s="136">
        <f>SUM(K10+K14+K19+K26+K36+K40+K44)</f>
        <v>9446.6875</v>
      </c>
    </row>
    <row r="49" spans="4:5" x14ac:dyDescent="0.25">
      <c r="D49" s="2"/>
    </row>
    <row r="56" spans="4:5" x14ac:dyDescent="0.25">
      <c r="E56" t="s">
        <v>84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9103-D81F-4C03-9309-8FB7CA19E50E}">
  <dimension ref="B1:P56"/>
  <sheetViews>
    <sheetView topLeftCell="A12" workbookViewId="0">
      <selection activeCell="Q36" sqref="Q36"/>
    </sheetView>
  </sheetViews>
  <sheetFormatPr baseColWidth="10" defaultColWidth="9.140625" defaultRowHeight="15" x14ac:dyDescent="0.25"/>
  <cols>
    <col min="5" max="5" width="65.7109375" customWidth="1"/>
    <col min="6" max="6" width="6" style="6" customWidth="1"/>
    <col min="7" max="7" width="14.140625" style="74" customWidth="1"/>
    <col min="8" max="8" width="4" style="74" customWidth="1"/>
    <col min="9" max="9" width="14.28515625" style="93" customWidth="1"/>
    <col min="10" max="10" width="11" customWidth="1"/>
    <col min="12" max="12" width="14.140625" style="131" customWidth="1"/>
  </cols>
  <sheetData>
    <row r="1" spans="3:12" x14ac:dyDescent="0.25">
      <c r="G1" s="6"/>
      <c r="H1" s="45"/>
      <c r="L1" s="140"/>
    </row>
    <row r="2" spans="3:12" x14ac:dyDescent="0.25">
      <c r="E2" s="6" t="s">
        <v>112</v>
      </c>
      <c r="G2" s="6"/>
      <c r="H2" s="6"/>
      <c r="L2" s="140"/>
    </row>
    <row r="3" spans="3:12" ht="18.75" x14ac:dyDescent="0.3">
      <c r="E3" t="s">
        <v>84</v>
      </c>
      <c r="G3" s="6"/>
      <c r="H3" s="6"/>
      <c r="J3" t="s">
        <v>84</v>
      </c>
      <c r="K3" s="90" t="s">
        <v>90</v>
      </c>
      <c r="L3" s="140"/>
    </row>
    <row r="4" spans="3:12" x14ac:dyDescent="0.25">
      <c r="D4" s="2"/>
      <c r="E4" s="2"/>
      <c r="F4" s="3"/>
      <c r="G4" s="95" t="s">
        <v>0</v>
      </c>
      <c r="H4" s="46"/>
      <c r="I4" s="95" t="s">
        <v>0</v>
      </c>
      <c r="L4" s="95" t="s">
        <v>0</v>
      </c>
    </row>
    <row r="5" spans="3:12" x14ac:dyDescent="0.25">
      <c r="D5" s="2"/>
      <c r="E5" s="2"/>
      <c r="F5" s="3"/>
      <c r="G5" s="95" t="s">
        <v>1</v>
      </c>
      <c r="H5" s="46"/>
      <c r="I5" s="95" t="s">
        <v>131</v>
      </c>
      <c r="L5" s="95" t="s">
        <v>1</v>
      </c>
    </row>
    <row r="6" spans="3:12" x14ac:dyDescent="0.25">
      <c r="D6" s="2"/>
      <c r="E6" s="2"/>
      <c r="F6" s="3"/>
      <c r="G6" s="95" t="s">
        <v>88</v>
      </c>
      <c r="H6" s="46"/>
      <c r="I6" s="95" t="s">
        <v>88</v>
      </c>
      <c r="L6" s="95" t="s">
        <v>88</v>
      </c>
    </row>
    <row r="7" spans="3:12" x14ac:dyDescent="0.25">
      <c r="D7" s="2"/>
      <c r="E7" s="2" t="s">
        <v>103</v>
      </c>
      <c r="F7" s="50" t="s">
        <v>3</v>
      </c>
      <c r="G7" s="95" t="s">
        <v>97</v>
      </c>
      <c r="H7" s="46"/>
      <c r="I7" s="95" t="s">
        <v>97</v>
      </c>
      <c r="L7" s="95" t="s">
        <v>97</v>
      </c>
    </row>
    <row r="8" spans="3:12" x14ac:dyDescent="0.25">
      <c r="D8" s="2"/>
      <c r="E8" s="2"/>
      <c r="F8" s="50" t="s">
        <v>4</v>
      </c>
      <c r="G8" s="46" t="s">
        <v>84</v>
      </c>
      <c r="H8" s="46" t="s">
        <v>84</v>
      </c>
      <c r="I8" s="46" t="s">
        <v>84</v>
      </c>
      <c r="L8" s="132" t="s">
        <v>84</v>
      </c>
    </row>
    <row r="9" spans="3:12" s="130" customFormat="1" x14ac:dyDescent="0.25">
      <c r="D9" s="2"/>
      <c r="E9" s="2" t="s">
        <v>141</v>
      </c>
      <c r="F9" s="50" t="s">
        <v>149</v>
      </c>
      <c r="G9" s="132">
        <v>4611</v>
      </c>
      <c r="H9" s="132"/>
      <c r="I9" s="132">
        <v>4611</v>
      </c>
      <c r="L9" s="132">
        <f>SUM(G9*1.25)</f>
        <v>5763.75</v>
      </c>
    </row>
    <row r="10" spans="3:12" ht="15" customHeight="1" x14ac:dyDescent="0.25">
      <c r="D10" s="2"/>
      <c r="E10" s="51" t="s">
        <v>7</v>
      </c>
      <c r="F10" s="52" t="s">
        <v>8</v>
      </c>
      <c r="G10" s="53">
        <f>SUM(G11:G13)*1.25</f>
        <v>15319.057412720269</v>
      </c>
      <c r="H10" s="54"/>
      <c r="I10" s="94">
        <f>SUM(I11:I13)</f>
        <v>15319.057412720273</v>
      </c>
      <c r="L10" s="133">
        <f>SUM(L11:L13)</f>
        <v>12255.245930176216</v>
      </c>
    </row>
    <row r="11" spans="3:12" ht="15" customHeight="1" x14ac:dyDescent="0.25">
      <c r="D11" s="2"/>
      <c r="E11" s="55" t="s">
        <v>9</v>
      </c>
      <c r="F11" s="56" t="s">
        <v>10</v>
      </c>
      <c r="G11" s="57">
        <v>11586.267836179984</v>
      </c>
      <c r="H11" s="58"/>
      <c r="I11" s="96">
        <f>SUM(G11*1.25)</f>
        <v>14482.834795224981</v>
      </c>
      <c r="L11" s="134">
        <v>11586.267836179984</v>
      </c>
    </row>
    <row r="12" spans="3:12" ht="15" customHeight="1" x14ac:dyDescent="0.25">
      <c r="D12" s="2"/>
      <c r="E12" s="55" t="s">
        <v>11</v>
      </c>
      <c r="F12" s="56" t="s">
        <v>12</v>
      </c>
      <c r="G12" s="57">
        <v>411.67882707460467</v>
      </c>
      <c r="H12" s="58"/>
      <c r="I12" s="96">
        <f t="shared" ref="I12:I13" si="0">SUM(G12*1.25)</f>
        <v>514.59853384325584</v>
      </c>
      <c r="L12" s="134">
        <v>411.67882707460467</v>
      </c>
    </row>
    <row r="13" spans="3:12" ht="15" customHeight="1" x14ac:dyDescent="0.25">
      <c r="D13" s="2"/>
      <c r="E13" s="55" t="s">
        <v>13</v>
      </c>
      <c r="F13" s="56" t="s">
        <v>14</v>
      </c>
      <c r="G13" s="57">
        <v>257.29926692162786</v>
      </c>
      <c r="H13" s="58"/>
      <c r="I13" s="96">
        <f t="shared" si="0"/>
        <v>321.62408365203481</v>
      </c>
      <c r="L13" s="134">
        <v>257.29926692162786</v>
      </c>
    </row>
    <row r="14" spans="3:12" ht="15" customHeight="1" x14ac:dyDescent="0.25">
      <c r="C14" t="s">
        <v>84</v>
      </c>
      <c r="D14" s="2"/>
      <c r="E14" s="51" t="s">
        <v>15</v>
      </c>
      <c r="F14" s="52" t="s">
        <v>16</v>
      </c>
      <c r="G14" s="59">
        <f>SUM(G15:G18)*1.25</f>
        <v>15281.059048179235</v>
      </c>
      <c r="H14" s="60"/>
      <c r="I14" s="94">
        <f>SUM(I15:I19)</f>
        <v>21820.310476200073</v>
      </c>
      <c r="L14" s="135">
        <f>SUM(L15:L18)</f>
        <v>15281.059048179235</v>
      </c>
    </row>
    <row r="15" spans="3:12" ht="15" customHeight="1" x14ac:dyDescent="0.25">
      <c r="D15" s="2"/>
      <c r="E15" s="55" t="s">
        <v>17</v>
      </c>
      <c r="F15" s="56" t="s">
        <v>18</v>
      </c>
      <c r="G15" s="57">
        <v>11710.248704700132</v>
      </c>
      <c r="H15" s="58"/>
      <c r="I15" s="96">
        <f>SUM(G15*1.25)</f>
        <v>14637.810880875166</v>
      </c>
      <c r="L15" s="134">
        <f>SUM(G15*1.25)</f>
        <v>14637.810880875166</v>
      </c>
    </row>
    <row r="16" spans="3:12" ht="15" customHeight="1" x14ac:dyDescent="0.25">
      <c r="D16" s="2"/>
      <c r="E16" s="55" t="s">
        <v>19</v>
      </c>
      <c r="F16" s="56" t="s">
        <v>20</v>
      </c>
      <c r="G16" s="57">
        <v>514.59853384325584</v>
      </c>
      <c r="H16" s="58"/>
      <c r="I16" s="96">
        <f t="shared" ref="I16:I18" si="1">SUM(G16*1.25)</f>
        <v>643.24816730406974</v>
      </c>
      <c r="L16" s="134">
        <f t="shared" ref="L16:L18" si="2">SUM(G16*1.25)</f>
        <v>643.24816730406974</v>
      </c>
    </row>
    <row r="17" spans="2:16" ht="15" customHeight="1" x14ac:dyDescent="0.25">
      <c r="D17" s="2"/>
      <c r="E17" s="55" t="s">
        <v>21</v>
      </c>
      <c r="F17" s="56" t="s">
        <v>22</v>
      </c>
      <c r="G17" s="57">
        <v>0</v>
      </c>
      <c r="H17" s="58"/>
      <c r="I17" s="96">
        <f t="shared" si="1"/>
        <v>0</v>
      </c>
      <c r="L17" s="134">
        <f t="shared" si="2"/>
        <v>0</v>
      </c>
    </row>
    <row r="18" spans="2:16" ht="15" customHeight="1" x14ac:dyDescent="0.25">
      <c r="D18" s="2"/>
      <c r="E18" s="55" t="s">
        <v>23</v>
      </c>
      <c r="F18" s="56" t="s">
        <v>24</v>
      </c>
      <c r="G18" s="57">
        <v>0</v>
      </c>
      <c r="H18" s="58"/>
      <c r="I18" s="96">
        <f t="shared" si="1"/>
        <v>0</v>
      </c>
      <c r="L18" s="134">
        <f t="shared" si="2"/>
        <v>0</v>
      </c>
    </row>
    <row r="19" spans="2:16" ht="15" customHeight="1" x14ac:dyDescent="0.25">
      <c r="D19" s="2"/>
      <c r="E19" s="51" t="s">
        <v>25</v>
      </c>
      <c r="F19" s="52" t="s">
        <v>26</v>
      </c>
      <c r="G19" s="59">
        <f>SUM(G20:G25)*1.25</f>
        <v>6539.2514280208388</v>
      </c>
      <c r="H19" s="60"/>
      <c r="I19" s="94">
        <f>SUM(I20:I25)</f>
        <v>6539.2514280208397</v>
      </c>
      <c r="L19" s="135">
        <f>SUM(L20:L25)</f>
        <v>6539.2514280208397</v>
      </c>
    </row>
    <row r="20" spans="2:16" ht="15" customHeight="1" x14ac:dyDescent="0.25">
      <c r="D20" s="2"/>
      <c r="E20" s="55" t="s">
        <v>27</v>
      </c>
      <c r="F20" s="56" t="s">
        <v>28</v>
      </c>
      <c r="G20" s="57">
        <v>1302.4411424166715</v>
      </c>
      <c r="H20" s="58"/>
      <c r="I20" s="96">
        <f>SUM(G20*1.25)</f>
        <v>1628.0514280208395</v>
      </c>
      <c r="L20" s="134">
        <f>SUM(G20*1.25)</f>
        <v>1628.0514280208395</v>
      </c>
    </row>
    <row r="21" spans="2:16" ht="15" customHeight="1" x14ac:dyDescent="0.25">
      <c r="D21" s="2"/>
      <c r="E21" s="55" t="s">
        <v>29</v>
      </c>
      <c r="F21" s="56" t="s">
        <v>30</v>
      </c>
      <c r="G21" s="57">
        <v>3928.96</v>
      </c>
      <c r="H21" s="58"/>
      <c r="I21" s="96">
        <f t="shared" ref="I21:I25" si="3">SUM(G21*1.25)</f>
        <v>4911.2</v>
      </c>
      <c r="J21" t="s">
        <v>113</v>
      </c>
      <c r="K21">
        <v>0</v>
      </c>
      <c r="L21" s="134">
        <f t="shared" ref="L21:L25" si="4">SUM(G21*1.25)</f>
        <v>4911.2</v>
      </c>
    </row>
    <row r="22" spans="2:16" ht="15" customHeight="1" x14ac:dyDescent="0.25">
      <c r="B22" t="s">
        <v>84</v>
      </c>
      <c r="D22" s="2"/>
      <c r="E22" s="55" t="s">
        <v>31</v>
      </c>
      <c r="F22" s="56" t="s">
        <v>32</v>
      </c>
      <c r="G22" s="57">
        <v>0</v>
      </c>
      <c r="H22" s="58"/>
      <c r="I22" s="96">
        <f t="shared" si="3"/>
        <v>0</v>
      </c>
      <c r="L22" s="134">
        <f t="shared" si="4"/>
        <v>0</v>
      </c>
    </row>
    <row r="23" spans="2:16" ht="15" customHeight="1" x14ac:dyDescent="0.25">
      <c r="D23" s="2"/>
      <c r="E23" s="55" t="s">
        <v>33</v>
      </c>
      <c r="F23" s="56" t="s">
        <v>34</v>
      </c>
      <c r="G23" s="57">
        <v>0</v>
      </c>
      <c r="H23" s="58"/>
      <c r="I23" s="96">
        <f t="shared" si="3"/>
        <v>0</v>
      </c>
      <c r="L23" s="134">
        <f t="shared" si="4"/>
        <v>0</v>
      </c>
      <c r="O23" t="s">
        <v>8</v>
      </c>
      <c r="P23" s="82">
        <f>SUM(G10)</f>
        <v>15319.057412720269</v>
      </c>
    </row>
    <row r="24" spans="2:16" ht="15" customHeight="1" x14ac:dyDescent="0.25">
      <c r="D24" s="2"/>
      <c r="E24" s="55" t="s">
        <v>35</v>
      </c>
      <c r="F24" s="56" t="s">
        <v>36</v>
      </c>
      <c r="G24" s="57">
        <v>0</v>
      </c>
      <c r="H24" s="58"/>
      <c r="I24" s="96">
        <f t="shared" si="3"/>
        <v>0</v>
      </c>
      <c r="L24" s="134">
        <f t="shared" si="4"/>
        <v>0</v>
      </c>
      <c r="O24" t="s">
        <v>16</v>
      </c>
      <c r="P24" s="82">
        <f>SUM(G14)</f>
        <v>15281.059048179235</v>
      </c>
    </row>
    <row r="25" spans="2:16" ht="15" customHeight="1" x14ac:dyDescent="0.25">
      <c r="D25" s="2"/>
      <c r="E25" s="65" t="s">
        <v>37</v>
      </c>
      <c r="F25" s="66" t="s">
        <v>38</v>
      </c>
      <c r="G25" s="57">
        <v>0</v>
      </c>
      <c r="H25" s="58"/>
      <c r="I25" s="96">
        <f t="shared" si="3"/>
        <v>0</v>
      </c>
      <c r="L25" s="134">
        <f t="shared" si="4"/>
        <v>0</v>
      </c>
      <c r="O25" t="s">
        <v>26</v>
      </c>
      <c r="P25" s="82">
        <f>SUM(G19)</f>
        <v>6539.2514280208388</v>
      </c>
    </row>
    <row r="26" spans="2:16" ht="15" customHeight="1" x14ac:dyDescent="0.25">
      <c r="D26" s="2"/>
      <c r="E26" s="51" t="s">
        <v>39</v>
      </c>
      <c r="F26" s="52" t="s">
        <v>40</v>
      </c>
      <c r="G26" s="59">
        <f>SUM(G27:G35)*1.25</f>
        <v>0</v>
      </c>
      <c r="H26" s="67"/>
      <c r="I26" s="94">
        <f>SUM(I27:I35)</f>
        <v>0</v>
      </c>
      <c r="J26" s="68" t="s">
        <v>84</v>
      </c>
      <c r="L26" s="135">
        <f>SUM(L27:L35)</f>
        <v>0</v>
      </c>
      <c r="O26" t="s">
        <v>40</v>
      </c>
      <c r="P26" s="82">
        <f>SUM(G26)</f>
        <v>0</v>
      </c>
    </row>
    <row r="27" spans="2:16" ht="15" customHeight="1" x14ac:dyDescent="0.25">
      <c r="D27" s="2"/>
      <c r="E27" s="69" t="s">
        <v>102</v>
      </c>
      <c r="F27" s="56" t="s">
        <v>42</v>
      </c>
      <c r="G27" s="57">
        <v>0</v>
      </c>
      <c r="H27" s="58"/>
      <c r="I27" s="96">
        <f>SUM(G27*1.25)</f>
        <v>0</v>
      </c>
      <c r="L27" s="134">
        <f>SUM(G27*1.25)</f>
        <v>0</v>
      </c>
      <c r="O27" t="s">
        <v>60</v>
      </c>
      <c r="P27" s="82">
        <f>SUM(G36)</f>
        <v>0</v>
      </c>
    </row>
    <row r="28" spans="2:16" ht="15" customHeight="1" x14ac:dyDescent="0.25">
      <c r="D28" s="2"/>
      <c r="E28" s="69" t="s">
        <v>43</v>
      </c>
      <c r="F28" s="56" t="s">
        <v>44</v>
      </c>
      <c r="G28" s="57">
        <v>0</v>
      </c>
      <c r="H28" s="58"/>
      <c r="I28" s="96">
        <f t="shared" ref="I28:I35" si="5">SUM(G28*1.25)</f>
        <v>0</v>
      </c>
      <c r="L28" s="134">
        <f t="shared" ref="L28:L35" si="6">SUM(G28*1.25)</f>
        <v>0</v>
      </c>
      <c r="O28" t="s">
        <v>68</v>
      </c>
      <c r="P28" s="82">
        <f>SUM(G40)</f>
        <v>2261.1825389178325</v>
      </c>
    </row>
    <row r="29" spans="2:16" ht="15" customHeight="1" x14ac:dyDescent="0.25">
      <c r="D29" s="2"/>
      <c r="E29" s="69" t="s">
        <v>45</v>
      </c>
      <c r="F29" s="56" t="s">
        <v>46</v>
      </c>
      <c r="G29" s="57">
        <v>0</v>
      </c>
      <c r="H29" s="58"/>
      <c r="I29" s="96">
        <f t="shared" si="5"/>
        <v>0</v>
      </c>
      <c r="L29" s="134">
        <f t="shared" si="6"/>
        <v>0</v>
      </c>
      <c r="O29" t="s">
        <v>76</v>
      </c>
      <c r="P29" s="82">
        <f>SUM(G44)</f>
        <v>5531.9342388149998</v>
      </c>
    </row>
    <row r="30" spans="2:16" ht="15" customHeight="1" x14ac:dyDescent="0.25">
      <c r="D30" s="2"/>
      <c r="E30" s="69" t="s">
        <v>47</v>
      </c>
      <c r="F30" s="56" t="s">
        <v>48</v>
      </c>
      <c r="G30" s="57">
        <v>0</v>
      </c>
      <c r="H30" s="58"/>
      <c r="I30" s="96">
        <f t="shared" si="5"/>
        <v>0</v>
      </c>
      <c r="L30" s="134">
        <f t="shared" si="6"/>
        <v>0</v>
      </c>
    </row>
    <row r="31" spans="2:16" ht="15" customHeight="1" x14ac:dyDescent="0.25">
      <c r="D31" s="2"/>
      <c r="E31" s="70" t="s">
        <v>99</v>
      </c>
      <c r="F31" s="66" t="s">
        <v>50</v>
      </c>
      <c r="G31" s="57">
        <v>0</v>
      </c>
      <c r="H31" s="58"/>
      <c r="I31" s="96">
        <f t="shared" si="5"/>
        <v>0</v>
      </c>
      <c r="L31" s="134">
        <f t="shared" si="6"/>
        <v>0</v>
      </c>
    </row>
    <row r="32" spans="2:16" ht="15" customHeight="1" x14ac:dyDescent="0.25">
      <c r="D32" s="2"/>
      <c r="E32" s="69" t="s">
        <v>51</v>
      </c>
      <c r="F32" s="56" t="s">
        <v>52</v>
      </c>
      <c r="G32" s="57">
        <v>0</v>
      </c>
      <c r="H32" s="58"/>
      <c r="I32" s="96">
        <f t="shared" si="5"/>
        <v>0</v>
      </c>
      <c r="L32" s="134">
        <f t="shared" si="6"/>
        <v>0</v>
      </c>
    </row>
    <row r="33" spans="4:12" ht="15" customHeight="1" x14ac:dyDescent="0.25">
      <c r="D33" s="2"/>
      <c r="E33" s="69" t="s">
        <v>53</v>
      </c>
      <c r="F33" s="56" t="s">
        <v>54</v>
      </c>
      <c r="G33" s="57">
        <v>0</v>
      </c>
      <c r="H33" s="58"/>
      <c r="I33" s="96">
        <f t="shared" si="5"/>
        <v>0</v>
      </c>
      <c r="J33" t="s">
        <v>84</v>
      </c>
      <c r="L33" s="134">
        <f t="shared" si="6"/>
        <v>0</v>
      </c>
    </row>
    <row r="34" spans="4:12" ht="15" customHeight="1" x14ac:dyDescent="0.25">
      <c r="D34" s="2"/>
      <c r="E34" s="55" t="s">
        <v>55</v>
      </c>
      <c r="F34" s="56" t="s">
        <v>56</v>
      </c>
      <c r="G34" s="57">
        <v>0</v>
      </c>
      <c r="H34" s="58"/>
      <c r="I34" s="96">
        <f t="shared" si="5"/>
        <v>0</v>
      </c>
      <c r="L34" s="134">
        <f t="shared" si="6"/>
        <v>0</v>
      </c>
    </row>
    <row r="35" spans="4:12" ht="15" customHeight="1" x14ac:dyDescent="0.25">
      <c r="D35" s="2"/>
      <c r="E35" s="55" t="s">
        <v>57</v>
      </c>
      <c r="F35" s="56" t="s">
        <v>58</v>
      </c>
      <c r="G35" s="57">
        <v>0</v>
      </c>
      <c r="H35" s="58"/>
      <c r="I35" s="96">
        <f t="shared" si="5"/>
        <v>0</v>
      </c>
      <c r="L35" s="134">
        <f t="shared" si="6"/>
        <v>0</v>
      </c>
    </row>
    <row r="36" spans="4:12" ht="15" customHeight="1" x14ac:dyDescent="0.25">
      <c r="D36" s="2"/>
      <c r="E36" s="51" t="s">
        <v>59</v>
      </c>
      <c r="F36" s="52" t="s">
        <v>60</v>
      </c>
      <c r="G36" s="59">
        <f>SUM(G37:G39)*1.25</f>
        <v>0</v>
      </c>
      <c r="H36" s="67"/>
      <c r="I36" s="94">
        <f>SUM(I37:I39)</f>
        <v>0</v>
      </c>
      <c r="L36" s="135">
        <f>SUM(L37:L39)</f>
        <v>0</v>
      </c>
    </row>
    <row r="37" spans="4:12" ht="15" customHeight="1" x14ac:dyDescent="0.25">
      <c r="D37" s="2"/>
      <c r="E37" s="65" t="s">
        <v>61</v>
      </c>
      <c r="F37" s="66" t="s">
        <v>62</v>
      </c>
      <c r="G37" s="57">
        <v>0</v>
      </c>
      <c r="H37" s="58"/>
      <c r="I37" s="96">
        <f>SUM(G37*1.25)</f>
        <v>0</v>
      </c>
      <c r="L37" s="134">
        <f>SUM(G37*1.25)</f>
        <v>0</v>
      </c>
    </row>
    <row r="38" spans="4:12" ht="15" customHeight="1" x14ac:dyDescent="0.25">
      <c r="D38" s="2"/>
      <c r="E38" s="65" t="s">
        <v>100</v>
      </c>
      <c r="F38" s="66" t="s">
        <v>64</v>
      </c>
      <c r="G38" s="57">
        <v>0</v>
      </c>
      <c r="H38" s="58"/>
      <c r="I38" s="96">
        <f t="shared" ref="I38:I39" si="7">SUM(G38*1.25)</f>
        <v>0</v>
      </c>
      <c r="L38" s="134">
        <f t="shared" ref="L38:L39" si="8">SUM(G38*1.25)</f>
        <v>0</v>
      </c>
    </row>
    <row r="39" spans="4:12" ht="15" customHeight="1" x14ac:dyDescent="0.25">
      <c r="D39" s="2"/>
      <c r="E39" s="65" t="s">
        <v>65</v>
      </c>
      <c r="F39" s="66" t="s">
        <v>66</v>
      </c>
      <c r="G39" s="57">
        <v>0</v>
      </c>
      <c r="H39" s="58"/>
      <c r="I39" s="96">
        <f t="shared" si="7"/>
        <v>0</v>
      </c>
      <c r="L39" s="134">
        <f t="shared" si="8"/>
        <v>0</v>
      </c>
    </row>
    <row r="40" spans="4:12" ht="15" customHeight="1" x14ac:dyDescent="0.25">
      <c r="D40" s="2"/>
      <c r="E40" s="51" t="s">
        <v>67</v>
      </c>
      <c r="F40" s="52" t="s">
        <v>68</v>
      </c>
      <c r="G40" s="59">
        <f>SUM(G41:G43)*1.25</f>
        <v>2261.1825389178325</v>
      </c>
      <c r="H40" s="67"/>
      <c r="I40" s="94">
        <f>SUM(I41:I43)</f>
        <v>2261.1825389178325</v>
      </c>
      <c r="L40" s="135">
        <f>SUM(L41:L43)</f>
        <v>2261.1825389178325</v>
      </c>
    </row>
    <row r="41" spans="4:12" ht="15" customHeight="1" x14ac:dyDescent="0.25">
      <c r="D41" s="2"/>
      <c r="E41" s="55" t="s">
        <v>69</v>
      </c>
      <c r="F41" s="56" t="s">
        <v>70</v>
      </c>
      <c r="G41" s="57">
        <v>0</v>
      </c>
      <c r="H41" s="58"/>
      <c r="I41" s="96">
        <f>SUM(G41*1.25)</f>
        <v>0</v>
      </c>
      <c r="L41" s="134">
        <f>SUM(G41*1.25)</f>
        <v>0</v>
      </c>
    </row>
    <row r="42" spans="4:12" ht="15" customHeight="1" x14ac:dyDescent="0.25">
      <c r="D42" s="2"/>
      <c r="E42" s="55" t="s">
        <v>71</v>
      </c>
      <c r="F42" s="56" t="s">
        <v>72</v>
      </c>
      <c r="G42" s="57">
        <v>1808.9460311342659</v>
      </c>
      <c r="H42" s="58"/>
      <c r="I42" s="96">
        <f t="shared" ref="I42:I43" si="9">SUM(G42*1.25)</f>
        <v>2261.1825389178325</v>
      </c>
      <c r="L42" s="134">
        <f t="shared" ref="L42:L43" si="10">SUM(G42*1.25)</f>
        <v>2261.1825389178325</v>
      </c>
    </row>
    <row r="43" spans="4:12" ht="15" customHeight="1" x14ac:dyDescent="0.25">
      <c r="D43" s="2"/>
      <c r="E43" s="55" t="s">
        <v>73</v>
      </c>
      <c r="F43" s="56" t="s">
        <v>74</v>
      </c>
      <c r="G43" s="57">
        <v>0</v>
      </c>
      <c r="H43" s="58"/>
      <c r="I43" s="96">
        <f t="shared" si="9"/>
        <v>0</v>
      </c>
      <c r="L43" s="134">
        <f t="shared" si="10"/>
        <v>0</v>
      </c>
    </row>
    <row r="44" spans="4:12" ht="15" customHeight="1" x14ac:dyDescent="0.25">
      <c r="D44" s="2"/>
      <c r="E44" s="51" t="s">
        <v>75</v>
      </c>
      <c r="F44" s="52" t="s">
        <v>76</v>
      </c>
      <c r="G44" s="59">
        <f>SUM(G45:G47)*1.25</f>
        <v>5531.9342388149998</v>
      </c>
      <c r="H44" s="67"/>
      <c r="I44" s="94">
        <f>SUM(I45:I47)</f>
        <v>5531.9342388149998</v>
      </c>
      <c r="L44" s="135">
        <f>SUM(L45:L47)</f>
        <v>5531.9342388149998</v>
      </c>
    </row>
    <row r="45" spans="4:12" ht="15" customHeight="1" x14ac:dyDescent="0.25">
      <c r="D45" s="2"/>
      <c r="E45" s="55" t="s">
        <v>77</v>
      </c>
      <c r="F45" s="56" t="s">
        <v>78</v>
      </c>
      <c r="G45" s="57">
        <v>3808.029150440093</v>
      </c>
      <c r="H45" s="58"/>
      <c r="I45" s="96">
        <f>SUM(G45*1.25)</f>
        <v>4760.036438050116</v>
      </c>
      <c r="L45" s="134">
        <f>SUM(G45*1.25)</f>
        <v>4760.036438050116</v>
      </c>
    </row>
    <row r="46" spans="4:12" ht="15" customHeight="1" x14ac:dyDescent="0.25">
      <c r="D46" s="2"/>
      <c r="E46" s="55" t="s">
        <v>79</v>
      </c>
      <c r="F46" s="56" t="s">
        <v>80</v>
      </c>
      <c r="G46" s="75">
        <v>617.518240611907</v>
      </c>
      <c r="H46" s="58"/>
      <c r="I46" s="96">
        <f t="shared" ref="I46:I47" si="11">SUM(G46*1.25)</f>
        <v>771.89780076488375</v>
      </c>
      <c r="L46" s="134">
        <f t="shared" ref="L46:L47" si="12">SUM(G46*1.25)</f>
        <v>771.89780076488375</v>
      </c>
    </row>
    <row r="47" spans="4:12" ht="15" customHeight="1" thickBot="1" x14ac:dyDescent="0.3">
      <c r="D47" s="2"/>
      <c r="E47" s="69" t="s">
        <v>81</v>
      </c>
      <c r="F47" s="56" t="s">
        <v>82</v>
      </c>
      <c r="G47" s="75">
        <v>0</v>
      </c>
      <c r="H47" s="58"/>
      <c r="I47" s="96">
        <f t="shared" si="11"/>
        <v>0</v>
      </c>
      <c r="L47" s="134">
        <f t="shared" si="12"/>
        <v>0</v>
      </c>
    </row>
    <row r="48" spans="4:12" ht="15.75" thickBot="1" x14ac:dyDescent="0.3">
      <c r="D48" s="2"/>
      <c r="E48" s="71" t="s">
        <v>83</v>
      </c>
      <c r="F48" s="3" t="s">
        <v>84</v>
      </c>
      <c r="G48" s="72">
        <f>SUM(G9+G10+G14+G19+G26+G36+G40+G44)</f>
        <v>49543.484666653181</v>
      </c>
      <c r="H48" s="73"/>
      <c r="I48" s="94">
        <f>SUM(I9+I10+I14+I19+I26+I36+I40+I44)</f>
        <v>56082.736094674023</v>
      </c>
      <c r="L48" s="136">
        <f>SUM(L9+L10+L14+L19+L26+L36+L40+L44)</f>
        <v>47632.423184109124</v>
      </c>
    </row>
    <row r="49" spans="4:5" x14ac:dyDescent="0.25">
      <c r="D49" s="2"/>
    </row>
    <row r="56" spans="4:5" x14ac:dyDescent="0.25">
      <c r="E56" t="s">
        <v>84</v>
      </c>
    </row>
  </sheetData>
  <phoneticPr fontId="1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95CA8-2B0A-4093-ACC2-C1DDC069CD24}">
  <dimension ref="B1:S55"/>
  <sheetViews>
    <sheetView workbookViewId="0">
      <selection activeCell="S6" sqref="S6"/>
    </sheetView>
  </sheetViews>
  <sheetFormatPr baseColWidth="10" defaultColWidth="9.140625" defaultRowHeight="15" x14ac:dyDescent="0.25"/>
  <cols>
    <col min="5" max="5" width="52.140625" customWidth="1"/>
    <col min="6" max="6" width="6" style="6" customWidth="1"/>
    <col min="7" max="7" width="14.140625" style="74" customWidth="1"/>
    <col min="8" max="8" width="4" style="74" customWidth="1"/>
    <col min="9" max="9" width="14.28515625" style="4" customWidth="1"/>
    <col min="10" max="10" width="11" customWidth="1"/>
  </cols>
  <sheetData>
    <row r="1" spans="3:19" x14ac:dyDescent="0.25">
      <c r="G1" s="6"/>
      <c r="H1" s="45"/>
      <c r="N1" s="113">
        <f>Q2*1.25</f>
        <v>12375</v>
      </c>
      <c r="Q1">
        <v>16600</v>
      </c>
      <c r="S1">
        <v>1.25</v>
      </c>
    </row>
    <row r="2" spans="3:19" x14ac:dyDescent="0.25">
      <c r="E2" s="6"/>
      <c r="G2" s="6"/>
      <c r="H2" s="6"/>
      <c r="N2" s="115">
        <f>Q3*1.25</f>
        <v>6187.5</v>
      </c>
      <c r="Q2" s="113">
        <f>SUM(Q3:Q5)</f>
        <v>9900</v>
      </c>
    </row>
    <row r="3" spans="3:19" x14ac:dyDescent="0.25">
      <c r="E3" t="s">
        <v>84</v>
      </c>
      <c r="G3" s="6"/>
      <c r="H3" s="6"/>
      <c r="J3" t="s">
        <v>84</v>
      </c>
      <c r="N3" s="115">
        <f>Q4*1.25</f>
        <v>3093.75</v>
      </c>
      <c r="Q3" s="124">
        <v>4950</v>
      </c>
    </row>
    <row r="4" spans="3:19" x14ac:dyDescent="0.25">
      <c r="D4" s="2"/>
      <c r="E4" s="2"/>
      <c r="F4" s="3"/>
      <c r="G4" s="46" t="s">
        <v>0</v>
      </c>
      <c r="H4" s="47"/>
      <c r="J4" t="s">
        <v>114</v>
      </c>
      <c r="K4">
        <v>83.951999999999998</v>
      </c>
      <c r="N4" s="115">
        <f>Q5*1.25</f>
        <v>3093.75</v>
      </c>
      <c r="Q4" s="124">
        <v>2475</v>
      </c>
    </row>
    <row r="5" spans="3:19" x14ac:dyDescent="0.25">
      <c r="D5" s="2"/>
      <c r="E5" s="2"/>
      <c r="F5" s="3"/>
      <c r="G5" s="46" t="s">
        <v>1</v>
      </c>
      <c r="H5" s="48"/>
      <c r="N5" s="113">
        <f>Q6*1.25</f>
        <v>47406.25</v>
      </c>
      <c r="Q5" s="124">
        <v>2475</v>
      </c>
    </row>
    <row r="6" spans="3:19" ht="18.75" x14ac:dyDescent="0.3">
      <c r="D6" s="2"/>
      <c r="E6" s="2"/>
      <c r="F6" s="3"/>
      <c r="G6" s="46" t="s">
        <v>88</v>
      </c>
      <c r="H6" s="49"/>
      <c r="K6" s="90"/>
      <c r="N6" s="115">
        <f>Q7*1.25</f>
        <v>0</v>
      </c>
      <c r="Q6" s="125">
        <f>SUM(Q7:Q10)</f>
        <v>37925</v>
      </c>
    </row>
    <row r="7" spans="3:19" x14ac:dyDescent="0.25">
      <c r="D7" s="2"/>
      <c r="E7" s="2" t="s">
        <v>103</v>
      </c>
      <c r="F7" s="50" t="s">
        <v>3</v>
      </c>
      <c r="G7" s="46" t="s">
        <v>97</v>
      </c>
      <c r="H7" s="49"/>
      <c r="I7" s="1"/>
      <c r="N7" s="115">
        <f>Q8*1.25</f>
        <v>0</v>
      </c>
      <c r="Q7" s="124">
        <v>0</v>
      </c>
    </row>
    <row r="8" spans="3:19" x14ac:dyDescent="0.25">
      <c r="D8" s="2"/>
      <c r="E8" s="2"/>
      <c r="F8" s="50" t="s">
        <v>4</v>
      </c>
      <c r="G8" s="46" t="s">
        <v>84</v>
      </c>
      <c r="H8" s="49"/>
      <c r="I8" s="1"/>
      <c r="N8" s="115">
        <f>Q9*1.25</f>
        <v>0</v>
      </c>
      <c r="Q8" s="124">
        <v>0</v>
      </c>
    </row>
    <row r="9" spans="3:19" ht="15" customHeight="1" x14ac:dyDescent="0.25">
      <c r="D9" s="2"/>
      <c r="E9" s="51" t="s">
        <v>7</v>
      </c>
      <c r="F9" s="52" t="s">
        <v>8</v>
      </c>
      <c r="G9" s="53">
        <f>SUM(G10:G12)</f>
        <v>13402.887500000001</v>
      </c>
      <c r="H9" s="54"/>
      <c r="I9" s="1">
        <f>G9*0.8</f>
        <v>10722.310000000001</v>
      </c>
      <c r="N9" s="115">
        <f>Q10*1.25</f>
        <v>47406.25</v>
      </c>
      <c r="Q9" s="124">
        <v>0</v>
      </c>
    </row>
    <row r="10" spans="3:19" ht="15" customHeight="1" x14ac:dyDescent="0.25">
      <c r="D10" s="2"/>
      <c r="E10" s="55" t="s">
        <v>9</v>
      </c>
      <c r="F10" s="56" t="s">
        <v>10</v>
      </c>
      <c r="G10" s="57">
        <f>5772.31*1.25</f>
        <v>7215.3875000000007</v>
      </c>
      <c r="H10" s="58"/>
      <c r="I10" s="1">
        <f t="shared" ref="I10:I12" si="0">G10*0.8</f>
        <v>5772.3100000000013</v>
      </c>
      <c r="N10" s="113">
        <f>Q11*1.25</f>
        <v>58500</v>
      </c>
      <c r="Q10" s="124">
        <v>37925</v>
      </c>
    </row>
    <row r="11" spans="3:19" ht="15" customHeight="1" x14ac:dyDescent="0.25">
      <c r="D11" s="2"/>
      <c r="E11" s="55" t="s">
        <v>11</v>
      </c>
      <c r="F11" s="56" t="s">
        <v>12</v>
      </c>
      <c r="G11" s="57">
        <f>2475*1.25</f>
        <v>3093.75</v>
      </c>
      <c r="H11" s="58"/>
      <c r="I11" s="1">
        <f t="shared" si="0"/>
        <v>2475</v>
      </c>
      <c r="N11" s="115">
        <f>Q12*1.25</f>
        <v>7437.5</v>
      </c>
      <c r="Q11" s="125">
        <f>SUM(Q12:Q17)</f>
        <v>46800</v>
      </c>
    </row>
    <row r="12" spans="3:19" ht="15" customHeight="1" x14ac:dyDescent="0.25">
      <c r="D12" s="2"/>
      <c r="E12" s="55" t="s">
        <v>13</v>
      </c>
      <c r="F12" s="56" t="s">
        <v>14</v>
      </c>
      <c r="G12" s="57">
        <f>2475*1.25</f>
        <v>3093.75</v>
      </c>
      <c r="H12" s="58"/>
      <c r="I12" s="1">
        <f t="shared" si="0"/>
        <v>2475</v>
      </c>
      <c r="N12" s="115">
        <f>Q13*1.25</f>
        <v>14375</v>
      </c>
      <c r="Q12" s="124">
        <v>5950</v>
      </c>
    </row>
    <row r="13" spans="3:19" ht="15" customHeight="1" x14ac:dyDescent="0.25">
      <c r="C13" t="s">
        <v>84</v>
      </c>
      <c r="D13" s="2"/>
      <c r="E13" s="51" t="s">
        <v>15</v>
      </c>
      <c r="F13" s="52" t="s">
        <v>16</v>
      </c>
      <c r="G13" s="59">
        <f>SUM(G14:G17)</f>
        <v>30049.1875</v>
      </c>
      <c r="H13" s="60"/>
      <c r="I13" s="1">
        <f>G13*0.8</f>
        <v>24039.350000000002</v>
      </c>
      <c r="N13" s="115">
        <f>Q14*1.25</f>
        <v>22312.5</v>
      </c>
      <c r="Q13" s="124">
        <v>11500</v>
      </c>
    </row>
    <row r="14" spans="3:19" ht="15" customHeight="1" x14ac:dyDescent="0.25">
      <c r="D14" s="2"/>
      <c r="E14" s="55" t="s">
        <v>17</v>
      </c>
      <c r="F14" s="56" t="s">
        <v>18</v>
      </c>
      <c r="G14" s="57">
        <v>0</v>
      </c>
      <c r="H14" s="58"/>
      <c r="I14" s="1">
        <f t="shared" ref="I14:I47" si="1">G14*0.8</f>
        <v>0</v>
      </c>
      <c r="N14" s="115">
        <f>Q15*1.25</f>
        <v>0</v>
      </c>
      <c r="Q14" s="124">
        <v>17850</v>
      </c>
    </row>
    <row r="15" spans="3:19" ht="15" customHeight="1" x14ac:dyDescent="0.25">
      <c r="D15" s="2"/>
      <c r="E15" s="55" t="s">
        <v>19</v>
      </c>
      <c r="F15" s="56" t="s">
        <v>20</v>
      </c>
      <c r="G15" s="57">
        <v>0</v>
      </c>
      <c r="H15" s="58"/>
      <c r="I15" s="1">
        <f t="shared" si="1"/>
        <v>0</v>
      </c>
      <c r="N15" s="115">
        <f>Q16*1.25</f>
        <v>0</v>
      </c>
      <c r="Q15" s="124">
        <v>0</v>
      </c>
    </row>
    <row r="16" spans="3:19" ht="15" customHeight="1" x14ac:dyDescent="0.25">
      <c r="D16" s="2"/>
      <c r="E16" s="55" t="s">
        <v>21</v>
      </c>
      <c r="F16" s="56" t="s">
        <v>22</v>
      </c>
      <c r="G16" s="57">
        <v>0</v>
      </c>
      <c r="H16" s="58"/>
      <c r="I16" s="1">
        <f t="shared" si="1"/>
        <v>0</v>
      </c>
      <c r="N16" s="115">
        <f>Q17*1.25</f>
        <v>14375</v>
      </c>
      <c r="Q16" s="124">
        <v>0</v>
      </c>
    </row>
    <row r="17" spans="2:17" ht="15" customHeight="1" x14ac:dyDescent="0.25">
      <c r="D17" s="2"/>
      <c r="E17" s="55" t="s">
        <v>23</v>
      </c>
      <c r="F17" s="56" t="s">
        <v>24</v>
      </c>
      <c r="G17" s="57">
        <f>24039.35*1.25</f>
        <v>30049.1875</v>
      </c>
      <c r="H17" s="58"/>
      <c r="I17" s="1">
        <f t="shared" si="1"/>
        <v>24039.350000000002</v>
      </c>
      <c r="N17" s="113">
        <f>Q18*1.25</f>
        <v>41687.5</v>
      </c>
      <c r="Q17" s="124">
        <v>11500</v>
      </c>
    </row>
    <row r="18" spans="2:17" ht="15" customHeight="1" x14ac:dyDescent="0.25">
      <c r="D18" s="2"/>
      <c r="E18" s="51" t="s">
        <v>25</v>
      </c>
      <c r="F18" s="52" t="s">
        <v>26</v>
      </c>
      <c r="G18" s="59">
        <f>SUM(G19:G24)</f>
        <v>34570.487500000003</v>
      </c>
      <c r="H18" s="60"/>
      <c r="I18" s="1">
        <f t="shared" si="1"/>
        <v>27656.390000000003</v>
      </c>
      <c r="N18" s="115">
        <f>Q19*1.25</f>
        <v>0</v>
      </c>
      <c r="Q18" s="126">
        <f>SUM(Q19:Q27)</f>
        <v>33350</v>
      </c>
    </row>
    <row r="19" spans="2:17" ht="15" customHeight="1" x14ac:dyDescent="0.25">
      <c r="D19" s="2"/>
      <c r="E19" s="55" t="s">
        <v>27</v>
      </c>
      <c r="F19" s="56" t="s">
        <v>28</v>
      </c>
      <c r="G19" s="57">
        <f>4950*1.25</f>
        <v>6187.5</v>
      </c>
      <c r="H19" s="58"/>
      <c r="I19" s="1">
        <f t="shared" si="1"/>
        <v>4950</v>
      </c>
      <c r="N19" s="115">
        <f>Q20*1.25</f>
        <v>24312.5</v>
      </c>
      <c r="Q19" s="124">
        <v>0</v>
      </c>
    </row>
    <row r="20" spans="2:17" ht="15" customHeight="1" x14ac:dyDescent="0.25">
      <c r="D20" s="2"/>
      <c r="E20" s="55" t="s">
        <v>29</v>
      </c>
      <c r="F20" s="56" t="s">
        <v>30</v>
      </c>
      <c r="G20" s="57">
        <f>5987.52*1.25</f>
        <v>7484.4000000000005</v>
      </c>
      <c r="H20" s="58"/>
      <c r="I20" s="1">
        <f t="shared" si="1"/>
        <v>5987.52</v>
      </c>
      <c r="N20" s="115">
        <f>Q21*1.25</f>
        <v>8687.5</v>
      </c>
      <c r="Q20" s="124">
        <v>19450</v>
      </c>
    </row>
    <row r="21" spans="2:17" ht="15" customHeight="1" x14ac:dyDescent="0.25">
      <c r="B21" t="s">
        <v>84</v>
      </c>
      <c r="D21" s="2"/>
      <c r="E21" s="55" t="s">
        <v>31</v>
      </c>
      <c r="F21" s="56" t="s">
        <v>32</v>
      </c>
      <c r="G21" s="57">
        <f>11768.87*1.25</f>
        <v>14711.087500000001</v>
      </c>
      <c r="H21" s="58"/>
      <c r="I21" s="1">
        <f t="shared" si="1"/>
        <v>11768.870000000003</v>
      </c>
      <c r="K21" t="s">
        <v>84</v>
      </c>
      <c r="N21" s="115">
        <f>Q22*1.25</f>
        <v>0</v>
      </c>
      <c r="Q21" s="124">
        <v>6950</v>
      </c>
    </row>
    <row r="22" spans="2:17" ht="15" customHeight="1" x14ac:dyDescent="0.25">
      <c r="D22" s="2"/>
      <c r="E22" s="55" t="s">
        <v>33</v>
      </c>
      <c r="F22" s="56" t="s">
        <v>34</v>
      </c>
      <c r="G22" s="57">
        <v>0</v>
      </c>
      <c r="H22" s="58"/>
      <c r="I22" s="1">
        <f t="shared" si="1"/>
        <v>0</v>
      </c>
      <c r="N22" s="115">
        <f>Q23*1.25</f>
        <v>0</v>
      </c>
      <c r="O22" t="s">
        <v>8</v>
      </c>
      <c r="P22" s="82">
        <f>SUM(G9)</f>
        <v>13402.887500000001</v>
      </c>
      <c r="Q22" s="124">
        <v>0</v>
      </c>
    </row>
    <row r="23" spans="2:17" ht="15" customHeight="1" x14ac:dyDescent="0.25">
      <c r="D23" s="2"/>
      <c r="E23" s="55" t="s">
        <v>35</v>
      </c>
      <c r="F23" s="56" t="s">
        <v>36</v>
      </c>
      <c r="G23" s="57">
        <v>0</v>
      </c>
      <c r="H23" s="58"/>
      <c r="I23" s="1">
        <f t="shared" si="1"/>
        <v>0</v>
      </c>
      <c r="N23" s="115">
        <f>Q24*1.25</f>
        <v>0</v>
      </c>
      <c r="O23" t="s">
        <v>16</v>
      </c>
      <c r="P23" s="82">
        <f>SUM(G13)</f>
        <v>30049.1875</v>
      </c>
      <c r="Q23" s="124">
        <v>0</v>
      </c>
    </row>
    <row r="24" spans="2:17" ht="15" customHeight="1" x14ac:dyDescent="0.25">
      <c r="D24" s="2"/>
      <c r="E24" s="65" t="s">
        <v>37</v>
      </c>
      <c r="F24" s="66" t="s">
        <v>38</v>
      </c>
      <c r="G24" s="57">
        <f>4950*1.25</f>
        <v>6187.5</v>
      </c>
      <c r="H24" s="58"/>
      <c r="I24" s="1">
        <f t="shared" si="1"/>
        <v>4950</v>
      </c>
      <c r="N24" s="115">
        <f>Q25*1.25</f>
        <v>0</v>
      </c>
      <c r="O24" t="s">
        <v>26</v>
      </c>
      <c r="P24" s="82">
        <f>SUM(G18)</f>
        <v>34570.487500000003</v>
      </c>
      <c r="Q24" s="124">
        <v>0</v>
      </c>
    </row>
    <row r="25" spans="2:17" ht="15" customHeight="1" x14ac:dyDescent="0.25">
      <c r="D25" s="2"/>
      <c r="E25" s="51" t="s">
        <v>39</v>
      </c>
      <c r="F25" s="52" t="s">
        <v>40</v>
      </c>
      <c r="G25" s="59">
        <f>SUM(G26:G34)</f>
        <v>5126.7875000000004</v>
      </c>
      <c r="H25" s="67"/>
      <c r="I25" s="1">
        <f t="shared" si="1"/>
        <v>4101.43</v>
      </c>
      <c r="J25" s="68" t="s">
        <v>84</v>
      </c>
      <c r="K25" t="s">
        <v>84</v>
      </c>
      <c r="N25" s="115">
        <f>Q26*1.25</f>
        <v>0</v>
      </c>
      <c r="O25" t="s">
        <v>40</v>
      </c>
      <c r="P25" s="82">
        <f>SUM(G25)</f>
        <v>5126.7875000000004</v>
      </c>
      <c r="Q25" s="124">
        <v>0</v>
      </c>
    </row>
    <row r="26" spans="2:17" ht="15" customHeight="1" x14ac:dyDescent="0.25">
      <c r="D26" s="2"/>
      <c r="E26" s="69" t="s">
        <v>102</v>
      </c>
      <c r="F26" s="56" t="s">
        <v>42</v>
      </c>
      <c r="G26" s="57">
        <v>0</v>
      </c>
      <c r="H26" s="58"/>
      <c r="I26" s="1">
        <f t="shared" si="1"/>
        <v>0</v>
      </c>
      <c r="N26" s="115">
        <f>Q27*1.25</f>
        <v>8687.5</v>
      </c>
      <c r="O26" t="s">
        <v>60</v>
      </c>
      <c r="P26" s="82">
        <f>SUM(G35)</f>
        <v>0</v>
      </c>
      <c r="Q26" s="124">
        <v>0</v>
      </c>
    </row>
    <row r="27" spans="2:17" ht="15" customHeight="1" x14ac:dyDescent="0.25">
      <c r="D27" s="2"/>
      <c r="E27" s="69" t="s">
        <v>43</v>
      </c>
      <c r="F27" s="56" t="s">
        <v>44</v>
      </c>
      <c r="G27" s="57">
        <f>4101.43*1.25</f>
        <v>5126.7875000000004</v>
      </c>
      <c r="H27" s="58"/>
      <c r="I27" s="1">
        <f t="shared" si="1"/>
        <v>4101.43</v>
      </c>
      <c r="N27" s="113">
        <f>Q28*1.25</f>
        <v>9281.25</v>
      </c>
      <c r="O27" t="s">
        <v>68</v>
      </c>
      <c r="P27" s="82">
        <f>SUM(G39)</f>
        <v>0</v>
      </c>
      <c r="Q27" s="124">
        <v>6950</v>
      </c>
    </row>
    <row r="28" spans="2:17" ht="15" customHeight="1" x14ac:dyDescent="0.25">
      <c r="D28" s="2"/>
      <c r="E28" s="69" t="s">
        <v>45</v>
      </c>
      <c r="F28" s="56" t="s">
        <v>46</v>
      </c>
      <c r="G28" s="57">
        <v>0</v>
      </c>
      <c r="H28" s="58"/>
      <c r="I28" s="1">
        <f t="shared" si="1"/>
        <v>0</v>
      </c>
      <c r="N28" s="115">
        <f>Q29*1.25</f>
        <v>3093.75</v>
      </c>
      <c r="O28" t="s">
        <v>76</v>
      </c>
      <c r="P28" s="82">
        <f>SUM(G43)</f>
        <v>0</v>
      </c>
      <c r="Q28" s="126">
        <f>SUM(Q29:Q31)</f>
        <v>7425</v>
      </c>
    </row>
    <row r="29" spans="2:17" ht="15" customHeight="1" x14ac:dyDescent="0.25">
      <c r="D29" s="2"/>
      <c r="E29" s="69" t="s">
        <v>47</v>
      </c>
      <c r="F29" s="56" t="s">
        <v>48</v>
      </c>
      <c r="G29" s="57">
        <v>0</v>
      </c>
      <c r="H29" s="58"/>
      <c r="I29" s="1">
        <f t="shared" si="1"/>
        <v>0</v>
      </c>
      <c r="N29" s="115">
        <f>Q30*1.25</f>
        <v>3093.75</v>
      </c>
      <c r="Q29" s="124">
        <v>2475</v>
      </c>
    </row>
    <row r="30" spans="2:17" ht="15" customHeight="1" x14ac:dyDescent="0.25">
      <c r="D30" s="2"/>
      <c r="E30" s="70" t="s">
        <v>99</v>
      </c>
      <c r="F30" s="66" t="s">
        <v>50</v>
      </c>
      <c r="G30" s="57">
        <v>0</v>
      </c>
      <c r="H30" s="58"/>
      <c r="I30" s="1">
        <f t="shared" si="1"/>
        <v>0</v>
      </c>
      <c r="K30" t="s">
        <v>84</v>
      </c>
      <c r="N30" s="115">
        <f>Q31*1.25</f>
        <v>3093.75</v>
      </c>
      <c r="Q30" s="124">
        <v>2475</v>
      </c>
    </row>
    <row r="31" spans="2:17" ht="15" customHeight="1" x14ac:dyDescent="0.25">
      <c r="D31" s="2"/>
      <c r="E31" s="69" t="s">
        <v>51</v>
      </c>
      <c r="F31" s="56" t="s">
        <v>52</v>
      </c>
      <c r="G31" s="57">
        <v>0</v>
      </c>
      <c r="H31" s="58"/>
      <c r="I31" s="1">
        <f t="shared" si="1"/>
        <v>0</v>
      </c>
      <c r="N31" s="113">
        <f>Q32*1.25</f>
        <v>12375</v>
      </c>
      <c r="Q31" s="124">
        <v>2475</v>
      </c>
    </row>
    <row r="32" spans="2:17" ht="15" customHeight="1" x14ac:dyDescent="0.25">
      <c r="D32" s="2"/>
      <c r="E32" s="69" t="s">
        <v>53</v>
      </c>
      <c r="F32" s="56" t="s">
        <v>54</v>
      </c>
      <c r="G32" s="57">
        <v>0</v>
      </c>
      <c r="H32" s="58"/>
      <c r="I32" s="1">
        <f t="shared" si="1"/>
        <v>0</v>
      </c>
      <c r="J32" t="s">
        <v>84</v>
      </c>
      <c r="N32" s="115">
        <f>Q33*1.25</f>
        <v>0</v>
      </c>
      <c r="Q32" s="126">
        <f>SUM(Q33:Q35)</f>
        <v>9900</v>
      </c>
    </row>
    <row r="33" spans="4:17" ht="15" customHeight="1" x14ac:dyDescent="0.25">
      <c r="D33" s="2"/>
      <c r="E33" s="55" t="s">
        <v>55</v>
      </c>
      <c r="F33" s="56" t="s">
        <v>56</v>
      </c>
      <c r="G33" s="57">
        <v>0</v>
      </c>
      <c r="H33" s="58"/>
      <c r="I33" s="1">
        <f t="shared" si="1"/>
        <v>0</v>
      </c>
      <c r="N33" s="115">
        <f>Q34*1.25</f>
        <v>6187.5</v>
      </c>
      <c r="Q33" s="124">
        <v>0</v>
      </c>
    </row>
    <row r="34" spans="4:17" ht="15" customHeight="1" x14ac:dyDescent="0.25">
      <c r="D34" s="2"/>
      <c r="E34" s="55" t="s">
        <v>57</v>
      </c>
      <c r="F34" s="56" t="s">
        <v>58</v>
      </c>
      <c r="G34" s="57">
        <v>0</v>
      </c>
      <c r="H34" s="58"/>
      <c r="I34" s="1">
        <f t="shared" si="1"/>
        <v>0</v>
      </c>
      <c r="N34" s="115">
        <f>Q35*1.25</f>
        <v>6187.5</v>
      </c>
      <c r="Q34" s="124">
        <v>4950</v>
      </c>
    </row>
    <row r="35" spans="4:17" ht="15" customHeight="1" x14ac:dyDescent="0.25">
      <c r="D35" s="2"/>
      <c r="E35" s="51" t="s">
        <v>59</v>
      </c>
      <c r="F35" s="52" t="s">
        <v>60</v>
      </c>
      <c r="G35" s="59">
        <f>SUM(G36:G38)</f>
        <v>0</v>
      </c>
      <c r="H35" s="67"/>
      <c r="I35" s="1">
        <f t="shared" si="1"/>
        <v>0</v>
      </c>
      <c r="N35" s="113">
        <f>Q36*1.25</f>
        <v>0</v>
      </c>
      <c r="Q35" s="124">
        <v>4950</v>
      </c>
    </row>
    <row r="36" spans="4:17" ht="15" customHeight="1" x14ac:dyDescent="0.25">
      <c r="D36" s="2"/>
      <c r="E36" s="65" t="s">
        <v>61</v>
      </c>
      <c r="F36" s="66" t="s">
        <v>62</v>
      </c>
      <c r="G36" s="57">
        <v>0</v>
      </c>
      <c r="H36" s="58"/>
      <c r="I36" s="1">
        <f t="shared" si="1"/>
        <v>0</v>
      </c>
      <c r="N36" s="115">
        <f>Q37*1.25</f>
        <v>0</v>
      </c>
      <c r="Q36" s="126">
        <f>SUM(Q37:Q39)</f>
        <v>0</v>
      </c>
    </row>
    <row r="37" spans="4:17" ht="15" customHeight="1" x14ac:dyDescent="0.25">
      <c r="D37" s="2"/>
      <c r="E37" s="65" t="s">
        <v>100</v>
      </c>
      <c r="F37" s="66" t="s">
        <v>64</v>
      </c>
      <c r="G37" s="57">
        <v>0</v>
      </c>
      <c r="H37" s="58"/>
      <c r="I37" s="1">
        <f t="shared" si="1"/>
        <v>0</v>
      </c>
      <c r="N37" s="115">
        <f>Q38*1.25</f>
        <v>0</v>
      </c>
      <c r="Q37" s="124">
        <v>0</v>
      </c>
    </row>
    <row r="38" spans="4:17" ht="15" customHeight="1" x14ac:dyDescent="0.25">
      <c r="D38" s="2"/>
      <c r="E38" s="65" t="s">
        <v>65</v>
      </c>
      <c r="F38" s="66" t="s">
        <v>66</v>
      </c>
      <c r="G38" s="57">
        <v>0</v>
      </c>
      <c r="H38" s="58"/>
      <c r="I38" s="1">
        <f t="shared" si="1"/>
        <v>0</v>
      </c>
      <c r="N38" s="115">
        <f>Q39*1.25</f>
        <v>0</v>
      </c>
      <c r="Q38" s="124">
        <v>0</v>
      </c>
    </row>
    <row r="39" spans="4:17" ht="15" customHeight="1" thickBot="1" x14ac:dyDescent="0.3">
      <c r="D39" s="2"/>
      <c r="E39" s="51" t="s">
        <v>67</v>
      </c>
      <c r="F39" s="52" t="s">
        <v>68</v>
      </c>
      <c r="G39" s="59">
        <f>SUM(G40:G42)</f>
        <v>0</v>
      </c>
      <c r="H39" s="67"/>
      <c r="I39" s="1">
        <f t="shared" si="1"/>
        <v>0</v>
      </c>
      <c r="N39" s="113">
        <f>Q40*1.25</f>
        <v>181625</v>
      </c>
      <c r="Q39" s="124">
        <v>0</v>
      </c>
    </row>
    <row r="40" spans="4:17" ht="15" customHeight="1" thickBot="1" x14ac:dyDescent="0.3">
      <c r="D40" s="2"/>
      <c r="E40" s="55" t="s">
        <v>69</v>
      </c>
      <c r="F40" s="56" t="s">
        <v>70</v>
      </c>
      <c r="G40" s="57">
        <v>0</v>
      </c>
      <c r="H40" s="58"/>
      <c r="I40" s="1">
        <f t="shared" si="1"/>
        <v>0</v>
      </c>
      <c r="Q40" s="127">
        <f>Q2+Q6+Q11+Q18+Q28+Q32+Q36</f>
        <v>145300</v>
      </c>
    </row>
    <row r="41" spans="4:17" ht="15" customHeight="1" x14ac:dyDescent="0.25">
      <c r="D41" s="2"/>
      <c r="E41" s="55" t="s">
        <v>71</v>
      </c>
      <c r="F41" s="56" t="s">
        <v>72</v>
      </c>
      <c r="G41" s="57">
        <v>0</v>
      </c>
      <c r="H41" s="58"/>
      <c r="I41" s="1">
        <f t="shared" si="1"/>
        <v>0</v>
      </c>
    </row>
    <row r="42" spans="4:17" ht="15" customHeight="1" x14ac:dyDescent="0.25">
      <c r="D42" s="2"/>
      <c r="E42" s="55" t="s">
        <v>73</v>
      </c>
      <c r="F42" s="56" t="s">
        <v>74</v>
      </c>
      <c r="G42" s="57">
        <v>0</v>
      </c>
      <c r="H42" s="58"/>
      <c r="I42" s="1">
        <f t="shared" si="1"/>
        <v>0</v>
      </c>
    </row>
    <row r="43" spans="4:17" ht="15" customHeight="1" x14ac:dyDescent="0.25">
      <c r="D43" s="2"/>
      <c r="E43" s="51" t="s">
        <v>75</v>
      </c>
      <c r="F43" s="52" t="s">
        <v>76</v>
      </c>
      <c r="G43" s="59">
        <f>SUM(G44:G46)</f>
        <v>0</v>
      </c>
      <c r="H43" s="67"/>
      <c r="I43" s="1">
        <f t="shared" si="1"/>
        <v>0</v>
      </c>
    </row>
    <row r="44" spans="4:17" ht="15" customHeight="1" x14ac:dyDescent="0.25">
      <c r="D44" s="2"/>
      <c r="E44" s="55" t="s">
        <v>77</v>
      </c>
      <c r="F44" s="56" t="s">
        <v>78</v>
      </c>
      <c r="G44" s="57">
        <v>0</v>
      </c>
      <c r="H44" s="58"/>
      <c r="I44" s="1">
        <f t="shared" si="1"/>
        <v>0</v>
      </c>
    </row>
    <row r="45" spans="4:17" ht="15" customHeight="1" x14ac:dyDescent="0.25">
      <c r="D45" s="2"/>
      <c r="E45" s="55" t="s">
        <v>79</v>
      </c>
      <c r="F45" s="56" t="s">
        <v>80</v>
      </c>
      <c r="G45" s="75">
        <v>0</v>
      </c>
      <c r="H45" s="58"/>
      <c r="I45" s="1">
        <f t="shared" si="1"/>
        <v>0</v>
      </c>
    </row>
    <row r="46" spans="4:17" ht="15" customHeight="1" thickBot="1" x14ac:dyDescent="0.3">
      <c r="D46" s="2"/>
      <c r="E46" s="69" t="s">
        <v>81</v>
      </c>
      <c r="F46" s="56" t="s">
        <v>82</v>
      </c>
      <c r="G46" s="75">
        <v>0</v>
      </c>
      <c r="H46" s="58"/>
      <c r="I46" s="1">
        <f t="shared" si="1"/>
        <v>0</v>
      </c>
    </row>
    <row r="47" spans="4:17" ht="15.75" thickBot="1" x14ac:dyDescent="0.3">
      <c r="D47" s="2"/>
      <c r="E47" s="71" t="s">
        <v>83</v>
      </c>
      <c r="F47" s="3" t="s">
        <v>84</v>
      </c>
      <c r="G47" s="72">
        <f>G9+G13+G18+G25+G35+G39+G43</f>
        <v>83149.350000000006</v>
      </c>
      <c r="H47" s="73"/>
      <c r="I47" s="1">
        <f t="shared" si="1"/>
        <v>66519.48000000001</v>
      </c>
    </row>
    <row r="48" spans="4:17" x14ac:dyDescent="0.25">
      <c r="D48" s="2"/>
    </row>
    <row r="55" spans="5:5" x14ac:dyDescent="0.25">
      <c r="E55" t="s">
        <v>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11E2-848A-451A-9E1D-75285E83487A}">
  <dimension ref="B1:Q56"/>
  <sheetViews>
    <sheetView workbookViewId="0">
      <selection activeCell="P5" sqref="P5"/>
    </sheetView>
  </sheetViews>
  <sheetFormatPr baseColWidth="10" defaultColWidth="9.140625" defaultRowHeight="15" x14ac:dyDescent="0.25"/>
  <cols>
    <col min="5" max="5" width="52.140625" customWidth="1"/>
    <col min="6" max="6" width="6" style="6" customWidth="1"/>
    <col min="7" max="7" width="14.140625" style="74" customWidth="1"/>
    <col min="8" max="8" width="4" style="74" customWidth="1"/>
    <col min="9" max="9" width="14.28515625" style="4" customWidth="1"/>
  </cols>
  <sheetData>
    <row r="1" spans="3:17" s="130" customFormat="1" x14ac:dyDescent="0.25">
      <c r="F1" s="140"/>
      <c r="G1" s="131"/>
      <c r="H1" s="131"/>
      <c r="I1" s="4"/>
      <c r="M1" s="130">
        <v>16600</v>
      </c>
      <c r="O1" s="130">
        <v>1.25</v>
      </c>
    </row>
    <row r="2" spans="3:17" x14ac:dyDescent="0.25">
      <c r="G2" s="6"/>
      <c r="H2" s="45"/>
      <c r="M2" s="113">
        <f>SUM(M3:M5)</f>
        <v>10725</v>
      </c>
      <c r="Q2" s="113">
        <f>M2*1.25</f>
        <v>13406.25</v>
      </c>
    </row>
    <row r="3" spans="3:17" x14ac:dyDescent="0.25">
      <c r="E3" s="6"/>
      <c r="G3" s="6"/>
      <c r="H3" s="6"/>
      <c r="M3" s="124">
        <v>0</v>
      </c>
      <c r="Q3" s="113">
        <f>M3*1.25</f>
        <v>0</v>
      </c>
    </row>
    <row r="4" spans="3:17" x14ac:dyDescent="0.25">
      <c r="E4" t="s">
        <v>84</v>
      </c>
      <c r="G4" s="6"/>
      <c r="H4" s="6"/>
      <c r="M4" s="124">
        <v>5005</v>
      </c>
      <c r="Q4" s="113">
        <f>M4*1.25</f>
        <v>6256.25</v>
      </c>
    </row>
    <row r="5" spans="3:17" ht="18.75" x14ac:dyDescent="0.3">
      <c r="D5" s="2"/>
      <c r="E5" s="2"/>
      <c r="F5" s="3"/>
      <c r="G5" s="46" t="s">
        <v>0</v>
      </c>
      <c r="H5" s="47"/>
      <c r="K5" s="90"/>
      <c r="M5" s="124">
        <v>5720</v>
      </c>
      <c r="Q5" s="113">
        <f>M5*1.25</f>
        <v>7150</v>
      </c>
    </row>
    <row r="6" spans="3:17" x14ac:dyDescent="0.25">
      <c r="D6" s="2"/>
      <c r="E6" s="2"/>
      <c r="F6" s="3"/>
      <c r="G6" s="46" t="s">
        <v>1</v>
      </c>
      <c r="H6" s="48"/>
      <c r="M6" s="125">
        <f>SUM(M7:M10)</f>
        <v>1430</v>
      </c>
      <c r="Q6" s="113">
        <f>M6*1.25</f>
        <v>1787.5</v>
      </c>
    </row>
    <row r="7" spans="3:17" x14ac:dyDescent="0.25">
      <c r="D7" s="2"/>
      <c r="E7" s="2"/>
      <c r="F7" s="3"/>
      <c r="G7" s="46" t="s">
        <v>88</v>
      </c>
      <c r="H7" s="49"/>
      <c r="M7" s="124">
        <v>715</v>
      </c>
      <c r="Q7" s="113">
        <f>M7*1.25</f>
        <v>893.75</v>
      </c>
    </row>
    <row r="8" spans="3:17" ht="31.5" customHeight="1" x14ac:dyDescent="0.25">
      <c r="D8" s="2"/>
      <c r="E8" s="2" t="s">
        <v>115</v>
      </c>
      <c r="F8" s="50" t="s">
        <v>3</v>
      </c>
      <c r="G8" s="46" t="s">
        <v>97</v>
      </c>
      <c r="H8" s="49"/>
      <c r="I8" s="79"/>
      <c r="M8" s="124">
        <v>0</v>
      </c>
      <c r="Q8" s="113">
        <f>M8*1.25</f>
        <v>0</v>
      </c>
    </row>
    <row r="9" spans="3:17" x14ac:dyDescent="0.25">
      <c r="D9" s="2"/>
      <c r="E9" s="2"/>
      <c r="F9" s="50" t="s">
        <v>4</v>
      </c>
      <c r="G9" s="46" t="s">
        <v>84</v>
      </c>
      <c r="H9" s="49"/>
      <c r="I9" s="1"/>
      <c r="M9" s="124">
        <v>0</v>
      </c>
      <c r="Q9" s="113">
        <f>M9*1.25</f>
        <v>0</v>
      </c>
    </row>
    <row r="10" spans="3:17" ht="15" customHeight="1" x14ac:dyDescent="0.25">
      <c r="D10" s="2"/>
      <c r="E10" s="51" t="s">
        <v>7</v>
      </c>
      <c r="F10" s="52" t="s">
        <v>8</v>
      </c>
      <c r="G10" s="53">
        <f>SUM(G11:G13)</f>
        <v>8319.0499999999993</v>
      </c>
      <c r="H10" s="54"/>
      <c r="I10" s="1">
        <f>G10*0.8</f>
        <v>6655.24</v>
      </c>
      <c r="J10" t="s">
        <v>84</v>
      </c>
      <c r="M10" s="124">
        <v>715</v>
      </c>
      <c r="Q10" s="113">
        <f>M10*1.25</f>
        <v>893.75</v>
      </c>
    </row>
    <row r="11" spans="3:17" ht="15" customHeight="1" x14ac:dyDescent="0.25">
      <c r="D11" s="2"/>
      <c r="E11" s="55" t="s">
        <v>9</v>
      </c>
      <c r="F11" s="56" t="s">
        <v>10</v>
      </c>
      <c r="G11" s="57">
        <v>307.44</v>
      </c>
      <c r="H11" s="58"/>
      <c r="I11" s="1">
        <f t="shared" ref="I11:I48" si="0">G11*0.8</f>
        <v>245.952</v>
      </c>
      <c r="M11" s="125">
        <f>SUM(M12:M17)</f>
        <v>18010</v>
      </c>
      <c r="Q11" s="113">
        <f>M11*1.25</f>
        <v>22512.5</v>
      </c>
    </row>
    <row r="12" spans="3:17" ht="15" customHeight="1" x14ac:dyDescent="0.25">
      <c r="D12" s="2"/>
      <c r="E12" s="55" t="s">
        <v>11</v>
      </c>
      <c r="F12" s="56" t="s">
        <v>12</v>
      </c>
      <c r="G12" s="57">
        <v>4060.45</v>
      </c>
      <c r="H12" s="58"/>
      <c r="I12" s="1">
        <f t="shared" si="0"/>
        <v>3248.36</v>
      </c>
      <c r="M12" s="124">
        <v>3430</v>
      </c>
      <c r="Q12" s="113">
        <f>M12*1.25</f>
        <v>4287.5</v>
      </c>
    </row>
    <row r="13" spans="3:17" ht="15" customHeight="1" x14ac:dyDescent="0.25">
      <c r="D13" s="2"/>
      <c r="E13" s="55" t="s">
        <v>13</v>
      </c>
      <c r="F13" s="56" t="s">
        <v>14</v>
      </c>
      <c r="G13" s="57">
        <v>3951.16</v>
      </c>
      <c r="H13" s="58"/>
      <c r="I13" s="1">
        <f t="shared" si="0"/>
        <v>3160.9279999999999</v>
      </c>
      <c r="M13" s="124">
        <v>0</v>
      </c>
      <c r="Q13" s="113">
        <f>M13*1.25</f>
        <v>0</v>
      </c>
    </row>
    <row r="14" spans="3:17" ht="15" customHeight="1" x14ac:dyDescent="0.25">
      <c r="C14" t="s">
        <v>84</v>
      </c>
      <c r="D14" s="2"/>
      <c r="E14" s="51" t="s">
        <v>15</v>
      </c>
      <c r="F14" s="52" t="s">
        <v>16</v>
      </c>
      <c r="G14" s="59">
        <f>SUM(G15:G18)</f>
        <v>1776.6100000000001</v>
      </c>
      <c r="H14" s="60"/>
      <c r="I14" s="1">
        <f t="shared" si="0"/>
        <v>1421.2880000000002</v>
      </c>
      <c r="M14" s="124">
        <v>5860</v>
      </c>
      <c r="Q14" s="113">
        <f>M14*1.25</f>
        <v>7325</v>
      </c>
    </row>
    <row r="15" spans="3:17" ht="15" customHeight="1" x14ac:dyDescent="0.25">
      <c r="D15" s="2"/>
      <c r="E15" s="55" t="s">
        <v>17</v>
      </c>
      <c r="F15" s="56" t="s">
        <v>18</v>
      </c>
      <c r="G15" s="57">
        <v>1115.02</v>
      </c>
      <c r="H15" s="58"/>
      <c r="I15" s="1">
        <f t="shared" si="0"/>
        <v>892.01600000000008</v>
      </c>
      <c r="M15" s="124">
        <v>0</v>
      </c>
      <c r="Q15" s="113">
        <f>M15*1.25</f>
        <v>0</v>
      </c>
    </row>
    <row r="16" spans="3:17" ht="15" customHeight="1" x14ac:dyDescent="0.25">
      <c r="D16" s="2"/>
      <c r="E16" s="55" t="s">
        <v>19</v>
      </c>
      <c r="F16" s="56" t="s">
        <v>20</v>
      </c>
      <c r="G16" s="57">
        <v>0</v>
      </c>
      <c r="H16" s="58"/>
      <c r="I16" s="1">
        <f t="shared" si="0"/>
        <v>0</v>
      </c>
      <c r="M16" s="124">
        <v>0</v>
      </c>
      <c r="Q16" s="113">
        <f>M16*1.25</f>
        <v>0</v>
      </c>
    </row>
    <row r="17" spans="2:17" ht="15" customHeight="1" x14ac:dyDescent="0.25">
      <c r="D17" s="2"/>
      <c r="E17" s="55" t="s">
        <v>21</v>
      </c>
      <c r="F17" s="56" t="s">
        <v>22</v>
      </c>
      <c r="G17" s="57">
        <v>661.59</v>
      </c>
      <c r="H17" s="58"/>
      <c r="I17" s="1">
        <f t="shared" si="0"/>
        <v>529.27200000000005</v>
      </c>
      <c r="M17" s="124">
        <v>8720</v>
      </c>
      <c r="Q17" s="113">
        <f>M17*1.25</f>
        <v>10900</v>
      </c>
    </row>
    <row r="18" spans="2:17" ht="15" customHeight="1" x14ac:dyDescent="0.25">
      <c r="D18" s="2"/>
      <c r="E18" s="55" t="s">
        <v>23</v>
      </c>
      <c r="F18" s="56" t="s">
        <v>24</v>
      </c>
      <c r="G18" s="57">
        <v>0</v>
      </c>
      <c r="H18" s="58"/>
      <c r="I18" s="1">
        <f t="shared" si="0"/>
        <v>0</v>
      </c>
      <c r="M18" s="126">
        <f>SUM(M19:M27)</f>
        <v>15750</v>
      </c>
      <c r="Q18" s="113">
        <f>M18*1.25</f>
        <v>19687.5</v>
      </c>
    </row>
    <row r="19" spans="2:17" ht="15" customHeight="1" x14ac:dyDescent="0.25">
      <c r="D19" s="2"/>
      <c r="E19" s="51" t="s">
        <v>25</v>
      </c>
      <c r="F19" s="52" t="s">
        <v>26</v>
      </c>
      <c r="G19" s="59">
        <f>SUM(G20:G24)</f>
        <v>2131.5</v>
      </c>
      <c r="H19" s="60"/>
      <c r="I19" s="1">
        <f t="shared" si="0"/>
        <v>1705.2</v>
      </c>
      <c r="M19" s="124">
        <v>0</v>
      </c>
      <c r="Q19" s="113">
        <f>M19*1.25</f>
        <v>0</v>
      </c>
    </row>
    <row r="20" spans="2:17" ht="15" customHeight="1" x14ac:dyDescent="0.25">
      <c r="D20" s="2"/>
      <c r="E20" s="55" t="s">
        <v>27</v>
      </c>
      <c r="F20" s="56" t="s">
        <v>28</v>
      </c>
      <c r="G20" s="57">
        <v>2131.5</v>
      </c>
      <c r="H20" s="58"/>
      <c r="I20" s="1">
        <f t="shared" si="0"/>
        <v>1705.2</v>
      </c>
      <c r="M20" s="124">
        <v>10290</v>
      </c>
      <c r="Q20" s="113">
        <f>M20*1.25</f>
        <v>12862.5</v>
      </c>
    </row>
    <row r="21" spans="2:17" ht="15" customHeight="1" x14ac:dyDescent="0.25">
      <c r="D21" s="2"/>
      <c r="E21" s="55" t="s">
        <v>29</v>
      </c>
      <c r="F21" s="56" t="s">
        <v>30</v>
      </c>
      <c r="G21" s="57">
        <v>0</v>
      </c>
      <c r="H21" s="58"/>
      <c r="I21" s="1">
        <f t="shared" si="0"/>
        <v>0</v>
      </c>
      <c r="M21" s="124">
        <v>3030</v>
      </c>
      <c r="Q21" s="113">
        <f>M21*1.25</f>
        <v>3787.5</v>
      </c>
    </row>
    <row r="22" spans="2:17" ht="15" customHeight="1" x14ac:dyDescent="0.25">
      <c r="B22" t="s">
        <v>84</v>
      </c>
      <c r="D22" s="2"/>
      <c r="E22" s="55" t="s">
        <v>31</v>
      </c>
      <c r="F22" s="56" t="s">
        <v>32</v>
      </c>
      <c r="G22" s="57">
        <v>0</v>
      </c>
      <c r="H22" s="58"/>
      <c r="I22" s="1">
        <f t="shared" si="0"/>
        <v>0</v>
      </c>
      <c r="M22" s="124">
        <v>0</v>
      </c>
      <c r="Q22" s="113">
        <f>M22*1.25</f>
        <v>0</v>
      </c>
    </row>
    <row r="23" spans="2:17" ht="15" customHeight="1" x14ac:dyDescent="0.25">
      <c r="D23" s="2"/>
      <c r="E23" s="55" t="s">
        <v>33</v>
      </c>
      <c r="F23" s="56" t="s">
        <v>34</v>
      </c>
      <c r="G23" s="57">
        <v>0</v>
      </c>
      <c r="H23" s="58"/>
      <c r="I23" s="1">
        <f t="shared" si="0"/>
        <v>0</v>
      </c>
      <c r="M23" s="124">
        <v>0</v>
      </c>
      <c r="O23" t="s">
        <v>8</v>
      </c>
      <c r="P23" s="82">
        <f>SUM(G10)</f>
        <v>8319.0499999999993</v>
      </c>
      <c r="Q23" s="113">
        <f>M23*1.25</f>
        <v>0</v>
      </c>
    </row>
    <row r="24" spans="2:17" ht="15" customHeight="1" x14ac:dyDescent="0.25">
      <c r="D24" s="2"/>
      <c r="E24" s="55" t="s">
        <v>35</v>
      </c>
      <c r="F24" s="56" t="s">
        <v>36</v>
      </c>
      <c r="G24" s="57">
        <v>0</v>
      </c>
      <c r="H24" s="58"/>
      <c r="I24" s="1">
        <f t="shared" si="0"/>
        <v>0</v>
      </c>
      <c r="M24" s="124">
        <v>0</v>
      </c>
      <c r="O24" t="s">
        <v>16</v>
      </c>
      <c r="P24" s="82">
        <f>SUM(G14)</f>
        <v>1776.6100000000001</v>
      </c>
      <c r="Q24" s="113">
        <f>M24*1.25</f>
        <v>0</v>
      </c>
    </row>
    <row r="25" spans="2:17" ht="15" customHeight="1" x14ac:dyDescent="0.25">
      <c r="D25" s="2"/>
      <c r="E25" s="65" t="s">
        <v>37</v>
      </c>
      <c r="F25" s="66" t="s">
        <v>38</v>
      </c>
      <c r="G25" s="57">
        <v>0</v>
      </c>
      <c r="H25" s="58"/>
      <c r="I25" s="1">
        <f t="shared" si="0"/>
        <v>0</v>
      </c>
      <c r="M25" s="124">
        <v>0</v>
      </c>
      <c r="O25" t="s">
        <v>26</v>
      </c>
      <c r="P25" s="82">
        <f>SUM(G19)</f>
        <v>2131.5</v>
      </c>
      <c r="Q25" s="113">
        <f>M25*1.25</f>
        <v>0</v>
      </c>
    </row>
    <row r="26" spans="2:17" ht="15" customHeight="1" x14ac:dyDescent="0.25">
      <c r="D26" s="2"/>
      <c r="E26" s="51" t="s">
        <v>39</v>
      </c>
      <c r="F26" s="52" t="s">
        <v>40</v>
      </c>
      <c r="G26" s="59">
        <f>SUM(G27:G30)</f>
        <v>661.59</v>
      </c>
      <c r="H26" s="67"/>
      <c r="I26" s="1">
        <f t="shared" si="0"/>
        <v>529.27200000000005</v>
      </c>
      <c r="M26" s="124">
        <v>0</v>
      </c>
      <c r="O26" t="s">
        <v>40</v>
      </c>
      <c r="P26" s="82">
        <f>SUM(G26)</f>
        <v>661.59</v>
      </c>
      <c r="Q26" s="113">
        <f>M26*1.25</f>
        <v>0</v>
      </c>
    </row>
    <row r="27" spans="2:17" ht="15" customHeight="1" x14ac:dyDescent="0.25">
      <c r="D27" s="2"/>
      <c r="E27" s="69" t="s">
        <v>102</v>
      </c>
      <c r="F27" s="56" t="s">
        <v>42</v>
      </c>
      <c r="G27" s="57">
        <v>661.59</v>
      </c>
      <c r="H27" s="58"/>
      <c r="I27" s="1">
        <f t="shared" si="0"/>
        <v>529.27200000000005</v>
      </c>
      <c r="M27" s="124">
        <v>2430</v>
      </c>
      <c r="O27" t="s">
        <v>60</v>
      </c>
      <c r="P27" s="82">
        <f>SUM(G36)</f>
        <v>1742.0700000000002</v>
      </c>
      <c r="Q27" s="113">
        <f>M27*1.25</f>
        <v>3037.5</v>
      </c>
    </row>
    <row r="28" spans="2:17" ht="15" customHeight="1" x14ac:dyDescent="0.25">
      <c r="D28" s="2"/>
      <c r="E28" s="69" t="s">
        <v>43</v>
      </c>
      <c r="F28" s="56" t="s">
        <v>44</v>
      </c>
      <c r="G28" s="57">
        <v>0</v>
      </c>
      <c r="H28" s="58"/>
      <c r="I28" s="1">
        <f t="shared" si="0"/>
        <v>0</v>
      </c>
      <c r="M28" s="126">
        <f>SUM(M29:M31)</f>
        <v>2145</v>
      </c>
      <c r="O28" t="s">
        <v>68</v>
      </c>
      <c r="P28" s="82">
        <f>SUM(G40)</f>
        <v>590.42999999999995</v>
      </c>
      <c r="Q28" s="113">
        <f>M28*1.25</f>
        <v>2681.25</v>
      </c>
    </row>
    <row r="29" spans="2:17" ht="15" customHeight="1" x14ac:dyDescent="0.25">
      <c r="D29" s="2"/>
      <c r="E29" s="69" t="s">
        <v>45</v>
      </c>
      <c r="F29" s="56" t="s">
        <v>46</v>
      </c>
      <c r="G29" s="57">
        <v>0</v>
      </c>
      <c r="H29" s="58"/>
      <c r="I29" s="1">
        <f t="shared" si="0"/>
        <v>0</v>
      </c>
      <c r="M29" s="124">
        <v>715</v>
      </c>
      <c r="O29" t="s">
        <v>76</v>
      </c>
      <c r="P29" s="82">
        <f>SUM(G44)</f>
        <v>0</v>
      </c>
      <c r="Q29" s="113">
        <f>M29*1.25</f>
        <v>893.75</v>
      </c>
    </row>
    <row r="30" spans="2:17" ht="15" customHeight="1" x14ac:dyDescent="0.25">
      <c r="D30" s="2"/>
      <c r="E30" s="69" t="s">
        <v>47</v>
      </c>
      <c r="F30" s="56" t="s">
        <v>48</v>
      </c>
      <c r="G30" s="57">
        <v>0</v>
      </c>
      <c r="H30" s="58"/>
      <c r="I30" s="1">
        <f t="shared" si="0"/>
        <v>0</v>
      </c>
      <c r="M30" s="124">
        <v>715</v>
      </c>
      <c r="Q30" s="113">
        <f>M30*1.25</f>
        <v>893.75</v>
      </c>
    </row>
    <row r="31" spans="2:17" ht="15" customHeight="1" x14ac:dyDescent="0.25">
      <c r="D31" s="2"/>
      <c r="E31" s="70" t="s">
        <v>99</v>
      </c>
      <c r="F31" s="66" t="s">
        <v>50</v>
      </c>
      <c r="G31" s="57">
        <v>0</v>
      </c>
      <c r="H31" s="58"/>
      <c r="I31" s="1">
        <f t="shared" si="0"/>
        <v>0</v>
      </c>
      <c r="M31" s="124">
        <v>715</v>
      </c>
      <c r="Q31" s="113">
        <f>M31*1.25</f>
        <v>893.75</v>
      </c>
    </row>
    <row r="32" spans="2:17" ht="15" customHeight="1" x14ac:dyDescent="0.25">
      <c r="D32" s="2"/>
      <c r="E32" s="69" t="s">
        <v>51</v>
      </c>
      <c r="F32" s="56" t="s">
        <v>52</v>
      </c>
      <c r="G32" s="57">
        <v>0</v>
      </c>
      <c r="H32" s="58"/>
      <c r="I32" s="1">
        <f t="shared" si="0"/>
        <v>0</v>
      </c>
      <c r="M32" s="126">
        <f>SUM(M33:M35)</f>
        <v>2860</v>
      </c>
      <c r="Q32" s="113">
        <f>M32*1.25</f>
        <v>3575</v>
      </c>
    </row>
    <row r="33" spans="4:17" ht="15" customHeight="1" x14ac:dyDescent="0.25">
      <c r="D33" s="2"/>
      <c r="E33" s="69" t="s">
        <v>53</v>
      </c>
      <c r="F33" s="56" t="s">
        <v>54</v>
      </c>
      <c r="G33" s="57">
        <v>0</v>
      </c>
      <c r="H33" s="58"/>
      <c r="I33" s="1">
        <f t="shared" si="0"/>
        <v>0</v>
      </c>
      <c r="M33" s="124">
        <v>0</v>
      </c>
      <c r="Q33" s="113">
        <f>M33*1.25</f>
        <v>0</v>
      </c>
    </row>
    <row r="34" spans="4:17" ht="15" customHeight="1" x14ac:dyDescent="0.25">
      <c r="D34" s="2"/>
      <c r="E34" s="55" t="s">
        <v>55</v>
      </c>
      <c r="F34" s="56" t="s">
        <v>56</v>
      </c>
      <c r="G34" s="57">
        <v>0</v>
      </c>
      <c r="H34" s="58"/>
      <c r="I34" s="1">
        <f t="shared" si="0"/>
        <v>0</v>
      </c>
      <c r="M34" s="124">
        <v>1430</v>
      </c>
      <c r="Q34" s="113">
        <f>M34*1.25</f>
        <v>1787.5</v>
      </c>
    </row>
    <row r="35" spans="4:17" ht="15" customHeight="1" x14ac:dyDescent="0.25">
      <c r="D35" s="2"/>
      <c r="E35" s="55" t="s">
        <v>57</v>
      </c>
      <c r="F35" s="56" t="s">
        <v>58</v>
      </c>
      <c r="G35" s="57">
        <v>0</v>
      </c>
      <c r="H35" s="58"/>
      <c r="I35" s="1">
        <f t="shared" si="0"/>
        <v>0</v>
      </c>
      <c r="M35" s="124">
        <v>1430</v>
      </c>
      <c r="Q35" s="113">
        <f>M35*1.25</f>
        <v>1787.5</v>
      </c>
    </row>
    <row r="36" spans="4:17" ht="15" customHeight="1" x14ac:dyDescent="0.25">
      <c r="D36" s="2"/>
      <c r="E36" s="51" t="s">
        <v>59</v>
      </c>
      <c r="F36" s="52" t="s">
        <v>60</v>
      </c>
      <c r="G36" s="59">
        <f>SUM(G37:G39)</f>
        <v>1742.0700000000002</v>
      </c>
      <c r="H36" s="67"/>
      <c r="I36" s="1">
        <f t="shared" si="0"/>
        <v>1393.6560000000002</v>
      </c>
      <c r="M36" s="126">
        <f>SUM(M37:M39)</f>
        <v>0</v>
      </c>
      <c r="Q36" s="113">
        <f>M36*1.25</f>
        <v>0</v>
      </c>
    </row>
    <row r="37" spans="4:17" ht="15" customHeight="1" x14ac:dyDescent="0.25">
      <c r="D37" s="2"/>
      <c r="E37" s="65" t="s">
        <v>61</v>
      </c>
      <c r="F37" s="66" t="s">
        <v>62</v>
      </c>
      <c r="G37" s="57">
        <v>1742.0700000000002</v>
      </c>
      <c r="H37" s="58"/>
      <c r="I37" s="1">
        <f t="shared" si="0"/>
        <v>1393.6560000000002</v>
      </c>
      <c r="M37" s="124">
        <v>0</v>
      </c>
      <c r="Q37" s="113">
        <f>M37*1.25</f>
        <v>0</v>
      </c>
    </row>
    <row r="38" spans="4:17" ht="15" customHeight="1" x14ac:dyDescent="0.25">
      <c r="D38" s="2"/>
      <c r="E38" s="65" t="s">
        <v>100</v>
      </c>
      <c r="F38" s="66" t="s">
        <v>64</v>
      </c>
      <c r="G38" s="57">
        <v>0</v>
      </c>
      <c r="H38" s="58"/>
      <c r="I38" s="1">
        <f t="shared" si="0"/>
        <v>0</v>
      </c>
      <c r="M38" s="124">
        <v>0</v>
      </c>
      <c r="Q38" s="113">
        <f>M38*1.25</f>
        <v>0</v>
      </c>
    </row>
    <row r="39" spans="4:17" ht="15" customHeight="1" thickBot="1" x14ac:dyDescent="0.3">
      <c r="D39" s="2"/>
      <c r="E39" s="65" t="s">
        <v>65</v>
      </c>
      <c r="F39" s="66" t="s">
        <v>66</v>
      </c>
      <c r="G39" s="57">
        <v>0</v>
      </c>
      <c r="H39" s="58"/>
      <c r="I39" s="1">
        <f t="shared" si="0"/>
        <v>0</v>
      </c>
      <c r="M39" s="124">
        <v>0</v>
      </c>
      <c r="Q39" s="113">
        <f>M39*1.25</f>
        <v>0</v>
      </c>
    </row>
    <row r="40" spans="4:17" ht="15" customHeight="1" thickBot="1" x14ac:dyDescent="0.3">
      <c r="D40" s="2"/>
      <c r="E40" s="51" t="s">
        <v>67</v>
      </c>
      <c r="F40" s="52" t="s">
        <v>68</v>
      </c>
      <c r="G40" s="59">
        <f>SUM(G41:G43)</f>
        <v>590.42999999999995</v>
      </c>
      <c r="H40" s="67"/>
      <c r="I40" s="1">
        <f t="shared" si="0"/>
        <v>472.34399999999999</v>
      </c>
      <c r="M40" s="127">
        <f>SUM(M2+M6+M11+M18+M28+M32+M36)</f>
        <v>50920</v>
      </c>
      <c r="Q40" s="113">
        <f>M40*1.25</f>
        <v>63650</v>
      </c>
    </row>
    <row r="41" spans="4:17" ht="15" customHeight="1" x14ac:dyDescent="0.25">
      <c r="D41" s="2"/>
      <c r="E41" s="55" t="s">
        <v>69</v>
      </c>
      <c r="F41" s="56" t="s">
        <v>70</v>
      </c>
      <c r="G41" s="57">
        <v>0</v>
      </c>
      <c r="H41" s="58"/>
      <c r="I41" s="1">
        <f t="shared" si="0"/>
        <v>0</v>
      </c>
    </row>
    <row r="42" spans="4:17" ht="15" customHeight="1" x14ac:dyDescent="0.25">
      <c r="D42" s="2"/>
      <c r="E42" s="55" t="s">
        <v>71</v>
      </c>
      <c r="F42" s="56" t="s">
        <v>72</v>
      </c>
      <c r="G42" s="57">
        <v>590.42999999999995</v>
      </c>
      <c r="H42" s="58"/>
      <c r="I42" s="1">
        <f t="shared" si="0"/>
        <v>472.34399999999999</v>
      </c>
      <c r="J42" t="s">
        <v>84</v>
      </c>
    </row>
    <row r="43" spans="4:17" ht="15" customHeight="1" x14ac:dyDescent="0.25">
      <c r="D43" s="2"/>
      <c r="E43" s="55" t="s">
        <v>73</v>
      </c>
      <c r="F43" s="56" t="s">
        <v>74</v>
      </c>
      <c r="G43" s="57">
        <v>0</v>
      </c>
      <c r="H43" s="58"/>
      <c r="I43" s="1">
        <f t="shared" si="0"/>
        <v>0</v>
      </c>
    </row>
    <row r="44" spans="4:17" ht="15" customHeight="1" x14ac:dyDescent="0.25">
      <c r="D44" s="2"/>
      <c r="E44" s="51" t="s">
        <v>75</v>
      </c>
      <c r="F44" s="52" t="s">
        <v>76</v>
      </c>
      <c r="G44" s="59">
        <v>0</v>
      </c>
      <c r="H44" s="67"/>
      <c r="I44" s="1">
        <f t="shared" si="0"/>
        <v>0</v>
      </c>
    </row>
    <row r="45" spans="4:17" ht="15" customHeight="1" x14ac:dyDescent="0.25">
      <c r="D45" s="2"/>
      <c r="E45" s="55" t="s">
        <v>77</v>
      </c>
      <c r="F45" s="56" t="s">
        <v>78</v>
      </c>
      <c r="G45" s="57">
        <v>0</v>
      </c>
      <c r="H45" s="58"/>
      <c r="I45" s="1">
        <f t="shared" si="0"/>
        <v>0</v>
      </c>
    </row>
    <row r="46" spans="4:17" ht="15" customHeight="1" x14ac:dyDescent="0.25">
      <c r="D46" s="2"/>
      <c r="E46" s="55" t="s">
        <v>79</v>
      </c>
      <c r="F46" s="56" t="s">
        <v>80</v>
      </c>
      <c r="G46" s="75">
        <v>0</v>
      </c>
      <c r="H46" s="58"/>
      <c r="I46" s="1">
        <f t="shared" si="0"/>
        <v>0</v>
      </c>
    </row>
    <row r="47" spans="4:17" ht="15" customHeight="1" thickBot="1" x14ac:dyDescent="0.3">
      <c r="D47" s="2"/>
      <c r="E47" s="69" t="s">
        <v>81</v>
      </c>
      <c r="F47" s="56" t="s">
        <v>82</v>
      </c>
      <c r="G47" s="75">
        <v>0</v>
      </c>
      <c r="H47" s="58"/>
      <c r="I47" s="1">
        <f t="shared" si="0"/>
        <v>0</v>
      </c>
    </row>
    <row r="48" spans="4:17" ht="15.75" thickBot="1" x14ac:dyDescent="0.3">
      <c r="D48" s="2"/>
      <c r="E48" s="71" t="s">
        <v>83</v>
      </c>
      <c r="F48" s="3" t="s">
        <v>84</v>
      </c>
      <c r="G48" s="72">
        <f>G44+G40+G36+G26+G19+G14+G10</f>
        <v>15221.25</v>
      </c>
      <c r="H48" s="73"/>
      <c r="I48" s="1">
        <f t="shared" si="0"/>
        <v>12177</v>
      </c>
    </row>
    <row r="49" spans="4:7" x14ac:dyDescent="0.25">
      <c r="D49" s="2"/>
      <c r="G49" s="80"/>
    </row>
    <row r="56" spans="4:7" x14ac:dyDescent="0.25">
      <c r="E56" t="s">
        <v>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E18E-078B-459E-858B-7DE944A6517C}">
  <dimension ref="A1:X53"/>
  <sheetViews>
    <sheetView topLeftCell="C1" workbookViewId="0">
      <selection activeCell="T8" sqref="T8"/>
    </sheetView>
  </sheetViews>
  <sheetFormatPr baseColWidth="10" defaultColWidth="9.140625" defaultRowHeight="15" x14ac:dyDescent="0.25"/>
  <cols>
    <col min="1" max="1" width="52.140625" customWidth="1"/>
    <col min="2" max="2" width="6" style="6" customWidth="1"/>
    <col min="3" max="3" width="17.85546875" style="24" customWidth="1"/>
    <col min="4" max="4" width="18.42578125" style="24" customWidth="1"/>
    <col min="5" max="5" width="14.28515625" style="4" customWidth="1"/>
    <col min="6" max="6" width="11" style="83" customWidth="1"/>
    <col min="7" max="7" width="12.85546875" style="98" customWidth="1"/>
    <col min="8" max="8" width="9.140625" style="83"/>
    <col min="9" max="9" width="10.28515625" style="83" bestFit="1" customWidth="1"/>
    <col min="11" max="11" width="9.140625" style="41"/>
  </cols>
  <sheetData>
    <row r="1" spans="1:24" s="130" customFormat="1" x14ac:dyDescent="0.25">
      <c r="B1" s="140"/>
      <c r="C1" s="109"/>
      <c r="D1" s="109"/>
      <c r="E1" s="4"/>
      <c r="F1" s="83"/>
      <c r="G1" s="98"/>
      <c r="H1" s="83"/>
      <c r="I1" s="83"/>
      <c r="K1" s="41"/>
      <c r="T1" s="130">
        <v>1.25</v>
      </c>
      <c r="V1" s="130">
        <v>31600</v>
      </c>
    </row>
    <row r="2" spans="1:24" x14ac:dyDescent="0.25">
      <c r="A2" s="2"/>
      <c r="B2" s="3"/>
      <c r="C2" s="92" t="s">
        <v>0</v>
      </c>
      <c r="D2" s="92"/>
      <c r="V2" s="113">
        <f>SUM(V3:V5)</f>
        <v>8250</v>
      </c>
      <c r="X2" s="113">
        <f>V2*1.25</f>
        <v>10312.5</v>
      </c>
    </row>
    <row r="3" spans="1:24" ht="18.75" x14ac:dyDescent="0.3">
      <c r="A3" s="2"/>
      <c r="B3" s="3"/>
      <c r="C3" s="92" t="s">
        <v>1</v>
      </c>
      <c r="D3" s="92" t="s">
        <v>131</v>
      </c>
      <c r="F3" s="90" t="s">
        <v>90</v>
      </c>
      <c r="I3" s="84"/>
      <c r="J3" t="s">
        <v>116</v>
      </c>
      <c r="V3" s="124">
        <v>5500</v>
      </c>
      <c r="X3" s="113">
        <f t="shared" ref="X3:X40" si="0">V3*1.25</f>
        <v>6875</v>
      </c>
    </row>
    <row r="4" spans="1:24" x14ac:dyDescent="0.25">
      <c r="A4" s="2"/>
      <c r="B4" s="3"/>
      <c r="C4" s="92" t="s">
        <v>88</v>
      </c>
      <c r="D4" s="92"/>
      <c r="J4" t="s">
        <v>117</v>
      </c>
      <c r="V4" s="124">
        <v>1375</v>
      </c>
      <c r="X4" s="113">
        <f t="shared" si="0"/>
        <v>1718.75</v>
      </c>
    </row>
    <row r="5" spans="1:24" x14ac:dyDescent="0.25">
      <c r="A5" s="25" t="s">
        <v>2</v>
      </c>
      <c r="B5" s="3" t="s">
        <v>3</v>
      </c>
      <c r="C5" s="92" t="s">
        <v>92</v>
      </c>
      <c r="D5" s="92"/>
      <c r="E5" s="1"/>
      <c r="F5" s="85"/>
      <c r="H5" s="85"/>
      <c r="J5" t="s">
        <v>118</v>
      </c>
      <c r="V5" s="124">
        <v>1375</v>
      </c>
      <c r="X5" s="113">
        <f t="shared" si="0"/>
        <v>1718.75</v>
      </c>
    </row>
    <row r="6" spans="1:24" x14ac:dyDescent="0.25">
      <c r="A6" s="2"/>
      <c r="B6" s="3" t="s">
        <v>4</v>
      </c>
      <c r="C6" s="7" t="s">
        <v>84</v>
      </c>
      <c r="D6" s="8"/>
      <c r="E6" s="1"/>
      <c r="G6" s="99"/>
      <c r="I6" s="86"/>
      <c r="J6" t="s">
        <v>119</v>
      </c>
      <c r="V6" s="125">
        <f>SUM(V7:V10)</f>
        <v>2750</v>
      </c>
      <c r="X6" s="113">
        <f t="shared" si="0"/>
        <v>3437.5</v>
      </c>
    </row>
    <row r="7" spans="1:24" ht="15" customHeight="1" x14ac:dyDescent="0.25">
      <c r="A7" s="9" t="s">
        <v>7</v>
      </c>
      <c r="B7" s="10" t="s">
        <v>8</v>
      </c>
      <c r="C7" s="11">
        <f>H7</f>
        <v>7696.99</v>
      </c>
      <c r="D7" s="97">
        <f>C7*0.8</f>
        <v>6157.5920000000006</v>
      </c>
      <c r="E7" s="1" t="s">
        <v>95</v>
      </c>
      <c r="F7" s="87">
        <v>1.5</v>
      </c>
      <c r="G7" s="100"/>
      <c r="H7" s="87">
        <f>SUM(H8:H10)</f>
        <v>7696.99</v>
      </c>
      <c r="I7" s="86"/>
      <c r="J7" t="s">
        <v>95</v>
      </c>
      <c r="K7" s="41">
        <v>3.37</v>
      </c>
      <c r="V7" s="124">
        <v>1375</v>
      </c>
      <c r="X7" s="113">
        <f t="shared" si="0"/>
        <v>1718.75</v>
      </c>
    </row>
    <row r="8" spans="1:24" ht="15" customHeight="1" x14ac:dyDescent="0.25">
      <c r="A8" s="13" t="s">
        <v>9</v>
      </c>
      <c r="B8" s="14" t="s">
        <v>10</v>
      </c>
      <c r="C8" s="103">
        <f t="shared" ref="C8:C45" si="1">H8</f>
        <v>6508.7449999999999</v>
      </c>
      <c r="D8" s="97">
        <f t="shared" ref="D8:D45" si="2">C8*0.8</f>
        <v>5206.9960000000001</v>
      </c>
      <c r="E8" s="17"/>
      <c r="F8" s="87"/>
      <c r="G8" s="101"/>
      <c r="H8" s="87">
        <v>6508.7449999999999</v>
      </c>
      <c r="I8" s="86"/>
      <c r="J8" t="s">
        <v>120</v>
      </c>
      <c r="K8" s="41">
        <v>35.47</v>
      </c>
      <c r="V8" s="124">
        <v>0</v>
      </c>
      <c r="X8" s="113">
        <f t="shared" si="0"/>
        <v>0</v>
      </c>
    </row>
    <row r="9" spans="1:24" ht="15" customHeight="1" x14ac:dyDescent="0.25">
      <c r="A9" s="13" t="s">
        <v>11</v>
      </c>
      <c r="B9" s="14" t="s">
        <v>12</v>
      </c>
      <c r="C9" s="103">
        <f t="shared" si="1"/>
        <v>0</v>
      </c>
      <c r="D9" s="97">
        <f t="shared" si="2"/>
        <v>0</v>
      </c>
      <c r="E9" s="17"/>
      <c r="F9" s="87"/>
      <c r="G9" s="101"/>
      <c r="H9" s="87">
        <v>0</v>
      </c>
      <c r="I9" s="86"/>
      <c r="J9" t="s">
        <v>121</v>
      </c>
      <c r="L9">
        <v>483.03</v>
      </c>
      <c r="V9" s="124">
        <v>0</v>
      </c>
      <c r="X9" s="113">
        <f t="shared" si="0"/>
        <v>0</v>
      </c>
    </row>
    <row r="10" spans="1:24" ht="15" customHeight="1" x14ac:dyDescent="0.25">
      <c r="A10" s="13" t="s">
        <v>13</v>
      </c>
      <c r="B10" s="14" t="s">
        <v>14</v>
      </c>
      <c r="C10" s="103">
        <f t="shared" si="1"/>
        <v>1188.2449999999999</v>
      </c>
      <c r="D10" s="97">
        <f t="shared" si="2"/>
        <v>950.596</v>
      </c>
      <c r="E10" s="17"/>
      <c r="F10" s="87"/>
      <c r="G10" s="101"/>
      <c r="H10" s="87">
        <v>1188.2449999999999</v>
      </c>
      <c r="I10" s="86"/>
      <c r="V10" s="124">
        <v>1375</v>
      </c>
      <c r="X10" s="113">
        <f t="shared" si="0"/>
        <v>1718.75</v>
      </c>
    </row>
    <row r="11" spans="1:24" ht="15" customHeight="1" x14ac:dyDescent="0.25">
      <c r="A11" s="9" t="s">
        <v>15</v>
      </c>
      <c r="B11" s="10" t="s">
        <v>16</v>
      </c>
      <c r="C11" s="11">
        <f t="shared" si="1"/>
        <v>565.24</v>
      </c>
      <c r="D11" s="97">
        <f t="shared" si="2"/>
        <v>452.19200000000001</v>
      </c>
      <c r="E11" s="1" t="s">
        <v>95</v>
      </c>
      <c r="F11" s="87">
        <v>0.11</v>
      </c>
      <c r="G11" s="102"/>
      <c r="H11" s="87">
        <f>SUM(H12:H15)</f>
        <v>565.24</v>
      </c>
      <c r="I11" s="86"/>
      <c r="J11" t="s">
        <v>122</v>
      </c>
      <c r="L11">
        <f>K8*L9</f>
        <v>17133.074099999998</v>
      </c>
      <c r="V11" s="125">
        <f>SUM(V12:V17)</f>
        <v>21749</v>
      </c>
      <c r="X11" s="113">
        <f t="shared" si="0"/>
        <v>27186.25</v>
      </c>
    </row>
    <row r="12" spans="1:24" ht="15" customHeight="1" x14ac:dyDescent="0.25">
      <c r="A12" s="13" t="s">
        <v>17</v>
      </c>
      <c r="B12" s="14" t="s">
        <v>18</v>
      </c>
      <c r="C12" s="103">
        <f t="shared" si="1"/>
        <v>559.24</v>
      </c>
      <c r="D12" s="97">
        <f t="shared" si="2"/>
        <v>447.39200000000005</v>
      </c>
      <c r="E12" s="17"/>
      <c r="F12" s="87"/>
      <c r="G12" s="101"/>
      <c r="H12" s="87">
        <v>559.24</v>
      </c>
      <c r="I12" s="86"/>
      <c r="V12" s="124">
        <v>4649</v>
      </c>
      <c r="X12" s="113">
        <f t="shared" si="0"/>
        <v>5811.25</v>
      </c>
    </row>
    <row r="13" spans="1:24" ht="15" customHeight="1" x14ac:dyDescent="0.25">
      <c r="A13" s="13" t="s">
        <v>19</v>
      </c>
      <c r="B13" s="14" t="s">
        <v>20</v>
      </c>
      <c r="C13" s="103">
        <f t="shared" si="1"/>
        <v>0</v>
      </c>
      <c r="D13" s="97">
        <f t="shared" si="2"/>
        <v>0</v>
      </c>
      <c r="E13" s="17"/>
      <c r="F13" s="87"/>
      <c r="G13" s="101"/>
      <c r="H13" s="87">
        <v>0</v>
      </c>
      <c r="I13" s="86"/>
      <c r="J13" t="s">
        <v>123</v>
      </c>
      <c r="K13" s="41">
        <v>143.333</v>
      </c>
      <c r="V13" s="124">
        <v>0</v>
      </c>
      <c r="X13" s="113">
        <f t="shared" si="0"/>
        <v>0</v>
      </c>
    </row>
    <row r="14" spans="1:24" ht="15" customHeight="1" x14ac:dyDescent="0.25">
      <c r="A14" s="13" t="s">
        <v>21</v>
      </c>
      <c r="B14" s="14" t="s">
        <v>22</v>
      </c>
      <c r="C14" s="103">
        <f t="shared" si="1"/>
        <v>6</v>
      </c>
      <c r="D14" s="97">
        <f t="shared" si="2"/>
        <v>4.8000000000000007</v>
      </c>
      <c r="E14" s="17"/>
      <c r="F14" s="87"/>
      <c r="G14" s="101"/>
      <c r="H14" s="87">
        <v>6</v>
      </c>
      <c r="I14" s="86"/>
      <c r="V14" s="124">
        <v>8550</v>
      </c>
      <c r="X14" s="113">
        <f t="shared" si="0"/>
        <v>10687.5</v>
      </c>
    </row>
    <row r="15" spans="1:24" ht="15" customHeight="1" x14ac:dyDescent="0.25">
      <c r="A15" s="13" t="s">
        <v>23</v>
      </c>
      <c r="B15" s="14" t="s">
        <v>24</v>
      </c>
      <c r="C15" s="103">
        <f t="shared" si="1"/>
        <v>0</v>
      </c>
      <c r="D15" s="97">
        <f t="shared" si="2"/>
        <v>0</v>
      </c>
      <c r="E15" s="17"/>
      <c r="F15" s="87"/>
      <c r="G15" s="101"/>
      <c r="H15" s="87">
        <v>0</v>
      </c>
      <c r="I15" s="86"/>
      <c r="J15" t="s">
        <v>124</v>
      </c>
      <c r="V15" s="124">
        <v>0</v>
      </c>
      <c r="X15" s="113">
        <f t="shared" si="0"/>
        <v>0</v>
      </c>
    </row>
    <row r="16" spans="1:24" ht="15" customHeight="1" x14ac:dyDescent="0.25">
      <c r="A16" s="9" t="s">
        <v>25</v>
      </c>
      <c r="B16" s="10" t="s">
        <v>26</v>
      </c>
      <c r="C16" s="11">
        <f t="shared" si="1"/>
        <v>2898.0549999999998</v>
      </c>
      <c r="D16" s="97">
        <f t="shared" si="2"/>
        <v>2318.444</v>
      </c>
      <c r="E16" s="1" t="s">
        <v>95</v>
      </c>
      <c r="F16" s="87">
        <v>0.45</v>
      </c>
      <c r="G16" s="102"/>
      <c r="H16" s="87">
        <f>SUM(H17:H22)</f>
        <v>2898.0549999999998</v>
      </c>
      <c r="I16" s="86"/>
      <c r="V16" s="124">
        <v>0</v>
      </c>
      <c r="X16" s="113">
        <f t="shared" si="0"/>
        <v>0</v>
      </c>
    </row>
    <row r="17" spans="1:24" ht="15" customHeight="1" x14ac:dyDescent="0.25">
      <c r="A17" s="13" t="s">
        <v>27</v>
      </c>
      <c r="B17" s="14" t="s">
        <v>28</v>
      </c>
      <c r="C17" s="103">
        <f t="shared" si="1"/>
        <v>2004.0549999999998</v>
      </c>
      <c r="D17" s="97">
        <f t="shared" si="2"/>
        <v>1603.2439999999999</v>
      </c>
      <c r="E17" s="17"/>
      <c r="F17" s="87"/>
      <c r="G17" s="101"/>
      <c r="H17" s="87">
        <v>2004.0549999999998</v>
      </c>
      <c r="I17" s="86"/>
      <c r="V17" s="124">
        <v>8550</v>
      </c>
      <c r="X17" s="113">
        <f t="shared" si="0"/>
        <v>10687.5</v>
      </c>
    </row>
    <row r="18" spans="1:24" ht="15" customHeight="1" x14ac:dyDescent="0.25">
      <c r="A18" s="13" t="s">
        <v>29</v>
      </c>
      <c r="B18" s="14" t="s">
        <v>30</v>
      </c>
      <c r="C18" s="103">
        <f t="shared" si="1"/>
        <v>0</v>
      </c>
      <c r="D18" s="97">
        <f t="shared" si="2"/>
        <v>0</v>
      </c>
      <c r="E18" s="17"/>
      <c r="F18" s="87"/>
      <c r="G18" s="101"/>
      <c r="H18" s="87">
        <v>0</v>
      </c>
      <c r="I18" s="86"/>
      <c r="V18" s="126">
        <f>SUM(V19:V27)</f>
        <v>56600</v>
      </c>
      <c r="X18" s="113">
        <f t="shared" si="0"/>
        <v>70750</v>
      </c>
    </row>
    <row r="19" spans="1:24" ht="15" customHeight="1" x14ac:dyDescent="0.25">
      <c r="A19" s="13" t="s">
        <v>31</v>
      </c>
      <c r="B19" s="14" t="s">
        <v>32</v>
      </c>
      <c r="C19" s="103">
        <f t="shared" si="1"/>
        <v>894</v>
      </c>
      <c r="D19" s="97">
        <f t="shared" si="2"/>
        <v>715.2</v>
      </c>
      <c r="E19" s="17"/>
      <c r="F19" s="87"/>
      <c r="G19" s="101"/>
      <c r="H19" s="87">
        <v>894</v>
      </c>
      <c r="I19" s="86"/>
      <c r="V19" s="124">
        <v>0</v>
      </c>
      <c r="X19" s="113">
        <f t="shared" si="0"/>
        <v>0</v>
      </c>
    </row>
    <row r="20" spans="1:24" ht="15" customHeight="1" x14ac:dyDescent="0.25">
      <c r="A20" s="13" t="s">
        <v>33</v>
      </c>
      <c r="B20" s="14" t="s">
        <v>34</v>
      </c>
      <c r="C20" s="103">
        <f t="shared" si="1"/>
        <v>0</v>
      </c>
      <c r="D20" s="97">
        <f t="shared" si="2"/>
        <v>0</v>
      </c>
      <c r="E20" s="17"/>
      <c r="F20" s="87"/>
      <c r="G20" s="101"/>
      <c r="H20" s="87">
        <v>0</v>
      </c>
      <c r="I20" s="86"/>
      <c r="V20" s="124">
        <v>10500</v>
      </c>
      <c r="X20" s="113">
        <f t="shared" si="0"/>
        <v>13125</v>
      </c>
    </row>
    <row r="21" spans="1:24" ht="15" customHeight="1" x14ac:dyDescent="0.25">
      <c r="A21" s="13" t="s">
        <v>35</v>
      </c>
      <c r="B21" s="14" t="s">
        <v>36</v>
      </c>
      <c r="C21" s="103">
        <f t="shared" si="1"/>
        <v>0</v>
      </c>
      <c r="D21" s="97">
        <f t="shared" si="2"/>
        <v>0</v>
      </c>
      <c r="E21" s="17"/>
      <c r="F21" s="87"/>
      <c r="G21" s="101"/>
      <c r="H21" s="87">
        <v>0</v>
      </c>
      <c r="I21" s="86"/>
      <c r="V21" s="124">
        <v>5250</v>
      </c>
      <c r="X21" s="113">
        <f t="shared" si="0"/>
        <v>6562.5</v>
      </c>
    </row>
    <row r="22" spans="1:24" ht="15" customHeight="1" x14ac:dyDescent="0.25">
      <c r="A22" s="13" t="s">
        <v>37</v>
      </c>
      <c r="B22" s="14" t="s">
        <v>38</v>
      </c>
      <c r="C22" s="103">
        <f t="shared" si="1"/>
        <v>0</v>
      </c>
      <c r="D22" s="97">
        <f t="shared" si="2"/>
        <v>0</v>
      </c>
      <c r="E22" s="17"/>
      <c r="F22" s="87"/>
      <c r="G22" s="101"/>
      <c r="H22" s="87">
        <v>0</v>
      </c>
      <c r="I22" s="86"/>
      <c r="O22" t="s">
        <v>125</v>
      </c>
      <c r="V22" s="124">
        <v>5250</v>
      </c>
      <c r="X22" s="113">
        <f t="shared" si="0"/>
        <v>6562.5</v>
      </c>
    </row>
    <row r="23" spans="1:24" ht="15" customHeight="1" x14ac:dyDescent="0.25">
      <c r="A23" s="9" t="s">
        <v>39</v>
      </c>
      <c r="B23" s="10" t="s">
        <v>40</v>
      </c>
      <c r="C23" s="11">
        <f t="shared" si="1"/>
        <v>1169.1299999999999</v>
      </c>
      <c r="D23" s="97">
        <f t="shared" si="2"/>
        <v>935.30399999999997</v>
      </c>
      <c r="E23" s="1" t="s">
        <v>95</v>
      </c>
      <c r="F23" s="87">
        <v>0.22</v>
      </c>
      <c r="G23" s="102"/>
      <c r="H23" s="87">
        <f>SUM(H24:H32)</f>
        <v>1169.1299999999999</v>
      </c>
      <c r="I23" s="86"/>
      <c r="O23" t="s">
        <v>8</v>
      </c>
      <c r="P23" s="82">
        <f>SUM(C7)</f>
        <v>7696.99</v>
      </c>
      <c r="Q23" s="82" t="e">
        <f>SUM(#REF!)</f>
        <v>#REF!</v>
      </c>
      <c r="V23" s="124">
        <v>0</v>
      </c>
      <c r="X23" s="113">
        <f t="shared" si="0"/>
        <v>0</v>
      </c>
    </row>
    <row r="24" spans="1:24" ht="15" customHeight="1" x14ac:dyDescent="0.25">
      <c r="A24" s="21" t="s">
        <v>41</v>
      </c>
      <c r="B24" s="14" t="s">
        <v>42</v>
      </c>
      <c r="C24" s="103">
        <f t="shared" si="1"/>
        <v>101</v>
      </c>
      <c r="D24" s="97">
        <f t="shared" si="2"/>
        <v>80.800000000000011</v>
      </c>
      <c r="E24" s="17"/>
      <c r="F24" s="87"/>
      <c r="G24" s="101"/>
      <c r="H24" s="87">
        <v>101</v>
      </c>
      <c r="I24" s="86"/>
      <c r="O24" t="s">
        <v>16</v>
      </c>
      <c r="P24" s="82">
        <f>SUM(C11)</f>
        <v>565.24</v>
      </c>
      <c r="Q24" s="82" t="e">
        <f>SUM(#REF!)</f>
        <v>#REF!</v>
      </c>
      <c r="V24" s="124">
        <v>0</v>
      </c>
      <c r="X24" s="113">
        <f t="shared" si="0"/>
        <v>0</v>
      </c>
    </row>
    <row r="25" spans="1:24" ht="15" customHeight="1" x14ac:dyDescent="0.25">
      <c r="A25" s="21" t="s">
        <v>43</v>
      </c>
      <c r="B25" s="14" t="s">
        <v>44</v>
      </c>
      <c r="C25" s="103">
        <f t="shared" si="1"/>
        <v>0</v>
      </c>
      <c r="D25" s="97">
        <f t="shared" si="2"/>
        <v>0</v>
      </c>
      <c r="E25" s="17"/>
      <c r="F25" s="87"/>
      <c r="G25" s="101"/>
      <c r="H25" s="87">
        <v>0</v>
      </c>
      <c r="I25" s="86"/>
      <c r="O25" t="s">
        <v>26</v>
      </c>
      <c r="P25" s="82">
        <f>SUM(C16)</f>
        <v>2898.0549999999998</v>
      </c>
      <c r="Q25" s="82" t="e">
        <f>SUM(#REF!)</f>
        <v>#REF!</v>
      </c>
      <c r="V25" s="124">
        <v>17000</v>
      </c>
      <c r="X25" s="113">
        <f t="shared" si="0"/>
        <v>21250</v>
      </c>
    </row>
    <row r="26" spans="1:24" ht="15" customHeight="1" x14ac:dyDescent="0.25">
      <c r="A26" s="43" t="s">
        <v>45</v>
      </c>
      <c r="B26" s="44" t="s">
        <v>46</v>
      </c>
      <c r="C26" s="103">
        <f t="shared" si="1"/>
        <v>0</v>
      </c>
      <c r="D26" s="97">
        <f t="shared" si="2"/>
        <v>0</v>
      </c>
      <c r="E26" s="17"/>
      <c r="F26" s="87"/>
      <c r="G26" s="101"/>
      <c r="H26" s="87">
        <v>0</v>
      </c>
      <c r="I26" s="86"/>
      <c r="O26" t="s">
        <v>40</v>
      </c>
      <c r="P26" s="82">
        <f>SUM(C23)</f>
        <v>1169.1299999999999</v>
      </c>
      <c r="Q26" s="82" t="e">
        <f>SUM(#REF!)</f>
        <v>#REF!</v>
      </c>
      <c r="V26" s="124">
        <v>0</v>
      </c>
      <c r="X26" s="113">
        <f t="shared" si="0"/>
        <v>0</v>
      </c>
    </row>
    <row r="27" spans="1:24" ht="15" customHeight="1" x14ac:dyDescent="0.25">
      <c r="A27" s="21" t="s">
        <v>47</v>
      </c>
      <c r="B27" s="14" t="s">
        <v>48</v>
      </c>
      <c r="C27" s="103">
        <f t="shared" si="1"/>
        <v>0</v>
      </c>
      <c r="D27" s="97">
        <f t="shared" si="2"/>
        <v>0</v>
      </c>
      <c r="E27" s="17"/>
      <c r="F27" s="87"/>
      <c r="G27" s="101"/>
      <c r="H27" s="87">
        <v>0</v>
      </c>
      <c r="I27" s="86"/>
      <c r="O27" t="s">
        <v>60</v>
      </c>
      <c r="P27" s="82">
        <f>SUM(C33)</f>
        <v>1627</v>
      </c>
      <c r="Q27" s="82" t="e">
        <f>SUM(#REF!)</f>
        <v>#REF!</v>
      </c>
      <c r="V27" s="124">
        <v>18600</v>
      </c>
      <c r="X27" s="113">
        <f t="shared" si="0"/>
        <v>23250</v>
      </c>
    </row>
    <row r="28" spans="1:24" ht="15" customHeight="1" x14ac:dyDescent="0.25">
      <c r="A28" s="21" t="s">
        <v>49</v>
      </c>
      <c r="B28" s="14" t="s">
        <v>50</v>
      </c>
      <c r="C28" s="103">
        <f t="shared" si="1"/>
        <v>39.5</v>
      </c>
      <c r="D28" s="97">
        <f t="shared" si="2"/>
        <v>31.6</v>
      </c>
      <c r="E28" s="17"/>
      <c r="F28" s="87"/>
      <c r="G28" s="101"/>
      <c r="H28" s="87">
        <v>39.5</v>
      </c>
      <c r="I28" s="86"/>
      <c r="O28" t="s">
        <v>68</v>
      </c>
      <c r="P28" s="82">
        <f>SUM(C37)</f>
        <v>620.72499999999991</v>
      </c>
      <c r="Q28" s="82" t="e">
        <f>SUM(#REF!)</f>
        <v>#REF!</v>
      </c>
      <c r="V28" s="126">
        <f>SUM(V29:V31)</f>
        <v>4125</v>
      </c>
      <c r="X28" s="113">
        <f t="shared" si="0"/>
        <v>5156.25</v>
      </c>
    </row>
    <row r="29" spans="1:24" ht="15" customHeight="1" x14ac:dyDescent="0.25">
      <c r="A29" s="21" t="s">
        <v>51</v>
      </c>
      <c r="B29" s="14" t="s">
        <v>52</v>
      </c>
      <c r="C29" s="103">
        <f t="shared" si="1"/>
        <v>230.55500000000001</v>
      </c>
      <c r="D29" s="97">
        <f t="shared" si="2"/>
        <v>184.44400000000002</v>
      </c>
      <c r="E29" s="17"/>
      <c r="F29" s="87"/>
      <c r="G29" s="101"/>
      <c r="H29" s="87">
        <v>230.55500000000001</v>
      </c>
      <c r="I29" s="86"/>
      <c r="O29" t="s">
        <v>76</v>
      </c>
      <c r="P29" s="82">
        <f>SUM(C41)</f>
        <v>283.76</v>
      </c>
      <c r="Q29" s="82" t="e">
        <f>SUM(#REF!)</f>
        <v>#REF!</v>
      </c>
      <c r="V29" s="124">
        <v>1375</v>
      </c>
      <c r="X29" s="113">
        <f t="shared" si="0"/>
        <v>1718.75</v>
      </c>
    </row>
    <row r="30" spans="1:24" ht="15" customHeight="1" x14ac:dyDescent="0.25">
      <c r="A30" s="21" t="s">
        <v>53</v>
      </c>
      <c r="B30" s="14" t="s">
        <v>54</v>
      </c>
      <c r="C30" s="103">
        <f t="shared" si="1"/>
        <v>798.07499999999993</v>
      </c>
      <c r="D30" s="97">
        <f t="shared" si="2"/>
        <v>638.46</v>
      </c>
      <c r="E30" s="17"/>
      <c r="F30" s="87"/>
      <c r="G30" s="101"/>
      <c r="H30" s="87">
        <v>798.07499999999993</v>
      </c>
      <c r="I30" s="86"/>
      <c r="V30" s="124">
        <v>1375</v>
      </c>
      <c r="X30" s="113">
        <f t="shared" si="0"/>
        <v>1718.75</v>
      </c>
    </row>
    <row r="31" spans="1:24" ht="15" customHeight="1" x14ac:dyDescent="0.25">
      <c r="A31" s="13" t="s">
        <v>55</v>
      </c>
      <c r="B31" s="14" t="s">
        <v>56</v>
      </c>
      <c r="C31" s="103">
        <f t="shared" si="1"/>
        <v>0</v>
      </c>
      <c r="D31" s="97">
        <f t="shared" si="2"/>
        <v>0</v>
      </c>
      <c r="E31" s="17"/>
      <c r="F31" s="87"/>
      <c r="G31" s="101"/>
      <c r="H31" s="87">
        <v>0</v>
      </c>
      <c r="I31" s="86"/>
      <c r="V31" s="124">
        <v>1375</v>
      </c>
      <c r="X31" s="113">
        <f t="shared" si="0"/>
        <v>1718.75</v>
      </c>
    </row>
    <row r="32" spans="1:24" ht="15" customHeight="1" x14ac:dyDescent="0.25">
      <c r="A32" s="13" t="s">
        <v>57</v>
      </c>
      <c r="B32" s="14" t="s">
        <v>58</v>
      </c>
      <c r="C32" s="103">
        <f t="shared" si="1"/>
        <v>0</v>
      </c>
      <c r="D32" s="97">
        <f t="shared" si="2"/>
        <v>0</v>
      </c>
      <c r="E32" s="17"/>
      <c r="F32" s="87"/>
      <c r="G32" s="101"/>
      <c r="H32" s="87">
        <v>0</v>
      </c>
      <c r="I32" s="86"/>
      <c r="V32" s="126">
        <f>SUM(V33:V35)</f>
        <v>11000</v>
      </c>
      <c r="X32" s="113">
        <f t="shared" si="0"/>
        <v>13750</v>
      </c>
    </row>
    <row r="33" spans="1:24" ht="15" customHeight="1" x14ac:dyDescent="0.25">
      <c r="A33" s="9" t="s">
        <v>59</v>
      </c>
      <c r="B33" s="10" t="s">
        <v>60</v>
      </c>
      <c r="C33" s="11">
        <f t="shared" si="1"/>
        <v>1627</v>
      </c>
      <c r="D33" s="97">
        <f t="shared" si="2"/>
        <v>1301.6000000000001</v>
      </c>
      <c r="E33" s="1" t="s">
        <v>95</v>
      </c>
      <c r="F33" s="87">
        <v>0.82</v>
      </c>
      <c r="G33" s="102"/>
      <c r="H33" s="87">
        <f>SUM(H34:H36)</f>
        <v>1627</v>
      </c>
      <c r="I33" s="86"/>
      <c r="V33" s="124">
        <v>2750</v>
      </c>
      <c r="X33" s="113">
        <f t="shared" si="0"/>
        <v>3437.5</v>
      </c>
    </row>
    <row r="34" spans="1:24" ht="15" customHeight="1" x14ac:dyDescent="0.25">
      <c r="A34" s="13" t="s">
        <v>61</v>
      </c>
      <c r="B34" s="14" t="s">
        <v>62</v>
      </c>
      <c r="C34" s="103">
        <f t="shared" si="1"/>
        <v>1375</v>
      </c>
      <c r="D34" s="97">
        <f t="shared" si="2"/>
        <v>1100</v>
      </c>
      <c r="E34" s="17"/>
      <c r="F34" s="87"/>
      <c r="G34" s="101"/>
      <c r="H34" s="87">
        <v>1375</v>
      </c>
      <c r="I34" s="86"/>
      <c r="V34" s="124">
        <v>5500</v>
      </c>
      <c r="X34" s="113">
        <f t="shared" si="0"/>
        <v>6875</v>
      </c>
    </row>
    <row r="35" spans="1:24" ht="15" customHeight="1" x14ac:dyDescent="0.25">
      <c r="A35" s="13" t="s">
        <v>63</v>
      </c>
      <c r="B35" s="14" t="s">
        <v>64</v>
      </c>
      <c r="C35" s="103">
        <f t="shared" si="1"/>
        <v>25</v>
      </c>
      <c r="D35" s="97">
        <f t="shared" si="2"/>
        <v>20</v>
      </c>
      <c r="E35" s="17"/>
      <c r="F35" s="87"/>
      <c r="G35" s="101"/>
      <c r="H35" s="87">
        <v>25</v>
      </c>
      <c r="I35" s="86"/>
      <c r="V35" s="124">
        <v>2750</v>
      </c>
      <c r="X35" s="113">
        <f t="shared" si="0"/>
        <v>3437.5</v>
      </c>
    </row>
    <row r="36" spans="1:24" ht="15" customHeight="1" x14ac:dyDescent="0.25">
      <c r="A36" s="13" t="s">
        <v>65</v>
      </c>
      <c r="B36" s="14" t="s">
        <v>66</v>
      </c>
      <c r="C36" s="103">
        <f t="shared" si="1"/>
        <v>227</v>
      </c>
      <c r="D36" s="97">
        <f t="shared" si="2"/>
        <v>181.60000000000002</v>
      </c>
      <c r="E36" s="17"/>
      <c r="F36" s="87"/>
      <c r="G36" s="101"/>
      <c r="H36" s="87">
        <v>227</v>
      </c>
      <c r="I36" s="86"/>
      <c r="V36" s="126">
        <f>SUM(V37:V39)</f>
        <v>0</v>
      </c>
      <c r="X36" s="113">
        <f t="shared" si="0"/>
        <v>0</v>
      </c>
    </row>
    <row r="37" spans="1:24" ht="15" customHeight="1" x14ac:dyDescent="0.25">
      <c r="A37" s="9" t="s">
        <v>67</v>
      </c>
      <c r="B37" s="10" t="s">
        <v>68</v>
      </c>
      <c r="C37" s="11">
        <f t="shared" si="1"/>
        <v>620.72499999999991</v>
      </c>
      <c r="D37" s="97">
        <f t="shared" si="2"/>
        <v>496.57999999999993</v>
      </c>
      <c r="E37" s="1" t="s">
        <v>95</v>
      </c>
      <c r="F37" s="87">
        <v>0.22</v>
      </c>
      <c r="G37" s="102"/>
      <c r="H37" s="87">
        <f>SUM(H38:H40)</f>
        <v>620.72499999999991</v>
      </c>
      <c r="I37" s="86"/>
      <c r="V37" s="124">
        <v>0</v>
      </c>
      <c r="X37" s="113">
        <f t="shared" si="0"/>
        <v>0</v>
      </c>
    </row>
    <row r="38" spans="1:24" ht="15" customHeight="1" x14ac:dyDescent="0.25">
      <c r="A38" s="13" t="s">
        <v>69</v>
      </c>
      <c r="B38" s="14" t="s">
        <v>70</v>
      </c>
      <c r="C38" s="103">
        <f t="shared" si="1"/>
        <v>514.31499999999994</v>
      </c>
      <c r="D38" s="97">
        <f t="shared" si="2"/>
        <v>411.452</v>
      </c>
      <c r="E38" s="17"/>
      <c r="F38" s="87"/>
      <c r="G38" s="101"/>
      <c r="H38" s="87">
        <v>514.31499999999994</v>
      </c>
      <c r="I38" s="86"/>
      <c r="V38" s="124">
        <v>0</v>
      </c>
      <c r="X38" s="113">
        <f t="shared" si="0"/>
        <v>0</v>
      </c>
    </row>
    <row r="39" spans="1:24" ht="15" customHeight="1" thickBot="1" x14ac:dyDescent="0.3">
      <c r="A39" s="13" t="s">
        <v>71</v>
      </c>
      <c r="B39" s="14" t="s">
        <v>72</v>
      </c>
      <c r="C39" s="103">
        <f t="shared" si="1"/>
        <v>0</v>
      </c>
      <c r="D39" s="97">
        <f t="shared" si="2"/>
        <v>0</v>
      </c>
      <c r="E39" s="17"/>
      <c r="F39" s="87"/>
      <c r="G39" s="101"/>
      <c r="H39" s="87">
        <v>0</v>
      </c>
      <c r="I39" s="86"/>
      <c r="V39" s="124">
        <v>0</v>
      </c>
      <c r="X39" s="113">
        <f t="shared" si="0"/>
        <v>0</v>
      </c>
    </row>
    <row r="40" spans="1:24" ht="15" customHeight="1" thickBot="1" x14ac:dyDescent="0.3">
      <c r="A40" s="13" t="s">
        <v>73</v>
      </c>
      <c r="B40" s="14" t="s">
        <v>74</v>
      </c>
      <c r="C40" s="103">
        <f t="shared" si="1"/>
        <v>106.41</v>
      </c>
      <c r="D40" s="97">
        <f t="shared" si="2"/>
        <v>85.128</v>
      </c>
      <c r="E40" s="17"/>
      <c r="F40" s="87"/>
      <c r="G40" s="101"/>
      <c r="H40" s="87">
        <v>106.41</v>
      </c>
      <c r="I40" s="86"/>
      <c r="V40" s="127">
        <f>SUM(V2+V6+V11+V18+V28+V32+V36)</f>
        <v>104474</v>
      </c>
      <c r="X40" s="113">
        <f t="shared" si="0"/>
        <v>130592.5</v>
      </c>
    </row>
    <row r="41" spans="1:24" ht="15" customHeight="1" x14ac:dyDescent="0.25">
      <c r="A41" s="9" t="s">
        <v>75</v>
      </c>
      <c r="B41" s="10" t="s">
        <v>76</v>
      </c>
      <c r="C41" s="11">
        <f t="shared" si="1"/>
        <v>283.76</v>
      </c>
      <c r="D41" s="97">
        <f t="shared" si="2"/>
        <v>227.00800000000001</v>
      </c>
      <c r="E41" s="1" t="s">
        <v>95</v>
      </c>
      <c r="F41" s="87">
        <v>0.05</v>
      </c>
      <c r="G41" s="102"/>
      <c r="H41" s="87">
        <f>SUM(H42:H44)</f>
        <v>283.76</v>
      </c>
      <c r="I41" s="86"/>
    </row>
    <row r="42" spans="1:24" ht="15" customHeight="1" x14ac:dyDescent="0.25">
      <c r="A42" s="13" t="s">
        <v>77</v>
      </c>
      <c r="B42" s="14" t="s">
        <v>78</v>
      </c>
      <c r="C42" s="103">
        <f t="shared" si="1"/>
        <v>0</v>
      </c>
      <c r="D42" s="97">
        <f t="shared" si="2"/>
        <v>0</v>
      </c>
      <c r="E42" s="17"/>
      <c r="F42" s="87"/>
      <c r="G42" s="101"/>
      <c r="H42" s="87">
        <v>0</v>
      </c>
      <c r="I42" s="86"/>
    </row>
    <row r="43" spans="1:24" ht="15" customHeight="1" x14ac:dyDescent="0.25">
      <c r="A43" s="13" t="s">
        <v>79</v>
      </c>
      <c r="B43" s="14" t="s">
        <v>80</v>
      </c>
      <c r="C43" s="103">
        <f t="shared" si="1"/>
        <v>0</v>
      </c>
      <c r="D43" s="97">
        <f t="shared" si="2"/>
        <v>0</v>
      </c>
      <c r="E43" s="17"/>
      <c r="F43" s="88"/>
      <c r="G43" s="101"/>
      <c r="H43" s="88">
        <v>0</v>
      </c>
      <c r="I43" s="86"/>
    </row>
    <row r="44" spans="1:24" ht="15" customHeight="1" x14ac:dyDescent="0.25">
      <c r="A44" s="36" t="s">
        <v>81</v>
      </c>
      <c r="B44" s="37" t="s">
        <v>82</v>
      </c>
      <c r="C44" s="103">
        <f t="shared" si="1"/>
        <v>283.76</v>
      </c>
      <c r="D44" s="97">
        <f t="shared" si="2"/>
        <v>227.00800000000001</v>
      </c>
      <c r="E44" s="17"/>
      <c r="F44" s="88"/>
      <c r="G44" s="101"/>
      <c r="H44" s="88">
        <v>283.76</v>
      </c>
      <c r="I44" s="86"/>
    </row>
    <row r="45" spans="1:24" x14ac:dyDescent="0.25">
      <c r="A45" s="39" t="s">
        <v>83</v>
      </c>
      <c r="B45" s="38" t="s">
        <v>84</v>
      </c>
      <c r="C45" s="11">
        <f t="shared" si="1"/>
        <v>14743.662378999998</v>
      </c>
      <c r="D45" s="97">
        <f t="shared" si="2"/>
        <v>11794.929903199998</v>
      </c>
      <c r="E45" s="4" t="s">
        <v>95</v>
      </c>
      <c r="F45" s="88">
        <f>SUM(F7:F44)</f>
        <v>3.37</v>
      </c>
      <c r="G45" s="102"/>
      <c r="H45" s="88">
        <v>14743.662378999998</v>
      </c>
      <c r="I45" s="86"/>
    </row>
    <row r="53" spans="1:1" x14ac:dyDescent="0.25">
      <c r="A53" t="s">
        <v>84</v>
      </c>
    </row>
  </sheetData>
  <phoneticPr fontId="1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C227-6414-4E85-A87F-3B6DE4AF14CB}">
  <dimension ref="A1:R52"/>
  <sheetViews>
    <sheetView topLeftCell="A15" workbookViewId="0">
      <selection activeCell="C6" sqref="C6"/>
    </sheetView>
  </sheetViews>
  <sheetFormatPr baseColWidth="10" defaultColWidth="9.140625" defaultRowHeight="15" x14ac:dyDescent="0.25"/>
  <cols>
    <col min="1" max="1" width="52.140625" customWidth="1"/>
    <col min="2" max="2" width="6" style="6" customWidth="1"/>
    <col min="3" max="3" width="14.140625" style="24" customWidth="1"/>
    <col min="4" max="4" width="4" style="24" customWidth="1"/>
    <col min="5" max="5" width="19.42578125" style="109" customWidth="1"/>
    <col min="6" max="6" width="14.28515625" style="4" customWidth="1"/>
    <col min="7" max="7" width="11" style="83" customWidth="1"/>
    <col min="8" max="8" width="12.85546875" style="83" customWidth="1"/>
    <col min="9" max="9" width="9.140625" style="83"/>
    <col min="10" max="10" width="10.28515625" style="83" bestFit="1" customWidth="1"/>
    <col min="11" max="11" width="13.7109375" customWidth="1"/>
    <col min="12" max="12" width="9.140625" style="41"/>
  </cols>
  <sheetData>
    <row r="1" spans="1:13" x14ac:dyDescent="0.25">
      <c r="A1" s="2"/>
      <c r="B1" s="3"/>
      <c r="C1" s="141" t="s">
        <v>0</v>
      </c>
      <c r="D1" s="141"/>
      <c r="E1" s="110"/>
    </row>
    <row r="2" spans="1:13" ht="18.75" x14ac:dyDescent="0.3">
      <c r="A2" s="2"/>
      <c r="B2" s="3"/>
      <c r="C2" s="141" t="s">
        <v>1</v>
      </c>
      <c r="D2" s="141"/>
      <c r="E2" s="110" t="s">
        <v>131</v>
      </c>
      <c r="G2" s="90" t="s">
        <v>90</v>
      </c>
      <c r="J2" s="84"/>
      <c r="K2" t="s">
        <v>126</v>
      </c>
    </row>
    <row r="3" spans="1:13" x14ac:dyDescent="0.25">
      <c r="A3" s="2"/>
      <c r="B3" s="3"/>
      <c r="C3" s="141" t="s">
        <v>88</v>
      </c>
      <c r="D3" s="141"/>
      <c r="E3" s="110"/>
      <c r="K3" t="s">
        <v>127</v>
      </c>
    </row>
    <row r="4" spans="1:13" x14ac:dyDescent="0.25">
      <c r="A4" s="25" t="s">
        <v>2</v>
      </c>
      <c r="B4" s="3" t="s">
        <v>3</v>
      </c>
      <c r="C4" s="141" t="s">
        <v>92</v>
      </c>
      <c r="D4" s="141"/>
      <c r="E4" s="110"/>
      <c r="F4" s="1"/>
      <c r="G4" s="85"/>
      <c r="I4" s="85"/>
      <c r="K4" t="s">
        <v>128</v>
      </c>
    </row>
    <row r="5" spans="1:13" x14ac:dyDescent="0.25">
      <c r="A5" s="2"/>
      <c r="B5" s="3" t="s">
        <v>4</v>
      </c>
      <c r="C5" s="7" t="s">
        <v>84</v>
      </c>
      <c r="D5" s="8"/>
      <c r="E5" s="104"/>
      <c r="F5" s="1"/>
      <c r="H5" s="86"/>
      <c r="J5" s="86"/>
    </row>
    <row r="6" spans="1:13" ht="15" customHeight="1" x14ac:dyDescent="0.25">
      <c r="A6" s="9" t="s">
        <v>7</v>
      </c>
      <c r="B6" s="10" t="s">
        <v>8</v>
      </c>
      <c r="C6" s="105">
        <v>4376.1299999999992</v>
      </c>
      <c r="D6" s="12"/>
      <c r="E6" s="97">
        <f>C6*0.8</f>
        <v>3500.9039999999995</v>
      </c>
      <c r="F6" s="1" t="s">
        <v>95</v>
      </c>
      <c r="G6" s="87">
        <v>1</v>
      </c>
      <c r="H6" s="86">
        <f>G6*L12*L7</f>
        <v>3505.9251800000002</v>
      </c>
      <c r="I6" s="87"/>
      <c r="J6" s="86"/>
      <c r="K6" t="s">
        <v>95</v>
      </c>
      <c r="L6" s="41">
        <v>3.37</v>
      </c>
    </row>
    <row r="7" spans="1:13" ht="15" customHeight="1" x14ac:dyDescent="0.25">
      <c r="A7" s="13" t="s">
        <v>9</v>
      </c>
      <c r="B7" s="14" t="s">
        <v>10</v>
      </c>
      <c r="C7" s="106">
        <v>1596.86</v>
      </c>
      <c r="D7" s="16"/>
      <c r="E7" s="97">
        <f t="shared" ref="E7:E44" si="0">C7*0.8</f>
        <v>1277.4880000000001</v>
      </c>
      <c r="F7" s="17"/>
      <c r="G7" s="87"/>
      <c r="H7" s="86"/>
      <c r="I7" s="87"/>
      <c r="J7" s="86"/>
      <c r="K7" t="s">
        <v>120</v>
      </c>
      <c r="L7" s="41">
        <v>24.46</v>
      </c>
      <c r="M7" t="s">
        <v>129</v>
      </c>
    </row>
    <row r="8" spans="1:13" ht="15" customHeight="1" x14ac:dyDescent="0.25">
      <c r="A8" s="13" t="s">
        <v>11</v>
      </c>
      <c r="B8" s="14" t="s">
        <v>12</v>
      </c>
      <c r="C8" s="106">
        <v>1350</v>
      </c>
      <c r="D8" s="16"/>
      <c r="E8" s="97">
        <f t="shared" si="0"/>
        <v>1080</v>
      </c>
      <c r="F8" s="17"/>
      <c r="G8" s="87"/>
      <c r="H8" s="86"/>
      <c r="I8" s="87"/>
      <c r="J8" s="86"/>
      <c r="K8" t="s">
        <v>121</v>
      </c>
      <c r="M8">
        <v>1030.56</v>
      </c>
    </row>
    <row r="9" spans="1:13" ht="15" customHeight="1" x14ac:dyDescent="0.25">
      <c r="A9" s="13" t="s">
        <v>13</v>
      </c>
      <c r="B9" s="14" t="s">
        <v>14</v>
      </c>
      <c r="C9" s="106">
        <v>1429.27</v>
      </c>
      <c r="D9" s="16"/>
      <c r="E9" s="97">
        <f t="shared" si="0"/>
        <v>1143.4159999999999</v>
      </c>
      <c r="F9" s="17"/>
      <c r="G9" s="87"/>
      <c r="H9" s="86"/>
      <c r="I9" s="87"/>
      <c r="J9" s="86"/>
    </row>
    <row r="10" spans="1:13" ht="15" customHeight="1" x14ac:dyDescent="0.25">
      <c r="A10" s="9" t="s">
        <v>15</v>
      </c>
      <c r="B10" s="10" t="s">
        <v>16</v>
      </c>
      <c r="C10" s="107">
        <v>6573.6097125000006</v>
      </c>
      <c r="D10" s="19"/>
      <c r="E10" s="97">
        <f t="shared" si="0"/>
        <v>5258.8877700000012</v>
      </c>
      <c r="F10" s="1" t="s">
        <v>95</v>
      </c>
      <c r="G10" s="87">
        <v>1.5</v>
      </c>
      <c r="H10" s="86"/>
      <c r="I10" s="87"/>
      <c r="J10" s="86"/>
      <c r="K10" t="s">
        <v>122</v>
      </c>
      <c r="M10">
        <f>L7*M8</f>
        <v>25207.497599999999</v>
      </c>
    </row>
    <row r="11" spans="1:13" ht="15" customHeight="1" x14ac:dyDescent="0.25">
      <c r="A11" s="13" t="s">
        <v>17</v>
      </c>
      <c r="B11" s="14" t="s">
        <v>18</v>
      </c>
      <c r="C11" s="106">
        <v>0</v>
      </c>
      <c r="D11" s="16"/>
      <c r="E11" s="97">
        <f t="shared" si="0"/>
        <v>0</v>
      </c>
      <c r="F11" s="17"/>
      <c r="G11" s="87"/>
      <c r="H11" s="86"/>
      <c r="I11" s="87"/>
      <c r="J11" s="86"/>
    </row>
    <row r="12" spans="1:13" ht="15" customHeight="1" x14ac:dyDescent="0.25">
      <c r="A12" s="13" t="s">
        <v>19</v>
      </c>
      <c r="B12" s="14" t="s">
        <v>20</v>
      </c>
      <c r="C12" s="106">
        <v>0</v>
      </c>
      <c r="D12" s="16"/>
      <c r="E12" s="97">
        <f t="shared" si="0"/>
        <v>0</v>
      </c>
      <c r="F12" s="17"/>
      <c r="G12" s="87"/>
      <c r="H12" s="86"/>
      <c r="I12" s="87"/>
      <c r="J12" s="86"/>
      <c r="K12" t="s">
        <v>123</v>
      </c>
      <c r="L12" s="41">
        <v>143.333</v>
      </c>
    </row>
    <row r="13" spans="1:13" ht="15" customHeight="1" x14ac:dyDescent="0.25">
      <c r="A13" s="13" t="s">
        <v>21</v>
      </c>
      <c r="B13" s="14" t="s">
        <v>22</v>
      </c>
      <c r="C13" s="106">
        <v>6573.61</v>
      </c>
      <c r="D13" s="16"/>
      <c r="E13" s="97">
        <f t="shared" si="0"/>
        <v>5258.8879999999999</v>
      </c>
      <c r="F13" s="17"/>
      <c r="G13" s="87"/>
      <c r="H13" s="86"/>
      <c r="I13" s="87"/>
      <c r="J13" s="86"/>
    </row>
    <row r="14" spans="1:13" ht="15" customHeight="1" x14ac:dyDescent="0.25">
      <c r="A14" s="13" t="s">
        <v>23</v>
      </c>
      <c r="B14" s="14" t="s">
        <v>24</v>
      </c>
      <c r="C14" s="106">
        <v>0</v>
      </c>
      <c r="D14" s="16"/>
      <c r="E14" s="97">
        <f t="shared" si="0"/>
        <v>0</v>
      </c>
      <c r="F14" s="17"/>
      <c r="G14" s="87"/>
      <c r="H14" s="86"/>
      <c r="I14" s="87"/>
      <c r="J14" s="86"/>
    </row>
    <row r="15" spans="1:13" ht="15" customHeight="1" x14ac:dyDescent="0.25">
      <c r="A15" s="9" t="s">
        <v>25</v>
      </c>
      <c r="B15" s="10" t="s">
        <v>26</v>
      </c>
      <c r="C15" s="107">
        <v>19720.829137500001</v>
      </c>
      <c r="D15" s="19"/>
      <c r="E15" s="97">
        <f t="shared" si="0"/>
        <v>15776.663310000002</v>
      </c>
      <c r="F15" s="1" t="s">
        <v>95</v>
      </c>
      <c r="G15" s="87">
        <v>4.5</v>
      </c>
      <c r="H15" s="86"/>
      <c r="I15" s="87"/>
      <c r="J15" s="86"/>
    </row>
    <row r="16" spans="1:13" ht="15" customHeight="1" x14ac:dyDescent="0.25">
      <c r="A16" s="13" t="s">
        <v>27</v>
      </c>
      <c r="B16" s="14" t="s">
        <v>28</v>
      </c>
      <c r="C16" s="106">
        <v>19720.830000000002</v>
      </c>
      <c r="D16" s="16"/>
      <c r="E16" s="97">
        <f t="shared" si="0"/>
        <v>15776.664000000002</v>
      </c>
      <c r="F16" s="17"/>
      <c r="G16" s="87"/>
      <c r="H16" s="86"/>
      <c r="I16" s="87"/>
      <c r="J16" s="86"/>
    </row>
    <row r="17" spans="1:18" ht="15" customHeight="1" x14ac:dyDescent="0.25">
      <c r="A17" s="13" t="s">
        <v>29</v>
      </c>
      <c r="B17" s="14" t="s">
        <v>30</v>
      </c>
      <c r="C17" s="106">
        <v>0</v>
      </c>
      <c r="D17" s="16"/>
      <c r="E17" s="97">
        <f t="shared" si="0"/>
        <v>0</v>
      </c>
      <c r="F17" s="17"/>
      <c r="G17" s="87"/>
      <c r="H17" s="86"/>
      <c r="I17" s="87"/>
      <c r="J17" s="86"/>
    </row>
    <row r="18" spans="1:18" ht="15" customHeight="1" x14ac:dyDescent="0.25">
      <c r="A18" s="13" t="s">
        <v>31</v>
      </c>
      <c r="B18" s="14" t="s">
        <v>32</v>
      </c>
      <c r="C18" s="106">
        <v>0</v>
      </c>
      <c r="D18" s="16"/>
      <c r="E18" s="97">
        <f t="shared" si="0"/>
        <v>0</v>
      </c>
      <c r="F18" s="17"/>
      <c r="G18" s="87"/>
      <c r="H18" s="86"/>
      <c r="I18" s="87"/>
      <c r="J18" s="86"/>
    </row>
    <row r="19" spans="1:18" ht="15" customHeight="1" x14ac:dyDescent="0.25">
      <c r="A19" s="13" t="s">
        <v>33</v>
      </c>
      <c r="B19" s="14" t="s">
        <v>34</v>
      </c>
      <c r="C19" s="106">
        <v>0</v>
      </c>
      <c r="D19" s="16"/>
      <c r="E19" s="97">
        <f t="shared" si="0"/>
        <v>0</v>
      </c>
      <c r="F19" s="17"/>
      <c r="G19" s="87"/>
      <c r="H19" s="86"/>
      <c r="I19" s="87"/>
      <c r="J19" s="86"/>
    </row>
    <row r="20" spans="1:18" ht="15" customHeight="1" x14ac:dyDescent="0.25">
      <c r="A20" s="13" t="s">
        <v>35</v>
      </c>
      <c r="B20" s="14" t="s">
        <v>36</v>
      </c>
      <c r="C20" s="106">
        <v>0</v>
      </c>
      <c r="D20" s="16"/>
      <c r="E20" s="97">
        <f t="shared" si="0"/>
        <v>0</v>
      </c>
      <c r="F20" s="17"/>
      <c r="G20" s="87"/>
      <c r="H20" s="86"/>
      <c r="I20" s="87"/>
      <c r="J20" s="86"/>
    </row>
    <row r="21" spans="1:18" ht="15" customHeight="1" x14ac:dyDescent="0.25">
      <c r="A21" s="13" t="s">
        <v>37</v>
      </c>
      <c r="B21" s="14" t="s">
        <v>38</v>
      </c>
      <c r="C21" s="106">
        <v>0</v>
      </c>
      <c r="D21" s="16"/>
      <c r="E21" s="97">
        <f t="shared" si="0"/>
        <v>0</v>
      </c>
      <c r="F21" s="17"/>
      <c r="G21" s="87"/>
      <c r="H21" s="86"/>
      <c r="I21" s="87"/>
      <c r="J21" s="86"/>
      <c r="P21" t="s">
        <v>125</v>
      </c>
    </row>
    <row r="22" spans="1:18" ht="15" customHeight="1" x14ac:dyDescent="0.25">
      <c r="A22" s="9" t="s">
        <v>39</v>
      </c>
      <c r="B22" s="10" t="s">
        <v>40</v>
      </c>
      <c r="C22" s="107">
        <v>0</v>
      </c>
      <c r="D22" s="20"/>
      <c r="E22" s="97">
        <f t="shared" si="0"/>
        <v>0</v>
      </c>
      <c r="F22" s="1" t="s">
        <v>95</v>
      </c>
      <c r="G22" s="87">
        <v>0</v>
      </c>
      <c r="H22" s="86"/>
      <c r="I22" s="87"/>
      <c r="J22" s="86"/>
      <c r="P22" t="s">
        <v>8</v>
      </c>
      <c r="Q22" s="82">
        <f>SUM(C6)</f>
        <v>4376.1299999999992</v>
      </c>
      <c r="R22" s="82">
        <f>SUM(D6)</f>
        <v>0</v>
      </c>
    </row>
    <row r="23" spans="1:18" ht="15" customHeight="1" x14ac:dyDescent="0.25">
      <c r="A23" s="21" t="s">
        <v>41</v>
      </c>
      <c r="B23" s="14" t="s">
        <v>42</v>
      </c>
      <c r="C23" s="106">
        <v>0</v>
      </c>
      <c r="D23" s="16"/>
      <c r="E23" s="97">
        <f t="shared" si="0"/>
        <v>0</v>
      </c>
      <c r="F23" s="17"/>
      <c r="G23" s="87"/>
      <c r="H23" s="86"/>
      <c r="I23" s="87"/>
      <c r="J23" s="86"/>
      <c r="P23" t="s">
        <v>16</v>
      </c>
      <c r="Q23" s="82">
        <f>SUM(C10)</f>
        <v>6573.6097125000006</v>
      </c>
      <c r="R23" s="82">
        <f>SUM(D10)</f>
        <v>0</v>
      </c>
    </row>
    <row r="24" spans="1:18" ht="15" customHeight="1" x14ac:dyDescent="0.25">
      <c r="A24" s="21" t="s">
        <v>43</v>
      </c>
      <c r="B24" s="14" t="s">
        <v>44</v>
      </c>
      <c r="C24" s="106">
        <v>0</v>
      </c>
      <c r="D24" s="16"/>
      <c r="E24" s="97">
        <f t="shared" si="0"/>
        <v>0</v>
      </c>
      <c r="F24" s="17"/>
      <c r="G24" s="87"/>
      <c r="H24" s="86"/>
      <c r="I24" s="87"/>
      <c r="J24" s="86"/>
      <c r="P24" t="s">
        <v>26</v>
      </c>
      <c r="Q24" s="82">
        <f>SUM(C15)</f>
        <v>19720.829137500001</v>
      </c>
      <c r="R24" s="82">
        <f>SUM(D15)</f>
        <v>0</v>
      </c>
    </row>
    <row r="25" spans="1:18" ht="15" customHeight="1" x14ac:dyDescent="0.25">
      <c r="A25" s="43" t="s">
        <v>45</v>
      </c>
      <c r="B25" s="44" t="s">
        <v>46</v>
      </c>
      <c r="C25" s="106">
        <v>0</v>
      </c>
      <c r="D25" s="16"/>
      <c r="E25" s="97">
        <f t="shared" si="0"/>
        <v>0</v>
      </c>
      <c r="F25" s="17"/>
      <c r="G25" s="87"/>
      <c r="H25" s="86"/>
      <c r="I25" s="87"/>
      <c r="J25" s="86"/>
      <c r="P25" t="s">
        <v>40</v>
      </c>
      <c r="Q25" s="82">
        <f>SUM(C22)</f>
        <v>0</v>
      </c>
      <c r="R25" s="82">
        <f>SUM(D22)</f>
        <v>0</v>
      </c>
    </row>
    <row r="26" spans="1:18" ht="15" customHeight="1" x14ac:dyDescent="0.25">
      <c r="A26" s="21" t="s">
        <v>47</v>
      </c>
      <c r="B26" s="14" t="s">
        <v>48</v>
      </c>
      <c r="C26" s="106">
        <v>0</v>
      </c>
      <c r="D26" s="16"/>
      <c r="E26" s="97">
        <f t="shared" si="0"/>
        <v>0</v>
      </c>
      <c r="F26" s="17"/>
      <c r="G26" s="87"/>
      <c r="H26" s="86"/>
      <c r="I26" s="87"/>
      <c r="J26" s="86"/>
      <c r="P26" t="s">
        <v>60</v>
      </c>
      <c r="Q26" s="82">
        <f>SUM(C32)</f>
        <v>438.24064750000002</v>
      </c>
      <c r="R26" s="82">
        <f>SUM(D32)</f>
        <v>0</v>
      </c>
    </row>
    <row r="27" spans="1:18" ht="15" customHeight="1" x14ac:dyDescent="0.25">
      <c r="A27" s="21" t="s">
        <v>49</v>
      </c>
      <c r="B27" s="14" t="s">
        <v>50</v>
      </c>
      <c r="C27" s="106">
        <v>0</v>
      </c>
      <c r="D27" s="16"/>
      <c r="E27" s="97">
        <f t="shared" si="0"/>
        <v>0</v>
      </c>
      <c r="F27" s="17"/>
      <c r="G27" s="87"/>
      <c r="H27" s="86"/>
      <c r="I27" s="87"/>
      <c r="J27" s="86"/>
      <c r="P27" t="s">
        <v>68</v>
      </c>
      <c r="Q27" s="82">
        <f>SUM(C36)</f>
        <v>394.41658275000003</v>
      </c>
      <c r="R27" s="82">
        <f>SUM(D36)</f>
        <v>0</v>
      </c>
    </row>
    <row r="28" spans="1:18" ht="15" customHeight="1" x14ac:dyDescent="0.25">
      <c r="A28" s="21" t="s">
        <v>51</v>
      </c>
      <c r="B28" s="14" t="s">
        <v>52</v>
      </c>
      <c r="C28" s="106">
        <v>0</v>
      </c>
      <c r="D28" s="16"/>
      <c r="E28" s="97">
        <f t="shared" si="0"/>
        <v>0</v>
      </c>
      <c r="F28" s="17"/>
      <c r="G28" s="87"/>
      <c r="H28" s="86"/>
      <c r="I28" s="87"/>
      <c r="J28" s="86"/>
      <c r="P28" t="s">
        <v>76</v>
      </c>
      <c r="Q28" s="82">
        <f>SUM(C40)</f>
        <v>0</v>
      </c>
      <c r="R28" s="82">
        <f>SUM(D40)</f>
        <v>0</v>
      </c>
    </row>
    <row r="29" spans="1:18" ht="15" customHeight="1" x14ac:dyDescent="0.25">
      <c r="A29" s="21" t="s">
        <v>53</v>
      </c>
      <c r="B29" s="14" t="s">
        <v>54</v>
      </c>
      <c r="C29" s="106">
        <v>0</v>
      </c>
      <c r="D29" s="16"/>
      <c r="E29" s="97">
        <f t="shared" si="0"/>
        <v>0</v>
      </c>
      <c r="F29" s="17"/>
      <c r="G29" s="87"/>
      <c r="H29" s="86"/>
      <c r="I29" s="87"/>
      <c r="J29" s="86"/>
    </row>
    <row r="30" spans="1:18" ht="15" customHeight="1" x14ac:dyDescent="0.25">
      <c r="A30" s="13" t="s">
        <v>55</v>
      </c>
      <c r="B30" s="14" t="s">
        <v>56</v>
      </c>
      <c r="C30" s="106">
        <v>0</v>
      </c>
      <c r="D30" s="16"/>
      <c r="E30" s="97">
        <f t="shared" si="0"/>
        <v>0</v>
      </c>
      <c r="F30" s="17"/>
      <c r="G30" s="87"/>
      <c r="H30" s="86"/>
      <c r="I30" s="87"/>
      <c r="J30" s="86"/>
    </row>
    <row r="31" spans="1:18" ht="15" customHeight="1" x14ac:dyDescent="0.25">
      <c r="A31" s="13" t="s">
        <v>57</v>
      </c>
      <c r="B31" s="14" t="s">
        <v>58</v>
      </c>
      <c r="C31" s="106">
        <v>0</v>
      </c>
      <c r="D31" s="16"/>
      <c r="E31" s="97">
        <f t="shared" si="0"/>
        <v>0</v>
      </c>
      <c r="F31" s="17"/>
      <c r="G31" s="87"/>
      <c r="H31" s="86"/>
      <c r="I31" s="87"/>
      <c r="J31" s="86"/>
    </row>
    <row r="32" spans="1:18" ht="15" customHeight="1" x14ac:dyDescent="0.25">
      <c r="A32" s="9" t="s">
        <v>59</v>
      </c>
      <c r="B32" s="10" t="s">
        <v>60</v>
      </c>
      <c r="C32" s="107">
        <v>438.24064750000002</v>
      </c>
      <c r="D32" s="20"/>
      <c r="E32" s="97">
        <f t="shared" si="0"/>
        <v>350.59251800000004</v>
      </c>
      <c r="F32" s="1" t="s">
        <v>95</v>
      </c>
      <c r="G32" s="87">
        <v>0.1</v>
      </c>
      <c r="H32" s="86"/>
      <c r="I32" s="87"/>
      <c r="J32" s="86"/>
    </row>
    <row r="33" spans="1:10" ht="15" customHeight="1" x14ac:dyDescent="0.25">
      <c r="A33" s="13" t="s">
        <v>61</v>
      </c>
      <c r="B33" s="14" t="s">
        <v>62</v>
      </c>
      <c r="C33" s="106">
        <v>438.24</v>
      </c>
      <c r="D33" s="16"/>
      <c r="E33" s="97">
        <f t="shared" si="0"/>
        <v>350.59200000000004</v>
      </c>
      <c r="F33" s="17"/>
      <c r="G33" s="87"/>
      <c r="H33" s="86"/>
      <c r="I33" s="87"/>
      <c r="J33" s="86"/>
    </row>
    <row r="34" spans="1:10" ht="15" customHeight="1" x14ac:dyDescent="0.25">
      <c r="A34" s="13" t="s">
        <v>63</v>
      </c>
      <c r="B34" s="14" t="s">
        <v>64</v>
      </c>
      <c r="C34" s="106">
        <v>0</v>
      </c>
      <c r="D34" s="16"/>
      <c r="E34" s="97">
        <f t="shared" si="0"/>
        <v>0</v>
      </c>
      <c r="F34" s="17"/>
      <c r="G34" s="87"/>
      <c r="H34" s="86"/>
      <c r="I34" s="87"/>
      <c r="J34" s="86"/>
    </row>
    <row r="35" spans="1:10" ht="15" customHeight="1" x14ac:dyDescent="0.25">
      <c r="A35" s="13" t="s">
        <v>65</v>
      </c>
      <c r="B35" s="14" t="s">
        <v>66</v>
      </c>
      <c r="C35" s="106">
        <v>0</v>
      </c>
      <c r="D35" s="16"/>
      <c r="E35" s="97">
        <f t="shared" si="0"/>
        <v>0</v>
      </c>
      <c r="F35" s="17"/>
      <c r="G35" s="87"/>
      <c r="H35" s="86"/>
      <c r="I35" s="87"/>
      <c r="J35" s="86"/>
    </row>
    <row r="36" spans="1:10" ht="15" customHeight="1" x14ac:dyDescent="0.25">
      <c r="A36" s="9" t="s">
        <v>67</v>
      </c>
      <c r="B36" s="10" t="s">
        <v>68</v>
      </c>
      <c r="C36" s="107">
        <v>394.41658275000003</v>
      </c>
      <c r="D36" s="20"/>
      <c r="E36" s="97">
        <f t="shared" si="0"/>
        <v>315.53326620000007</v>
      </c>
      <c r="F36" s="1" t="s">
        <v>95</v>
      </c>
      <c r="G36" s="87">
        <v>0.09</v>
      </c>
      <c r="H36" s="86"/>
      <c r="I36" s="87"/>
      <c r="J36" s="86"/>
    </row>
    <row r="37" spans="1:10" ht="15" customHeight="1" x14ac:dyDescent="0.25">
      <c r="A37" s="13" t="s">
        <v>69</v>
      </c>
      <c r="B37" s="14" t="s">
        <v>70</v>
      </c>
      <c r="C37" s="106">
        <v>398.1</v>
      </c>
      <c r="D37" s="16"/>
      <c r="E37" s="97">
        <f t="shared" si="0"/>
        <v>318.48</v>
      </c>
      <c r="F37" s="17"/>
      <c r="G37" s="87"/>
      <c r="H37" s="86"/>
      <c r="I37" s="87"/>
      <c r="J37" s="86"/>
    </row>
    <row r="38" spans="1:10" ht="15" customHeight="1" x14ac:dyDescent="0.25">
      <c r="A38" s="13" t="s">
        <v>71</v>
      </c>
      <c r="B38" s="14" t="s">
        <v>72</v>
      </c>
      <c r="C38" s="106">
        <v>0</v>
      </c>
      <c r="D38" s="16"/>
      <c r="E38" s="97">
        <f t="shared" si="0"/>
        <v>0</v>
      </c>
      <c r="F38" s="17"/>
      <c r="G38" s="87"/>
      <c r="H38" s="86"/>
      <c r="I38" s="87"/>
      <c r="J38" s="86"/>
    </row>
    <row r="39" spans="1:10" ht="15" customHeight="1" x14ac:dyDescent="0.25">
      <c r="A39" s="13" t="s">
        <v>73</v>
      </c>
      <c r="B39" s="14" t="s">
        <v>74</v>
      </c>
      <c r="C39" s="106">
        <v>0</v>
      </c>
      <c r="D39" s="16"/>
      <c r="E39" s="97">
        <f t="shared" si="0"/>
        <v>0</v>
      </c>
      <c r="F39" s="17"/>
      <c r="G39" s="87"/>
      <c r="H39" s="86"/>
      <c r="I39" s="87"/>
      <c r="J39" s="86"/>
    </row>
    <row r="40" spans="1:10" ht="15" customHeight="1" x14ac:dyDescent="0.25">
      <c r="A40" s="9" t="s">
        <v>75</v>
      </c>
      <c r="B40" s="10" t="s">
        <v>76</v>
      </c>
      <c r="C40" s="107">
        <v>0</v>
      </c>
      <c r="D40" s="20"/>
      <c r="E40" s="97">
        <f t="shared" si="0"/>
        <v>0</v>
      </c>
      <c r="F40" s="1" t="s">
        <v>95</v>
      </c>
      <c r="G40" s="87">
        <v>0</v>
      </c>
      <c r="H40" s="86"/>
      <c r="I40" s="87"/>
      <c r="J40" s="86"/>
    </row>
    <row r="41" spans="1:10" ht="15" customHeight="1" x14ac:dyDescent="0.25">
      <c r="A41" s="13" t="s">
        <v>77</v>
      </c>
      <c r="B41" s="14" t="s">
        <v>78</v>
      </c>
      <c r="C41" s="106">
        <v>0</v>
      </c>
      <c r="D41" s="16"/>
      <c r="E41" s="97">
        <f t="shared" si="0"/>
        <v>0</v>
      </c>
      <c r="F41" s="17"/>
      <c r="G41" s="87"/>
      <c r="H41" s="86"/>
      <c r="I41" s="87"/>
      <c r="J41" s="86"/>
    </row>
    <row r="42" spans="1:10" ht="15" customHeight="1" x14ac:dyDescent="0.25">
      <c r="A42" s="13" t="s">
        <v>79</v>
      </c>
      <c r="B42" s="14" t="s">
        <v>80</v>
      </c>
      <c r="C42" s="106">
        <v>0</v>
      </c>
      <c r="D42" s="16"/>
      <c r="E42" s="97">
        <f t="shared" si="0"/>
        <v>0</v>
      </c>
      <c r="F42" s="17"/>
      <c r="G42" s="88"/>
      <c r="H42" s="86"/>
      <c r="I42" s="88"/>
      <c r="J42" s="86"/>
    </row>
    <row r="43" spans="1:10" ht="15" customHeight="1" thickBot="1" x14ac:dyDescent="0.3">
      <c r="A43" s="36" t="s">
        <v>81</v>
      </c>
      <c r="B43" s="37" t="s">
        <v>82</v>
      </c>
      <c r="C43" s="106">
        <v>0</v>
      </c>
      <c r="D43" s="16"/>
      <c r="E43" s="97">
        <f t="shared" si="0"/>
        <v>0</v>
      </c>
      <c r="F43" s="17"/>
      <c r="G43" s="88"/>
      <c r="H43" s="86"/>
      <c r="I43" s="88"/>
      <c r="J43" s="86"/>
    </row>
    <row r="44" spans="1:10" ht="15.75" thickBot="1" x14ac:dyDescent="0.3">
      <c r="A44" s="39" t="s">
        <v>83</v>
      </c>
      <c r="B44" s="38" t="s">
        <v>84</v>
      </c>
      <c r="C44" s="107">
        <v>31503.226080249999</v>
      </c>
      <c r="D44" s="23"/>
      <c r="E44" s="97">
        <f t="shared" si="0"/>
        <v>25202.580864200001</v>
      </c>
      <c r="F44" s="4" t="s">
        <v>95</v>
      </c>
      <c r="G44" s="88">
        <f>SUM(G6:G43)</f>
        <v>7.1899999999999995</v>
      </c>
      <c r="H44" s="86"/>
      <c r="I44" s="88"/>
      <c r="J44" s="86"/>
    </row>
    <row r="52" spans="1:1" x14ac:dyDescent="0.25">
      <c r="A52" t="s">
        <v>84</v>
      </c>
    </row>
  </sheetData>
  <mergeCells count="4">
    <mergeCell ref="C1:D1"/>
    <mergeCell ref="C2:D2"/>
    <mergeCell ref="C3:D3"/>
    <mergeCell ref="C4:D4"/>
  </mergeCells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2E05F2-CCAB-4817-90E9-A8F2A779BE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15</vt:i4>
      </vt:variant>
    </vt:vector>
  </HeadingPairs>
  <TitlesOfParts>
    <vt:vector size="15" baseType="lpstr">
      <vt:lpstr>%Cost vs Budget</vt:lpstr>
      <vt:lpstr>WP Cost VS Budget</vt:lpstr>
      <vt:lpstr>Direct &amp;Indirect Personnal Cost</vt:lpstr>
      <vt:lpstr>MNU</vt:lpstr>
      <vt:lpstr>SCA</vt:lpstr>
      <vt:lpstr>FOC</vt:lpstr>
      <vt:lpstr>CLTV</vt:lpstr>
      <vt:lpstr>MAI</vt:lpstr>
      <vt:lpstr>BIN</vt:lpstr>
      <vt:lpstr>IOC</vt:lpstr>
      <vt:lpstr>HIE</vt:lpstr>
      <vt:lpstr>BAL</vt:lpstr>
      <vt:lpstr>MEERI</vt:lpstr>
      <vt:lpstr>MCN</vt:lpstr>
      <vt:lpstr>CKR	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Tore Ausland</dc:creator>
  <cp:keywords/>
  <dc:description/>
  <cp:lastModifiedBy>Tore Ausland</cp:lastModifiedBy>
  <cp:revision/>
  <dcterms:created xsi:type="dcterms:W3CDTF">2022-06-20T11:06:48Z</dcterms:created>
  <dcterms:modified xsi:type="dcterms:W3CDTF">2022-10-05T08:02:33Z</dcterms:modified>
  <cp:category/>
  <cp:contentStatus/>
</cp:coreProperties>
</file>